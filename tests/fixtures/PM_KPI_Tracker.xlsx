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FTP.CIABIT-LP04\Downloads\"/>
    </mc:Choice>
  </mc:AlternateContent>
  <xr:revisionPtr revIDLastSave="0" documentId="13_ncr:1_{C4C546BC-6B10-4254-9FDC-3FD810DC3133}" xr6:coauthVersionLast="47" xr6:coauthVersionMax="47" xr10:uidLastSave="{00000000-0000-0000-0000-000000000000}"/>
  <bookViews>
    <workbookView xWindow="28680" yWindow="-120" windowWidth="29040" windowHeight="15720" tabRatio="967" activeTab="3" xr2:uid="{00000000-000D-0000-FFFF-FFFF00000000}"/>
  </bookViews>
  <sheets>
    <sheet name="Guide" sheetId="1" r:id="rId1"/>
    <sheet name="Dashboard" sheetId="2" r:id="rId2"/>
    <sheet name="KPI_Tracking" sheetId="3" r:id="rId3"/>
    <sheet name="Trends" sheetId="4" r:id="rId4"/>
    <sheet name="KPI_Targets" sheetId="5" r:id="rId5"/>
    <sheet name="Target_Revisions" sheetId="6" r:id="rId6"/>
    <sheet name="Action_Log" sheetId="7" r:id="rId7"/>
    <sheet name="Projects" sheetId="8" r:id="rId8"/>
    <sheet name="Cost_Schedule" sheetId="9" r:id="rId9"/>
    <sheet name="Change_Log" sheetId="10" r:id="rId10"/>
    <sheet name="Risk_Log" sheetId="11" r:id="rId11"/>
    <sheet name="Issue_Log" sheetId="12" r:id="rId12"/>
    <sheet name="Stakeholder_Survey" sheetId="13" r:id="rId13"/>
    <sheet name="Resources" sheetId="14" r:id="rId14"/>
    <sheet name="Milestones" sheetId="15" r:id="rId15"/>
    <sheet name="Quality_Log" sheetId="16" r:id="rId16"/>
    <sheet name="Benefits_Log" sheetId="17" r:id="rId17"/>
    <sheet name="CI_Log" sheetId="18" r:id="rId18"/>
    <sheet name="Setting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9" l="1"/>
  <c r="H504" i="17"/>
  <c r="H503" i="17"/>
  <c r="H502" i="17"/>
  <c r="H501" i="17"/>
  <c r="H500" i="17"/>
  <c r="H499" i="17"/>
  <c r="H498" i="17"/>
  <c r="H497" i="17"/>
  <c r="H496" i="17"/>
  <c r="H495" i="17"/>
  <c r="H494" i="17"/>
  <c r="H493" i="17"/>
  <c r="H492" i="17"/>
  <c r="H491" i="17"/>
  <c r="H490" i="17"/>
  <c r="H489" i="17"/>
  <c r="H488" i="17"/>
  <c r="H487" i="17"/>
  <c r="H486" i="17"/>
  <c r="H485" i="17"/>
  <c r="H484" i="17"/>
  <c r="H483" i="17"/>
  <c r="H482" i="17"/>
  <c r="H481" i="17"/>
  <c r="H480" i="17"/>
  <c r="H479" i="17"/>
  <c r="H478" i="17"/>
  <c r="H477" i="17"/>
  <c r="H476" i="17"/>
  <c r="H475" i="17"/>
  <c r="H474" i="17"/>
  <c r="H473" i="17"/>
  <c r="H472" i="17"/>
  <c r="H471" i="17"/>
  <c r="H470" i="17"/>
  <c r="H469" i="17"/>
  <c r="H468" i="17"/>
  <c r="H467" i="17"/>
  <c r="H466" i="17"/>
  <c r="H465" i="17"/>
  <c r="H464" i="17"/>
  <c r="H463" i="17"/>
  <c r="H462" i="17"/>
  <c r="H461" i="17"/>
  <c r="H460" i="17"/>
  <c r="H459" i="17"/>
  <c r="H458" i="17"/>
  <c r="H457" i="17"/>
  <c r="H456" i="17"/>
  <c r="H455" i="17"/>
  <c r="H454" i="17"/>
  <c r="H453" i="17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I504" i="15"/>
  <c r="H504" i="15"/>
  <c r="I503" i="15"/>
  <c r="H503" i="15"/>
  <c r="I502" i="15"/>
  <c r="H502" i="15"/>
  <c r="I501" i="15"/>
  <c r="H501" i="15"/>
  <c r="I500" i="15"/>
  <c r="H500" i="15"/>
  <c r="I499" i="15"/>
  <c r="H499" i="15"/>
  <c r="I498" i="15"/>
  <c r="H498" i="15"/>
  <c r="I497" i="15"/>
  <c r="H497" i="15"/>
  <c r="I496" i="15"/>
  <c r="H496" i="15"/>
  <c r="I495" i="15"/>
  <c r="H495" i="15"/>
  <c r="I494" i="15"/>
  <c r="H494" i="15"/>
  <c r="I493" i="15"/>
  <c r="H493" i="15"/>
  <c r="I492" i="15"/>
  <c r="H492" i="15"/>
  <c r="I491" i="15"/>
  <c r="H491" i="15"/>
  <c r="I490" i="15"/>
  <c r="H490" i="15"/>
  <c r="I489" i="15"/>
  <c r="H489" i="15"/>
  <c r="I488" i="15"/>
  <c r="H488" i="15"/>
  <c r="I487" i="15"/>
  <c r="H487" i="15"/>
  <c r="I486" i="15"/>
  <c r="H486" i="15"/>
  <c r="I485" i="15"/>
  <c r="H485" i="15"/>
  <c r="I484" i="15"/>
  <c r="H484" i="15"/>
  <c r="I483" i="15"/>
  <c r="H483" i="15"/>
  <c r="I482" i="15"/>
  <c r="H482" i="15"/>
  <c r="I481" i="15"/>
  <c r="H481" i="15"/>
  <c r="I480" i="15"/>
  <c r="H480" i="15"/>
  <c r="I479" i="15"/>
  <c r="H479" i="15"/>
  <c r="I478" i="15"/>
  <c r="H478" i="15"/>
  <c r="I477" i="15"/>
  <c r="H477" i="15"/>
  <c r="I476" i="15"/>
  <c r="H476" i="15"/>
  <c r="I475" i="15"/>
  <c r="H475" i="15"/>
  <c r="I474" i="15"/>
  <c r="H474" i="15"/>
  <c r="I473" i="15"/>
  <c r="H473" i="15"/>
  <c r="I472" i="15"/>
  <c r="H472" i="15"/>
  <c r="I471" i="15"/>
  <c r="H471" i="15"/>
  <c r="I470" i="15"/>
  <c r="H470" i="15"/>
  <c r="I469" i="15"/>
  <c r="H469" i="15"/>
  <c r="I468" i="15"/>
  <c r="H468" i="15"/>
  <c r="I467" i="15"/>
  <c r="H467" i="15"/>
  <c r="I466" i="15"/>
  <c r="H466" i="15"/>
  <c r="I465" i="15"/>
  <c r="H465" i="15"/>
  <c r="I464" i="15"/>
  <c r="H464" i="15"/>
  <c r="I463" i="15"/>
  <c r="H463" i="15"/>
  <c r="I462" i="15"/>
  <c r="H462" i="15"/>
  <c r="I461" i="15"/>
  <c r="H461" i="15"/>
  <c r="I460" i="15"/>
  <c r="H460" i="15"/>
  <c r="I459" i="15"/>
  <c r="H459" i="15"/>
  <c r="I458" i="15"/>
  <c r="H458" i="15"/>
  <c r="I457" i="15"/>
  <c r="H457" i="15"/>
  <c r="I456" i="15"/>
  <c r="H456" i="15"/>
  <c r="I455" i="15"/>
  <c r="H455" i="15"/>
  <c r="I454" i="15"/>
  <c r="H454" i="15"/>
  <c r="I453" i="15"/>
  <c r="H453" i="15"/>
  <c r="I452" i="15"/>
  <c r="H452" i="15"/>
  <c r="I451" i="15"/>
  <c r="H451" i="15"/>
  <c r="I450" i="15"/>
  <c r="H450" i="15"/>
  <c r="I449" i="15"/>
  <c r="H449" i="15"/>
  <c r="I448" i="15"/>
  <c r="H448" i="15"/>
  <c r="I447" i="15"/>
  <c r="H447" i="15"/>
  <c r="I446" i="15"/>
  <c r="H446" i="15"/>
  <c r="I445" i="15"/>
  <c r="H445" i="15"/>
  <c r="I444" i="15"/>
  <c r="H444" i="15"/>
  <c r="I443" i="15"/>
  <c r="H443" i="15"/>
  <c r="I442" i="15"/>
  <c r="H442" i="15"/>
  <c r="I441" i="15"/>
  <c r="H441" i="15"/>
  <c r="I440" i="15"/>
  <c r="H440" i="15"/>
  <c r="I439" i="15"/>
  <c r="H439" i="15"/>
  <c r="I438" i="15"/>
  <c r="H438" i="15"/>
  <c r="I437" i="15"/>
  <c r="H437" i="15"/>
  <c r="I436" i="15"/>
  <c r="H436" i="15"/>
  <c r="I435" i="15"/>
  <c r="H435" i="15"/>
  <c r="I434" i="15"/>
  <c r="H434" i="15"/>
  <c r="I433" i="15"/>
  <c r="H433" i="15"/>
  <c r="I432" i="15"/>
  <c r="H432" i="15"/>
  <c r="I431" i="15"/>
  <c r="H431" i="15"/>
  <c r="I430" i="15"/>
  <c r="H430" i="15"/>
  <c r="I429" i="15"/>
  <c r="H429" i="15"/>
  <c r="I428" i="15"/>
  <c r="H428" i="15"/>
  <c r="I427" i="15"/>
  <c r="H427" i="15"/>
  <c r="I426" i="15"/>
  <c r="H426" i="15"/>
  <c r="I425" i="15"/>
  <c r="H425" i="15"/>
  <c r="I424" i="15"/>
  <c r="H424" i="15"/>
  <c r="I423" i="15"/>
  <c r="H423" i="15"/>
  <c r="I422" i="15"/>
  <c r="H422" i="15"/>
  <c r="I421" i="15"/>
  <c r="H421" i="15"/>
  <c r="I420" i="15"/>
  <c r="H420" i="15"/>
  <c r="I419" i="15"/>
  <c r="H419" i="15"/>
  <c r="I418" i="15"/>
  <c r="H418" i="15"/>
  <c r="I417" i="15"/>
  <c r="H417" i="15"/>
  <c r="I416" i="15"/>
  <c r="H416" i="15"/>
  <c r="I415" i="15"/>
  <c r="H415" i="15"/>
  <c r="I414" i="15"/>
  <c r="H414" i="15"/>
  <c r="I413" i="15"/>
  <c r="H413" i="15"/>
  <c r="I412" i="15"/>
  <c r="H412" i="15"/>
  <c r="I411" i="15"/>
  <c r="H411" i="15"/>
  <c r="I410" i="15"/>
  <c r="H410" i="15"/>
  <c r="I409" i="15"/>
  <c r="H409" i="15"/>
  <c r="I408" i="15"/>
  <c r="H408" i="15"/>
  <c r="I407" i="15"/>
  <c r="H407" i="15"/>
  <c r="I406" i="15"/>
  <c r="H406" i="15"/>
  <c r="I405" i="15"/>
  <c r="H405" i="15"/>
  <c r="I404" i="15"/>
  <c r="H404" i="15"/>
  <c r="I403" i="15"/>
  <c r="H403" i="15"/>
  <c r="I402" i="15"/>
  <c r="H402" i="15"/>
  <c r="I401" i="15"/>
  <c r="H401" i="15"/>
  <c r="I400" i="15"/>
  <c r="H400" i="15"/>
  <c r="I399" i="15"/>
  <c r="H399" i="15"/>
  <c r="I398" i="15"/>
  <c r="H398" i="15"/>
  <c r="I397" i="15"/>
  <c r="H397" i="15"/>
  <c r="I396" i="15"/>
  <c r="H396" i="15"/>
  <c r="I395" i="15"/>
  <c r="H395" i="15"/>
  <c r="I394" i="15"/>
  <c r="H394" i="15"/>
  <c r="I393" i="15"/>
  <c r="H393" i="15"/>
  <c r="I392" i="15"/>
  <c r="H392" i="15"/>
  <c r="I391" i="15"/>
  <c r="H391" i="15"/>
  <c r="I390" i="15"/>
  <c r="H390" i="15"/>
  <c r="I389" i="15"/>
  <c r="H389" i="15"/>
  <c r="I388" i="15"/>
  <c r="H388" i="15"/>
  <c r="I387" i="15"/>
  <c r="H387" i="15"/>
  <c r="I386" i="15"/>
  <c r="H386" i="15"/>
  <c r="I385" i="15"/>
  <c r="H385" i="15"/>
  <c r="I384" i="15"/>
  <c r="H384" i="15"/>
  <c r="I383" i="15"/>
  <c r="H383" i="15"/>
  <c r="I382" i="15"/>
  <c r="H382" i="15"/>
  <c r="I381" i="15"/>
  <c r="H381" i="15"/>
  <c r="I380" i="15"/>
  <c r="H380" i="15"/>
  <c r="I379" i="15"/>
  <c r="H379" i="15"/>
  <c r="I378" i="15"/>
  <c r="H378" i="15"/>
  <c r="I377" i="15"/>
  <c r="H377" i="15"/>
  <c r="I376" i="15"/>
  <c r="H376" i="15"/>
  <c r="I375" i="15"/>
  <c r="H375" i="15"/>
  <c r="I374" i="15"/>
  <c r="H374" i="15"/>
  <c r="I373" i="15"/>
  <c r="H373" i="15"/>
  <c r="I372" i="15"/>
  <c r="H372" i="15"/>
  <c r="I371" i="15"/>
  <c r="H371" i="15"/>
  <c r="I370" i="15"/>
  <c r="H370" i="15"/>
  <c r="I369" i="15"/>
  <c r="H369" i="15"/>
  <c r="I368" i="15"/>
  <c r="H368" i="15"/>
  <c r="I367" i="15"/>
  <c r="H367" i="15"/>
  <c r="I366" i="15"/>
  <c r="H366" i="15"/>
  <c r="I365" i="15"/>
  <c r="H365" i="15"/>
  <c r="I364" i="15"/>
  <c r="H364" i="15"/>
  <c r="I363" i="15"/>
  <c r="H363" i="15"/>
  <c r="I362" i="15"/>
  <c r="H362" i="15"/>
  <c r="I361" i="15"/>
  <c r="H361" i="15"/>
  <c r="I360" i="15"/>
  <c r="H360" i="15"/>
  <c r="I359" i="15"/>
  <c r="H359" i="15"/>
  <c r="I358" i="15"/>
  <c r="H358" i="15"/>
  <c r="I357" i="15"/>
  <c r="H357" i="15"/>
  <c r="I356" i="15"/>
  <c r="H356" i="15"/>
  <c r="I355" i="15"/>
  <c r="H355" i="15"/>
  <c r="I354" i="15"/>
  <c r="H354" i="15"/>
  <c r="I353" i="15"/>
  <c r="H353" i="15"/>
  <c r="I352" i="15"/>
  <c r="H352" i="15"/>
  <c r="I351" i="15"/>
  <c r="H351" i="15"/>
  <c r="I350" i="15"/>
  <c r="H350" i="15"/>
  <c r="I349" i="15"/>
  <c r="H349" i="15"/>
  <c r="I348" i="15"/>
  <c r="H348" i="15"/>
  <c r="I347" i="15"/>
  <c r="H347" i="15"/>
  <c r="I346" i="15"/>
  <c r="H346" i="15"/>
  <c r="I345" i="15"/>
  <c r="H345" i="15"/>
  <c r="I344" i="15"/>
  <c r="H344" i="15"/>
  <c r="I343" i="15"/>
  <c r="H343" i="15"/>
  <c r="I342" i="15"/>
  <c r="H342" i="15"/>
  <c r="I341" i="15"/>
  <c r="H341" i="15"/>
  <c r="I340" i="15"/>
  <c r="H340" i="15"/>
  <c r="I339" i="15"/>
  <c r="H339" i="15"/>
  <c r="I338" i="15"/>
  <c r="H338" i="15"/>
  <c r="I337" i="15"/>
  <c r="H337" i="15"/>
  <c r="I336" i="15"/>
  <c r="H336" i="15"/>
  <c r="I335" i="15"/>
  <c r="H335" i="15"/>
  <c r="I334" i="15"/>
  <c r="H334" i="15"/>
  <c r="I333" i="15"/>
  <c r="H333" i="15"/>
  <c r="I332" i="15"/>
  <c r="H332" i="15"/>
  <c r="I331" i="15"/>
  <c r="H331" i="15"/>
  <c r="I330" i="15"/>
  <c r="H330" i="15"/>
  <c r="I329" i="15"/>
  <c r="H329" i="15"/>
  <c r="I328" i="15"/>
  <c r="H328" i="15"/>
  <c r="I327" i="15"/>
  <c r="H327" i="15"/>
  <c r="I326" i="15"/>
  <c r="H326" i="15"/>
  <c r="I325" i="15"/>
  <c r="H325" i="15"/>
  <c r="I324" i="15"/>
  <c r="H324" i="15"/>
  <c r="I323" i="15"/>
  <c r="H323" i="15"/>
  <c r="I322" i="15"/>
  <c r="H322" i="15"/>
  <c r="I321" i="15"/>
  <c r="H321" i="15"/>
  <c r="I320" i="15"/>
  <c r="H320" i="15"/>
  <c r="I319" i="15"/>
  <c r="H319" i="15"/>
  <c r="I318" i="15"/>
  <c r="H318" i="15"/>
  <c r="I317" i="15"/>
  <c r="H317" i="15"/>
  <c r="I316" i="15"/>
  <c r="H316" i="15"/>
  <c r="I315" i="15"/>
  <c r="H315" i="15"/>
  <c r="I314" i="15"/>
  <c r="H314" i="15"/>
  <c r="I313" i="15"/>
  <c r="H313" i="15"/>
  <c r="I312" i="15"/>
  <c r="H312" i="15"/>
  <c r="I311" i="15"/>
  <c r="H311" i="15"/>
  <c r="I310" i="15"/>
  <c r="H310" i="15"/>
  <c r="I309" i="15"/>
  <c r="H309" i="15"/>
  <c r="I308" i="15"/>
  <c r="H308" i="15"/>
  <c r="I307" i="15"/>
  <c r="H307" i="15"/>
  <c r="I306" i="15"/>
  <c r="H306" i="15"/>
  <c r="I305" i="15"/>
  <c r="H305" i="15"/>
  <c r="I304" i="15"/>
  <c r="H304" i="15"/>
  <c r="I303" i="15"/>
  <c r="H303" i="15"/>
  <c r="I302" i="15"/>
  <c r="H302" i="15"/>
  <c r="I301" i="15"/>
  <c r="H301" i="15"/>
  <c r="I300" i="15"/>
  <c r="H300" i="15"/>
  <c r="I299" i="15"/>
  <c r="H299" i="15"/>
  <c r="I298" i="15"/>
  <c r="H298" i="15"/>
  <c r="I297" i="15"/>
  <c r="H297" i="15"/>
  <c r="I296" i="15"/>
  <c r="H296" i="15"/>
  <c r="I295" i="15"/>
  <c r="H295" i="15"/>
  <c r="I294" i="15"/>
  <c r="H294" i="15"/>
  <c r="I293" i="15"/>
  <c r="H293" i="15"/>
  <c r="I292" i="15"/>
  <c r="H292" i="15"/>
  <c r="I291" i="15"/>
  <c r="H291" i="15"/>
  <c r="I290" i="15"/>
  <c r="H290" i="15"/>
  <c r="I289" i="15"/>
  <c r="H289" i="15"/>
  <c r="I288" i="15"/>
  <c r="H288" i="15"/>
  <c r="I287" i="15"/>
  <c r="H287" i="15"/>
  <c r="I286" i="15"/>
  <c r="H286" i="15"/>
  <c r="I285" i="15"/>
  <c r="H285" i="15"/>
  <c r="I284" i="15"/>
  <c r="H284" i="15"/>
  <c r="I283" i="15"/>
  <c r="H283" i="15"/>
  <c r="I282" i="15"/>
  <c r="H282" i="15"/>
  <c r="I281" i="15"/>
  <c r="H281" i="15"/>
  <c r="I280" i="15"/>
  <c r="H280" i="15"/>
  <c r="I279" i="15"/>
  <c r="H279" i="15"/>
  <c r="I278" i="15"/>
  <c r="H278" i="15"/>
  <c r="I277" i="15"/>
  <c r="H277" i="15"/>
  <c r="I276" i="15"/>
  <c r="H276" i="15"/>
  <c r="I275" i="15"/>
  <c r="H275" i="15"/>
  <c r="I274" i="15"/>
  <c r="H274" i="15"/>
  <c r="I273" i="15"/>
  <c r="H273" i="15"/>
  <c r="I272" i="15"/>
  <c r="H272" i="15"/>
  <c r="I271" i="15"/>
  <c r="H271" i="15"/>
  <c r="I270" i="15"/>
  <c r="H270" i="15"/>
  <c r="I269" i="15"/>
  <c r="H269" i="15"/>
  <c r="I268" i="15"/>
  <c r="H268" i="15"/>
  <c r="I267" i="15"/>
  <c r="H267" i="15"/>
  <c r="I266" i="15"/>
  <c r="H266" i="15"/>
  <c r="I265" i="15"/>
  <c r="H265" i="15"/>
  <c r="I264" i="15"/>
  <c r="H264" i="15"/>
  <c r="I263" i="15"/>
  <c r="H263" i="15"/>
  <c r="I262" i="15"/>
  <c r="H262" i="15"/>
  <c r="I261" i="15"/>
  <c r="H261" i="15"/>
  <c r="I260" i="15"/>
  <c r="H260" i="15"/>
  <c r="I259" i="15"/>
  <c r="H259" i="15"/>
  <c r="I258" i="15"/>
  <c r="H258" i="15"/>
  <c r="I257" i="15"/>
  <c r="H257" i="15"/>
  <c r="I256" i="15"/>
  <c r="H256" i="15"/>
  <c r="I255" i="15"/>
  <c r="H255" i="15"/>
  <c r="I254" i="15"/>
  <c r="H254" i="15"/>
  <c r="I253" i="15"/>
  <c r="H253" i="15"/>
  <c r="I252" i="15"/>
  <c r="H252" i="15"/>
  <c r="I251" i="15"/>
  <c r="H251" i="15"/>
  <c r="I250" i="15"/>
  <c r="H250" i="15"/>
  <c r="I249" i="15"/>
  <c r="H249" i="15"/>
  <c r="I248" i="15"/>
  <c r="H248" i="15"/>
  <c r="I247" i="15"/>
  <c r="H247" i="15"/>
  <c r="I246" i="15"/>
  <c r="H246" i="15"/>
  <c r="I245" i="15"/>
  <c r="H245" i="15"/>
  <c r="I244" i="15"/>
  <c r="H244" i="15"/>
  <c r="I243" i="15"/>
  <c r="H243" i="15"/>
  <c r="I242" i="15"/>
  <c r="H242" i="15"/>
  <c r="I241" i="15"/>
  <c r="H241" i="15"/>
  <c r="I240" i="15"/>
  <c r="H240" i="15"/>
  <c r="I239" i="15"/>
  <c r="H239" i="15"/>
  <c r="I238" i="15"/>
  <c r="H238" i="15"/>
  <c r="I237" i="15"/>
  <c r="H237" i="15"/>
  <c r="I236" i="15"/>
  <c r="H236" i="15"/>
  <c r="I235" i="15"/>
  <c r="H235" i="15"/>
  <c r="I234" i="15"/>
  <c r="H234" i="15"/>
  <c r="I233" i="15"/>
  <c r="H233" i="15"/>
  <c r="I232" i="15"/>
  <c r="H232" i="15"/>
  <c r="I231" i="15"/>
  <c r="H231" i="15"/>
  <c r="I230" i="15"/>
  <c r="H230" i="15"/>
  <c r="I229" i="15"/>
  <c r="H229" i="15"/>
  <c r="I228" i="15"/>
  <c r="H228" i="15"/>
  <c r="I227" i="15"/>
  <c r="H227" i="15"/>
  <c r="I226" i="15"/>
  <c r="H226" i="15"/>
  <c r="I225" i="15"/>
  <c r="H225" i="15"/>
  <c r="I224" i="15"/>
  <c r="H224" i="15"/>
  <c r="I223" i="15"/>
  <c r="H223" i="15"/>
  <c r="I222" i="15"/>
  <c r="H222" i="15"/>
  <c r="I221" i="15"/>
  <c r="H221" i="15"/>
  <c r="I220" i="15"/>
  <c r="H220" i="15"/>
  <c r="I219" i="15"/>
  <c r="H219" i="15"/>
  <c r="I218" i="15"/>
  <c r="H218" i="15"/>
  <c r="I217" i="15"/>
  <c r="H217" i="15"/>
  <c r="I216" i="15"/>
  <c r="H216" i="15"/>
  <c r="I215" i="15"/>
  <c r="H215" i="15"/>
  <c r="I214" i="15"/>
  <c r="H214" i="15"/>
  <c r="I213" i="15"/>
  <c r="H213" i="15"/>
  <c r="I212" i="15"/>
  <c r="H212" i="15"/>
  <c r="I211" i="15"/>
  <c r="H211" i="15"/>
  <c r="I210" i="15"/>
  <c r="H210" i="15"/>
  <c r="I209" i="15"/>
  <c r="H209" i="15"/>
  <c r="I208" i="15"/>
  <c r="H208" i="15"/>
  <c r="I207" i="15"/>
  <c r="H207" i="15"/>
  <c r="I206" i="15"/>
  <c r="H206" i="15"/>
  <c r="I205" i="15"/>
  <c r="H205" i="15"/>
  <c r="I204" i="15"/>
  <c r="H204" i="15"/>
  <c r="I203" i="15"/>
  <c r="H203" i="15"/>
  <c r="I202" i="15"/>
  <c r="H202" i="15"/>
  <c r="I201" i="15"/>
  <c r="H201" i="15"/>
  <c r="I200" i="15"/>
  <c r="H200" i="15"/>
  <c r="I199" i="15"/>
  <c r="H199" i="15"/>
  <c r="I198" i="15"/>
  <c r="H198" i="15"/>
  <c r="I197" i="15"/>
  <c r="H197" i="15"/>
  <c r="I196" i="15"/>
  <c r="H196" i="15"/>
  <c r="I195" i="15"/>
  <c r="H195" i="15"/>
  <c r="I194" i="15"/>
  <c r="H194" i="15"/>
  <c r="I193" i="15"/>
  <c r="H193" i="15"/>
  <c r="I192" i="15"/>
  <c r="H192" i="15"/>
  <c r="I191" i="15"/>
  <c r="H191" i="15"/>
  <c r="I190" i="15"/>
  <c r="H190" i="15"/>
  <c r="I189" i="15"/>
  <c r="H189" i="15"/>
  <c r="I188" i="15"/>
  <c r="H188" i="15"/>
  <c r="I187" i="15"/>
  <c r="H187" i="15"/>
  <c r="I186" i="15"/>
  <c r="H186" i="15"/>
  <c r="I185" i="15"/>
  <c r="H185" i="15"/>
  <c r="I184" i="15"/>
  <c r="H184" i="15"/>
  <c r="I183" i="15"/>
  <c r="H183" i="15"/>
  <c r="I182" i="15"/>
  <c r="H182" i="15"/>
  <c r="I181" i="15"/>
  <c r="H181" i="15"/>
  <c r="I180" i="15"/>
  <c r="H180" i="15"/>
  <c r="I179" i="15"/>
  <c r="H179" i="15"/>
  <c r="I178" i="15"/>
  <c r="H178" i="15"/>
  <c r="I177" i="15"/>
  <c r="H177" i="15"/>
  <c r="I176" i="15"/>
  <c r="H176" i="15"/>
  <c r="I175" i="15"/>
  <c r="H175" i="15"/>
  <c r="I174" i="15"/>
  <c r="H174" i="15"/>
  <c r="I173" i="15"/>
  <c r="H173" i="15"/>
  <c r="I172" i="15"/>
  <c r="H172" i="15"/>
  <c r="I171" i="15"/>
  <c r="H171" i="15"/>
  <c r="I170" i="15"/>
  <c r="H170" i="15"/>
  <c r="I169" i="15"/>
  <c r="H169" i="15"/>
  <c r="I168" i="15"/>
  <c r="H168" i="15"/>
  <c r="I167" i="15"/>
  <c r="H167" i="15"/>
  <c r="I166" i="15"/>
  <c r="H166" i="15"/>
  <c r="I165" i="15"/>
  <c r="H165" i="15"/>
  <c r="I164" i="15"/>
  <c r="H164" i="15"/>
  <c r="I163" i="15"/>
  <c r="H163" i="15"/>
  <c r="I162" i="15"/>
  <c r="H162" i="15"/>
  <c r="I161" i="15"/>
  <c r="H161" i="15"/>
  <c r="I160" i="15"/>
  <c r="H160" i="15"/>
  <c r="I159" i="15"/>
  <c r="H159" i="15"/>
  <c r="I158" i="15"/>
  <c r="H158" i="15"/>
  <c r="I157" i="15"/>
  <c r="H157" i="15"/>
  <c r="I156" i="15"/>
  <c r="H156" i="15"/>
  <c r="I155" i="15"/>
  <c r="H155" i="15"/>
  <c r="I154" i="15"/>
  <c r="H154" i="15"/>
  <c r="I153" i="15"/>
  <c r="H153" i="15"/>
  <c r="I152" i="15"/>
  <c r="H152" i="15"/>
  <c r="I151" i="15"/>
  <c r="H151" i="15"/>
  <c r="I150" i="15"/>
  <c r="H150" i="15"/>
  <c r="I149" i="15"/>
  <c r="H149" i="15"/>
  <c r="I148" i="15"/>
  <c r="H148" i="15"/>
  <c r="I147" i="15"/>
  <c r="H147" i="15"/>
  <c r="I146" i="15"/>
  <c r="H146" i="15"/>
  <c r="I145" i="15"/>
  <c r="H145" i="15"/>
  <c r="I144" i="15"/>
  <c r="H144" i="15"/>
  <c r="I143" i="15"/>
  <c r="H143" i="15"/>
  <c r="I142" i="15"/>
  <c r="H142" i="15"/>
  <c r="I141" i="15"/>
  <c r="H141" i="15"/>
  <c r="I140" i="15"/>
  <c r="H140" i="15"/>
  <c r="I139" i="15"/>
  <c r="H139" i="15"/>
  <c r="I138" i="15"/>
  <c r="H138" i="15"/>
  <c r="I137" i="15"/>
  <c r="H137" i="15"/>
  <c r="I136" i="15"/>
  <c r="H136" i="15"/>
  <c r="I135" i="15"/>
  <c r="H135" i="15"/>
  <c r="I134" i="15"/>
  <c r="H134" i="15"/>
  <c r="I133" i="15"/>
  <c r="H133" i="15"/>
  <c r="I132" i="15"/>
  <c r="H132" i="15"/>
  <c r="I131" i="15"/>
  <c r="H131" i="15"/>
  <c r="I130" i="15"/>
  <c r="H130" i="15"/>
  <c r="I129" i="15"/>
  <c r="H129" i="15"/>
  <c r="I128" i="15"/>
  <c r="H128" i="15"/>
  <c r="I127" i="15"/>
  <c r="H127" i="15"/>
  <c r="I126" i="15"/>
  <c r="H126" i="15"/>
  <c r="I125" i="15"/>
  <c r="H125" i="15"/>
  <c r="I124" i="15"/>
  <c r="H124" i="15"/>
  <c r="I123" i="15"/>
  <c r="H123" i="15"/>
  <c r="I122" i="15"/>
  <c r="H122" i="15"/>
  <c r="I121" i="15"/>
  <c r="H121" i="15"/>
  <c r="I120" i="15"/>
  <c r="H120" i="15"/>
  <c r="I119" i="15"/>
  <c r="H119" i="15"/>
  <c r="I118" i="15"/>
  <c r="H118" i="15"/>
  <c r="I117" i="15"/>
  <c r="H117" i="15"/>
  <c r="I116" i="15"/>
  <c r="H116" i="15"/>
  <c r="I115" i="15"/>
  <c r="H115" i="15"/>
  <c r="I114" i="15"/>
  <c r="H114" i="15"/>
  <c r="I113" i="15"/>
  <c r="H113" i="15"/>
  <c r="I112" i="15"/>
  <c r="H112" i="15"/>
  <c r="I111" i="15"/>
  <c r="H111" i="15"/>
  <c r="I110" i="15"/>
  <c r="H110" i="15"/>
  <c r="I109" i="15"/>
  <c r="H109" i="15"/>
  <c r="I108" i="15"/>
  <c r="H108" i="15"/>
  <c r="I107" i="15"/>
  <c r="H107" i="15"/>
  <c r="I106" i="15"/>
  <c r="H106" i="15"/>
  <c r="I105" i="15"/>
  <c r="H105" i="15"/>
  <c r="I104" i="15"/>
  <c r="H104" i="15"/>
  <c r="I103" i="15"/>
  <c r="H103" i="15"/>
  <c r="I102" i="15"/>
  <c r="H102" i="15"/>
  <c r="I101" i="15"/>
  <c r="H101" i="15"/>
  <c r="I100" i="15"/>
  <c r="H100" i="15"/>
  <c r="I99" i="15"/>
  <c r="H99" i="15"/>
  <c r="I98" i="15"/>
  <c r="H98" i="15"/>
  <c r="I97" i="15"/>
  <c r="H97" i="15"/>
  <c r="I96" i="15"/>
  <c r="H96" i="15"/>
  <c r="I95" i="15"/>
  <c r="H95" i="15"/>
  <c r="I94" i="15"/>
  <c r="H94" i="15"/>
  <c r="I93" i="15"/>
  <c r="H93" i="15"/>
  <c r="I92" i="15"/>
  <c r="H92" i="15"/>
  <c r="I91" i="15"/>
  <c r="H91" i="15"/>
  <c r="I90" i="15"/>
  <c r="H90" i="15"/>
  <c r="I89" i="15"/>
  <c r="H89" i="15"/>
  <c r="I88" i="15"/>
  <c r="H88" i="15"/>
  <c r="I87" i="15"/>
  <c r="H87" i="15"/>
  <c r="I86" i="15"/>
  <c r="H86" i="15"/>
  <c r="I85" i="15"/>
  <c r="H85" i="15"/>
  <c r="I84" i="15"/>
  <c r="H84" i="15"/>
  <c r="I83" i="15"/>
  <c r="H83" i="15"/>
  <c r="I82" i="15"/>
  <c r="H82" i="15"/>
  <c r="I81" i="15"/>
  <c r="H81" i="15"/>
  <c r="I80" i="15"/>
  <c r="H80" i="15"/>
  <c r="I79" i="15"/>
  <c r="H79" i="15"/>
  <c r="I78" i="15"/>
  <c r="H78" i="15"/>
  <c r="I77" i="15"/>
  <c r="H77" i="15"/>
  <c r="I76" i="15"/>
  <c r="H76" i="15"/>
  <c r="I75" i="15"/>
  <c r="H75" i="15"/>
  <c r="I74" i="15"/>
  <c r="H74" i="15"/>
  <c r="I73" i="15"/>
  <c r="H73" i="15"/>
  <c r="I72" i="15"/>
  <c r="H72" i="15"/>
  <c r="I71" i="15"/>
  <c r="H71" i="15"/>
  <c r="I70" i="15"/>
  <c r="H70" i="15"/>
  <c r="I69" i="15"/>
  <c r="H69" i="15"/>
  <c r="I68" i="15"/>
  <c r="H68" i="15"/>
  <c r="I67" i="15"/>
  <c r="H67" i="15"/>
  <c r="I66" i="15"/>
  <c r="H66" i="15"/>
  <c r="I65" i="15"/>
  <c r="H65" i="15"/>
  <c r="I64" i="15"/>
  <c r="H64" i="15"/>
  <c r="I63" i="15"/>
  <c r="H63" i="15"/>
  <c r="I62" i="15"/>
  <c r="H62" i="15"/>
  <c r="I61" i="15"/>
  <c r="H61" i="15"/>
  <c r="I60" i="15"/>
  <c r="H60" i="15"/>
  <c r="I59" i="15"/>
  <c r="H59" i="15"/>
  <c r="I58" i="15"/>
  <c r="H58" i="15"/>
  <c r="I57" i="15"/>
  <c r="H57" i="15"/>
  <c r="I56" i="15"/>
  <c r="H56" i="15"/>
  <c r="I55" i="15"/>
  <c r="H55" i="15"/>
  <c r="I54" i="15"/>
  <c r="H54" i="15"/>
  <c r="I53" i="15"/>
  <c r="H53" i="15"/>
  <c r="I52" i="15"/>
  <c r="H52" i="15"/>
  <c r="I51" i="15"/>
  <c r="H51" i="15"/>
  <c r="I50" i="15"/>
  <c r="H50" i="15"/>
  <c r="I49" i="15"/>
  <c r="H49" i="15"/>
  <c r="I48" i="15"/>
  <c r="H48" i="15"/>
  <c r="I47" i="15"/>
  <c r="H47" i="15"/>
  <c r="I46" i="15"/>
  <c r="H46" i="15"/>
  <c r="I45" i="15"/>
  <c r="H45" i="15"/>
  <c r="I44" i="15"/>
  <c r="H44" i="15"/>
  <c r="I43" i="15"/>
  <c r="H43" i="15"/>
  <c r="I42" i="15"/>
  <c r="H42" i="15"/>
  <c r="I41" i="15"/>
  <c r="H41" i="15"/>
  <c r="I40" i="15"/>
  <c r="H40" i="15"/>
  <c r="I39" i="15"/>
  <c r="H39" i="15"/>
  <c r="I38" i="15"/>
  <c r="H38" i="15"/>
  <c r="I37" i="15"/>
  <c r="H37" i="15"/>
  <c r="I36" i="15"/>
  <c r="H36" i="15"/>
  <c r="H15" i="3" s="1"/>
  <c r="H34" i="3" s="1"/>
  <c r="I35" i="15"/>
  <c r="H35" i="15"/>
  <c r="I34" i="15"/>
  <c r="H34" i="15"/>
  <c r="I33" i="15"/>
  <c r="H33" i="15"/>
  <c r="I32" i="15"/>
  <c r="H32" i="15"/>
  <c r="I31" i="15"/>
  <c r="H31" i="15"/>
  <c r="I30" i="15"/>
  <c r="H30" i="15"/>
  <c r="I29" i="15"/>
  <c r="H29" i="15"/>
  <c r="I28" i="15"/>
  <c r="H28" i="15"/>
  <c r="I27" i="15"/>
  <c r="H27" i="15"/>
  <c r="I26" i="15"/>
  <c r="H26" i="15"/>
  <c r="I25" i="15"/>
  <c r="H25" i="15"/>
  <c r="I24" i="15"/>
  <c r="H24" i="15"/>
  <c r="I23" i="15"/>
  <c r="H23" i="15"/>
  <c r="I22" i="15"/>
  <c r="H22" i="15"/>
  <c r="I21" i="15"/>
  <c r="H21" i="15"/>
  <c r="I20" i="15"/>
  <c r="H20" i="15"/>
  <c r="I19" i="15"/>
  <c r="H19" i="15"/>
  <c r="I18" i="15"/>
  <c r="H18" i="15"/>
  <c r="I17" i="15"/>
  <c r="H17" i="15"/>
  <c r="I16" i="15"/>
  <c r="H16" i="15"/>
  <c r="I15" i="15"/>
  <c r="H15" i="15"/>
  <c r="I14" i="15"/>
  <c r="H14" i="15"/>
  <c r="I13" i="15"/>
  <c r="H13" i="15"/>
  <c r="I12" i="15"/>
  <c r="H12" i="15"/>
  <c r="I11" i="15"/>
  <c r="H11" i="15"/>
  <c r="I10" i="15"/>
  <c r="H10" i="15"/>
  <c r="I9" i="15"/>
  <c r="H9" i="15"/>
  <c r="I8" i="15"/>
  <c r="H8" i="15"/>
  <c r="I7" i="15"/>
  <c r="H7" i="15"/>
  <c r="I6" i="15"/>
  <c r="H6" i="15"/>
  <c r="I5" i="15"/>
  <c r="H5" i="15"/>
  <c r="J504" i="14"/>
  <c r="F504" i="14"/>
  <c r="J503" i="14"/>
  <c r="F503" i="14"/>
  <c r="J502" i="14"/>
  <c r="F502" i="14"/>
  <c r="J501" i="14"/>
  <c r="F501" i="14"/>
  <c r="J500" i="14"/>
  <c r="F500" i="14"/>
  <c r="J499" i="14"/>
  <c r="F499" i="14"/>
  <c r="J498" i="14"/>
  <c r="F498" i="14"/>
  <c r="J497" i="14"/>
  <c r="F497" i="14"/>
  <c r="J496" i="14"/>
  <c r="F496" i="14"/>
  <c r="J495" i="14"/>
  <c r="F495" i="14"/>
  <c r="J494" i="14"/>
  <c r="F494" i="14"/>
  <c r="J493" i="14"/>
  <c r="F493" i="14"/>
  <c r="J492" i="14"/>
  <c r="F492" i="14"/>
  <c r="J491" i="14"/>
  <c r="F491" i="14"/>
  <c r="J490" i="14"/>
  <c r="F490" i="14"/>
  <c r="J489" i="14"/>
  <c r="F489" i="14"/>
  <c r="J488" i="14"/>
  <c r="F488" i="14"/>
  <c r="J487" i="14"/>
  <c r="F487" i="14"/>
  <c r="J486" i="14"/>
  <c r="F486" i="14"/>
  <c r="J485" i="14"/>
  <c r="F485" i="14"/>
  <c r="J484" i="14"/>
  <c r="F484" i="14"/>
  <c r="J483" i="14"/>
  <c r="F483" i="14"/>
  <c r="J482" i="14"/>
  <c r="F482" i="14"/>
  <c r="J481" i="14"/>
  <c r="F481" i="14"/>
  <c r="J480" i="14"/>
  <c r="F480" i="14"/>
  <c r="J479" i="14"/>
  <c r="F479" i="14"/>
  <c r="J478" i="14"/>
  <c r="F478" i="14"/>
  <c r="J477" i="14"/>
  <c r="F477" i="14"/>
  <c r="J476" i="14"/>
  <c r="F476" i="14"/>
  <c r="J475" i="14"/>
  <c r="F475" i="14"/>
  <c r="J474" i="14"/>
  <c r="F474" i="14"/>
  <c r="J473" i="14"/>
  <c r="F473" i="14"/>
  <c r="J472" i="14"/>
  <c r="F472" i="14"/>
  <c r="J471" i="14"/>
  <c r="F471" i="14"/>
  <c r="J470" i="14"/>
  <c r="F470" i="14"/>
  <c r="J469" i="14"/>
  <c r="F469" i="14"/>
  <c r="J468" i="14"/>
  <c r="F468" i="14"/>
  <c r="J467" i="14"/>
  <c r="F467" i="14"/>
  <c r="J466" i="14"/>
  <c r="F466" i="14"/>
  <c r="J465" i="14"/>
  <c r="F465" i="14"/>
  <c r="J464" i="14"/>
  <c r="F464" i="14"/>
  <c r="J463" i="14"/>
  <c r="F463" i="14"/>
  <c r="J462" i="14"/>
  <c r="F462" i="14"/>
  <c r="J461" i="14"/>
  <c r="F461" i="14"/>
  <c r="J460" i="14"/>
  <c r="F460" i="14"/>
  <c r="J459" i="14"/>
  <c r="F459" i="14"/>
  <c r="J458" i="14"/>
  <c r="F458" i="14"/>
  <c r="J457" i="14"/>
  <c r="F457" i="14"/>
  <c r="J456" i="14"/>
  <c r="F456" i="14"/>
  <c r="J455" i="14"/>
  <c r="F455" i="14"/>
  <c r="J454" i="14"/>
  <c r="F454" i="14"/>
  <c r="J453" i="14"/>
  <c r="F453" i="14"/>
  <c r="J452" i="14"/>
  <c r="F452" i="14"/>
  <c r="J451" i="14"/>
  <c r="F451" i="14"/>
  <c r="J450" i="14"/>
  <c r="F450" i="14"/>
  <c r="J449" i="14"/>
  <c r="F449" i="14"/>
  <c r="J448" i="14"/>
  <c r="F448" i="14"/>
  <c r="J447" i="14"/>
  <c r="F447" i="14"/>
  <c r="J446" i="14"/>
  <c r="F446" i="14"/>
  <c r="J445" i="14"/>
  <c r="F445" i="14"/>
  <c r="J444" i="14"/>
  <c r="F444" i="14"/>
  <c r="J443" i="14"/>
  <c r="F443" i="14"/>
  <c r="J442" i="14"/>
  <c r="F442" i="14"/>
  <c r="J441" i="14"/>
  <c r="F441" i="14"/>
  <c r="J440" i="14"/>
  <c r="F440" i="14"/>
  <c r="J439" i="14"/>
  <c r="F439" i="14"/>
  <c r="J438" i="14"/>
  <c r="F438" i="14"/>
  <c r="J437" i="14"/>
  <c r="F437" i="14"/>
  <c r="J436" i="14"/>
  <c r="F436" i="14"/>
  <c r="J435" i="14"/>
  <c r="F435" i="14"/>
  <c r="J434" i="14"/>
  <c r="F434" i="14"/>
  <c r="J433" i="14"/>
  <c r="F433" i="14"/>
  <c r="J432" i="14"/>
  <c r="F432" i="14"/>
  <c r="J431" i="14"/>
  <c r="F431" i="14"/>
  <c r="J430" i="14"/>
  <c r="F430" i="14"/>
  <c r="J429" i="14"/>
  <c r="F429" i="14"/>
  <c r="J428" i="14"/>
  <c r="F428" i="14"/>
  <c r="J427" i="14"/>
  <c r="F427" i="14"/>
  <c r="J426" i="14"/>
  <c r="F426" i="14"/>
  <c r="J425" i="14"/>
  <c r="F425" i="14"/>
  <c r="J424" i="14"/>
  <c r="F424" i="14"/>
  <c r="J423" i="14"/>
  <c r="F423" i="14"/>
  <c r="J422" i="14"/>
  <c r="F422" i="14"/>
  <c r="J421" i="14"/>
  <c r="F421" i="14"/>
  <c r="J420" i="14"/>
  <c r="F420" i="14"/>
  <c r="J419" i="14"/>
  <c r="F419" i="14"/>
  <c r="J418" i="14"/>
  <c r="F418" i="14"/>
  <c r="J417" i="14"/>
  <c r="F417" i="14"/>
  <c r="J416" i="14"/>
  <c r="F416" i="14"/>
  <c r="J415" i="14"/>
  <c r="F415" i="14"/>
  <c r="J414" i="14"/>
  <c r="F414" i="14"/>
  <c r="J413" i="14"/>
  <c r="F413" i="14"/>
  <c r="J412" i="14"/>
  <c r="F412" i="14"/>
  <c r="J411" i="14"/>
  <c r="F411" i="14"/>
  <c r="J410" i="14"/>
  <c r="F410" i="14"/>
  <c r="J409" i="14"/>
  <c r="F409" i="14"/>
  <c r="J408" i="14"/>
  <c r="F408" i="14"/>
  <c r="J407" i="14"/>
  <c r="F407" i="14"/>
  <c r="J406" i="14"/>
  <c r="F406" i="14"/>
  <c r="J405" i="14"/>
  <c r="F405" i="14"/>
  <c r="J404" i="14"/>
  <c r="F404" i="14"/>
  <c r="J403" i="14"/>
  <c r="F403" i="14"/>
  <c r="J402" i="14"/>
  <c r="F402" i="14"/>
  <c r="J401" i="14"/>
  <c r="F401" i="14"/>
  <c r="J400" i="14"/>
  <c r="F400" i="14"/>
  <c r="J399" i="14"/>
  <c r="F399" i="14"/>
  <c r="J398" i="14"/>
  <c r="F398" i="14"/>
  <c r="J397" i="14"/>
  <c r="F397" i="14"/>
  <c r="J396" i="14"/>
  <c r="F396" i="14"/>
  <c r="J395" i="14"/>
  <c r="F395" i="14"/>
  <c r="J394" i="14"/>
  <c r="F394" i="14"/>
  <c r="J393" i="14"/>
  <c r="F393" i="14"/>
  <c r="J392" i="14"/>
  <c r="F392" i="14"/>
  <c r="J391" i="14"/>
  <c r="F391" i="14"/>
  <c r="J390" i="14"/>
  <c r="F390" i="14"/>
  <c r="J389" i="14"/>
  <c r="F389" i="14"/>
  <c r="J388" i="14"/>
  <c r="F388" i="14"/>
  <c r="J387" i="14"/>
  <c r="F387" i="14"/>
  <c r="J386" i="14"/>
  <c r="F386" i="14"/>
  <c r="J385" i="14"/>
  <c r="F385" i="14"/>
  <c r="J384" i="14"/>
  <c r="F384" i="14"/>
  <c r="J383" i="14"/>
  <c r="F383" i="14"/>
  <c r="J382" i="14"/>
  <c r="F382" i="14"/>
  <c r="J381" i="14"/>
  <c r="F381" i="14"/>
  <c r="J380" i="14"/>
  <c r="F380" i="14"/>
  <c r="J379" i="14"/>
  <c r="F379" i="14"/>
  <c r="J378" i="14"/>
  <c r="F378" i="14"/>
  <c r="J377" i="14"/>
  <c r="F377" i="14"/>
  <c r="J376" i="14"/>
  <c r="F376" i="14"/>
  <c r="J375" i="14"/>
  <c r="F375" i="14"/>
  <c r="J374" i="14"/>
  <c r="F374" i="14"/>
  <c r="J373" i="14"/>
  <c r="F373" i="14"/>
  <c r="J372" i="14"/>
  <c r="F372" i="14"/>
  <c r="J371" i="14"/>
  <c r="F371" i="14"/>
  <c r="J370" i="14"/>
  <c r="F370" i="14"/>
  <c r="J369" i="14"/>
  <c r="F369" i="14"/>
  <c r="J368" i="14"/>
  <c r="F368" i="14"/>
  <c r="J367" i="14"/>
  <c r="F367" i="14"/>
  <c r="J366" i="14"/>
  <c r="F366" i="14"/>
  <c r="J365" i="14"/>
  <c r="F365" i="14"/>
  <c r="J364" i="14"/>
  <c r="F364" i="14"/>
  <c r="J363" i="14"/>
  <c r="F363" i="14"/>
  <c r="J362" i="14"/>
  <c r="F362" i="14"/>
  <c r="J361" i="14"/>
  <c r="F361" i="14"/>
  <c r="J360" i="14"/>
  <c r="F360" i="14"/>
  <c r="J359" i="14"/>
  <c r="F359" i="14"/>
  <c r="J358" i="14"/>
  <c r="F358" i="14"/>
  <c r="J357" i="14"/>
  <c r="F357" i="14"/>
  <c r="J356" i="14"/>
  <c r="F356" i="14"/>
  <c r="J355" i="14"/>
  <c r="F355" i="14"/>
  <c r="J354" i="14"/>
  <c r="F354" i="14"/>
  <c r="J353" i="14"/>
  <c r="F353" i="14"/>
  <c r="J352" i="14"/>
  <c r="F352" i="14"/>
  <c r="J351" i="14"/>
  <c r="F351" i="14"/>
  <c r="J350" i="14"/>
  <c r="F350" i="14"/>
  <c r="J349" i="14"/>
  <c r="F349" i="14"/>
  <c r="J348" i="14"/>
  <c r="F348" i="14"/>
  <c r="J347" i="14"/>
  <c r="F347" i="14"/>
  <c r="J346" i="14"/>
  <c r="F346" i="14"/>
  <c r="J345" i="14"/>
  <c r="F345" i="14"/>
  <c r="J344" i="14"/>
  <c r="F344" i="14"/>
  <c r="J343" i="14"/>
  <c r="F343" i="14"/>
  <c r="J342" i="14"/>
  <c r="F342" i="14"/>
  <c r="J341" i="14"/>
  <c r="F341" i="14"/>
  <c r="J340" i="14"/>
  <c r="F340" i="14"/>
  <c r="J339" i="14"/>
  <c r="F339" i="14"/>
  <c r="J338" i="14"/>
  <c r="F338" i="14"/>
  <c r="J337" i="14"/>
  <c r="F337" i="14"/>
  <c r="J336" i="14"/>
  <c r="F336" i="14"/>
  <c r="J335" i="14"/>
  <c r="F335" i="14"/>
  <c r="J334" i="14"/>
  <c r="F334" i="14"/>
  <c r="J333" i="14"/>
  <c r="F333" i="14"/>
  <c r="J332" i="14"/>
  <c r="F332" i="14"/>
  <c r="J331" i="14"/>
  <c r="F331" i="14"/>
  <c r="J330" i="14"/>
  <c r="F330" i="14"/>
  <c r="J329" i="14"/>
  <c r="F329" i="14"/>
  <c r="J328" i="14"/>
  <c r="F328" i="14"/>
  <c r="J327" i="14"/>
  <c r="F327" i="14"/>
  <c r="J326" i="14"/>
  <c r="F326" i="14"/>
  <c r="J325" i="14"/>
  <c r="F325" i="14"/>
  <c r="J324" i="14"/>
  <c r="F324" i="14"/>
  <c r="J323" i="14"/>
  <c r="F323" i="14"/>
  <c r="J322" i="14"/>
  <c r="F322" i="14"/>
  <c r="J321" i="14"/>
  <c r="F321" i="14"/>
  <c r="J320" i="14"/>
  <c r="F320" i="14"/>
  <c r="J319" i="14"/>
  <c r="F319" i="14"/>
  <c r="J318" i="14"/>
  <c r="F318" i="14"/>
  <c r="J317" i="14"/>
  <c r="F317" i="14"/>
  <c r="J316" i="14"/>
  <c r="F316" i="14"/>
  <c r="J315" i="14"/>
  <c r="F315" i="14"/>
  <c r="J314" i="14"/>
  <c r="F314" i="14"/>
  <c r="J313" i="14"/>
  <c r="F313" i="14"/>
  <c r="J312" i="14"/>
  <c r="F312" i="14"/>
  <c r="J311" i="14"/>
  <c r="F311" i="14"/>
  <c r="J310" i="14"/>
  <c r="F310" i="14"/>
  <c r="J309" i="14"/>
  <c r="F309" i="14"/>
  <c r="J308" i="14"/>
  <c r="F308" i="14"/>
  <c r="J307" i="14"/>
  <c r="F307" i="14"/>
  <c r="J306" i="14"/>
  <c r="F306" i="14"/>
  <c r="J305" i="14"/>
  <c r="F305" i="14"/>
  <c r="J304" i="14"/>
  <c r="F304" i="14"/>
  <c r="J303" i="14"/>
  <c r="F303" i="14"/>
  <c r="J302" i="14"/>
  <c r="F302" i="14"/>
  <c r="J301" i="14"/>
  <c r="F301" i="14"/>
  <c r="J300" i="14"/>
  <c r="F300" i="14"/>
  <c r="J299" i="14"/>
  <c r="F299" i="14"/>
  <c r="J298" i="14"/>
  <c r="F298" i="14"/>
  <c r="J297" i="14"/>
  <c r="F297" i="14"/>
  <c r="J296" i="14"/>
  <c r="F296" i="14"/>
  <c r="J295" i="14"/>
  <c r="F295" i="14"/>
  <c r="J294" i="14"/>
  <c r="F294" i="14"/>
  <c r="J293" i="14"/>
  <c r="F293" i="14"/>
  <c r="J292" i="14"/>
  <c r="F292" i="14"/>
  <c r="J291" i="14"/>
  <c r="F291" i="14"/>
  <c r="J290" i="14"/>
  <c r="F290" i="14"/>
  <c r="J289" i="14"/>
  <c r="F289" i="14"/>
  <c r="J288" i="14"/>
  <c r="F288" i="14"/>
  <c r="J287" i="14"/>
  <c r="F287" i="14"/>
  <c r="J286" i="14"/>
  <c r="F286" i="14"/>
  <c r="J285" i="14"/>
  <c r="F285" i="14"/>
  <c r="J284" i="14"/>
  <c r="F284" i="14"/>
  <c r="J283" i="14"/>
  <c r="F283" i="14"/>
  <c r="J282" i="14"/>
  <c r="F282" i="14"/>
  <c r="J281" i="14"/>
  <c r="F281" i="14"/>
  <c r="J280" i="14"/>
  <c r="F280" i="14"/>
  <c r="J279" i="14"/>
  <c r="F279" i="14"/>
  <c r="J278" i="14"/>
  <c r="F278" i="14"/>
  <c r="J277" i="14"/>
  <c r="F277" i="14"/>
  <c r="J276" i="14"/>
  <c r="F276" i="14"/>
  <c r="J275" i="14"/>
  <c r="F275" i="14"/>
  <c r="J274" i="14"/>
  <c r="F274" i="14"/>
  <c r="J273" i="14"/>
  <c r="F273" i="14"/>
  <c r="J272" i="14"/>
  <c r="F272" i="14"/>
  <c r="J271" i="14"/>
  <c r="F271" i="14"/>
  <c r="J270" i="14"/>
  <c r="F270" i="14"/>
  <c r="J269" i="14"/>
  <c r="F269" i="14"/>
  <c r="J268" i="14"/>
  <c r="F268" i="14"/>
  <c r="J267" i="14"/>
  <c r="F267" i="14"/>
  <c r="J266" i="14"/>
  <c r="F266" i="14"/>
  <c r="J265" i="14"/>
  <c r="F265" i="14"/>
  <c r="J264" i="14"/>
  <c r="F264" i="14"/>
  <c r="J263" i="14"/>
  <c r="F263" i="14"/>
  <c r="J262" i="14"/>
  <c r="F262" i="14"/>
  <c r="J261" i="14"/>
  <c r="F261" i="14"/>
  <c r="J260" i="14"/>
  <c r="F260" i="14"/>
  <c r="J259" i="14"/>
  <c r="F259" i="14"/>
  <c r="J258" i="14"/>
  <c r="F258" i="14"/>
  <c r="J257" i="14"/>
  <c r="F257" i="14"/>
  <c r="J256" i="14"/>
  <c r="F256" i="14"/>
  <c r="J255" i="14"/>
  <c r="F255" i="14"/>
  <c r="J254" i="14"/>
  <c r="F254" i="14"/>
  <c r="J253" i="14"/>
  <c r="F253" i="14"/>
  <c r="J252" i="14"/>
  <c r="F252" i="14"/>
  <c r="J251" i="14"/>
  <c r="F251" i="14"/>
  <c r="J250" i="14"/>
  <c r="F250" i="14"/>
  <c r="J249" i="14"/>
  <c r="F249" i="14"/>
  <c r="J248" i="14"/>
  <c r="F248" i="14"/>
  <c r="J247" i="14"/>
  <c r="F247" i="14"/>
  <c r="J246" i="14"/>
  <c r="F246" i="14"/>
  <c r="J245" i="14"/>
  <c r="F245" i="14"/>
  <c r="J244" i="14"/>
  <c r="F244" i="14"/>
  <c r="J243" i="14"/>
  <c r="F243" i="14"/>
  <c r="J242" i="14"/>
  <c r="F242" i="14"/>
  <c r="J241" i="14"/>
  <c r="F241" i="14"/>
  <c r="J240" i="14"/>
  <c r="F240" i="14"/>
  <c r="J239" i="14"/>
  <c r="F239" i="14"/>
  <c r="J238" i="14"/>
  <c r="F238" i="14"/>
  <c r="J237" i="14"/>
  <c r="F237" i="14"/>
  <c r="J236" i="14"/>
  <c r="F236" i="14"/>
  <c r="J235" i="14"/>
  <c r="F235" i="14"/>
  <c r="J234" i="14"/>
  <c r="F234" i="14"/>
  <c r="J233" i="14"/>
  <c r="F233" i="14"/>
  <c r="J232" i="14"/>
  <c r="F232" i="14"/>
  <c r="J231" i="14"/>
  <c r="F231" i="14"/>
  <c r="J230" i="14"/>
  <c r="F230" i="14"/>
  <c r="J229" i="14"/>
  <c r="F229" i="14"/>
  <c r="J228" i="14"/>
  <c r="F228" i="14"/>
  <c r="J227" i="14"/>
  <c r="F227" i="14"/>
  <c r="J226" i="14"/>
  <c r="F226" i="14"/>
  <c r="J225" i="14"/>
  <c r="F225" i="14"/>
  <c r="J224" i="14"/>
  <c r="F224" i="14"/>
  <c r="J223" i="14"/>
  <c r="F223" i="14"/>
  <c r="J222" i="14"/>
  <c r="F222" i="14"/>
  <c r="J221" i="14"/>
  <c r="F221" i="14"/>
  <c r="J220" i="14"/>
  <c r="F220" i="14"/>
  <c r="J219" i="14"/>
  <c r="F219" i="14"/>
  <c r="J218" i="14"/>
  <c r="F218" i="14"/>
  <c r="J217" i="14"/>
  <c r="F217" i="14"/>
  <c r="J216" i="14"/>
  <c r="F216" i="14"/>
  <c r="J215" i="14"/>
  <c r="F215" i="14"/>
  <c r="J214" i="14"/>
  <c r="F214" i="14"/>
  <c r="J213" i="14"/>
  <c r="F213" i="14"/>
  <c r="J212" i="14"/>
  <c r="F212" i="14"/>
  <c r="J211" i="14"/>
  <c r="F211" i="14"/>
  <c r="J210" i="14"/>
  <c r="F210" i="14"/>
  <c r="J209" i="14"/>
  <c r="F209" i="14"/>
  <c r="J208" i="14"/>
  <c r="F208" i="14"/>
  <c r="J207" i="14"/>
  <c r="F207" i="14"/>
  <c r="J206" i="14"/>
  <c r="F206" i="14"/>
  <c r="J205" i="14"/>
  <c r="F205" i="14"/>
  <c r="J204" i="14"/>
  <c r="F204" i="14"/>
  <c r="J203" i="14"/>
  <c r="F203" i="14"/>
  <c r="J202" i="14"/>
  <c r="F202" i="14"/>
  <c r="J201" i="14"/>
  <c r="F201" i="14"/>
  <c r="J200" i="14"/>
  <c r="F200" i="14"/>
  <c r="J199" i="14"/>
  <c r="F199" i="14"/>
  <c r="J198" i="14"/>
  <c r="F198" i="14"/>
  <c r="J197" i="14"/>
  <c r="F197" i="14"/>
  <c r="J196" i="14"/>
  <c r="F196" i="14"/>
  <c r="J195" i="14"/>
  <c r="F195" i="14"/>
  <c r="J194" i="14"/>
  <c r="F194" i="14"/>
  <c r="J193" i="14"/>
  <c r="F193" i="14"/>
  <c r="J192" i="14"/>
  <c r="F192" i="14"/>
  <c r="J191" i="14"/>
  <c r="F191" i="14"/>
  <c r="J190" i="14"/>
  <c r="F190" i="14"/>
  <c r="J189" i="14"/>
  <c r="F189" i="14"/>
  <c r="J188" i="14"/>
  <c r="F188" i="14"/>
  <c r="J187" i="14"/>
  <c r="F187" i="14"/>
  <c r="J186" i="14"/>
  <c r="F186" i="14"/>
  <c r="J185" i="14"/>
  <c r="F185" i="14"/>
  <c r="J184" i="14"/>
  <c r="F184" i="14"/>
  <c r="J183" i="14"/>
  <c r="F183" i="14"/>
  <c r="J182" i="14"/>
  <c r="F182" i="14"/>
  <c r="J181" i="14"/>
  <c r="F181" i="14"/>
  <c r="J180" i="14"/>
  <c r="F180" i="14"/>
  <c r="J179" i="14"/>
  <c r="F179" i="14"/>
  <c r="J178" i="14"/>
  <c r="F178" i="14"/>
  <c r="J177" i="14"/>
  <c r="F177" i="14"/>
  <c r="J176" i="14"/>
  <c r="F176" i="14"/>
  <c r="J175" i="14"/>
  <c r="F175" i="14"/>
  <c r="J174" i="14"/>
  <c r="F174" i="14"/>
  <c r="J173" i="14"/>
  <c r="F173" i="14"/>
  <c r="J172" i="14"/>
  <c r="F172" i="14"/>
  <c r="J171" i="14"/>
  <c r="F171" i="14"/>
  <c r="J170" i="14"/>
  <c r="F170" i="14"/>
  <c r="J169" i="14"/>
  <c r="F169" i="14"/>
  <c r="J168" i="14"/>
  <c r="F168" i="14"/>
  <c r="J167" i="14"/>
  <c r="F167" i="14"/>
  <c r="J166" i="14"/>
  <c r="F166" i="14"/>
  <c r="J165" i="14"/>
  <c r="F165" i="14"/>
  <c r="J164" i="14"/>
  <c r="F164" i="14"/>
  <c r="J163" i="14"/>
  <c r="F163" i="14"/>
  <c r="J162" i="14"/>
  <c r="F162" i="14"/>
  <c r="J161" i="14"/>
  <c r="F161" i="14"/>
  <c r="J160" i="14"/>
  <c r="F160" i="14"/>
  <c r="J159" i="14"/>
  <c r="F159" i="14"/>
  <c r="J158" i="14"/>
  <c r="F158" i="14"/>
  <c r="J157" i="14"/>
  <c r="F157" i="14"/>
  <c r="J156" i="14"/>
  <c r="F156" i="14"/>
  <c r="J155" i="14"/>
  <c r="F155" i="14"/>
  <c r="J154" i="14"/>
  <c r="F154" i="14"/>
  <c r="J153" i="14"/>
  <c r="F153" i="14"/>
  <c r="J152" i="14"/>
  <c r="F152" i="14"/>
  <c r="J151" i="14"/>
  <c r="F151" i="14"/>
  <c r="J150" i="14"/>
  <c r="F150" i="14"/>
  <c r="J149" i="14"/>
  <c r="F149" i="14"/>
  <c r="J148" i="14"/>
  <c r="F148" i="14"/>
  <c r="J147" i="14"/>
  <c r="F147" i="14"/>
  <c r="J146" i="14"/>
  <c r="F146" i="14"/>
  <c r="J145" i="14"/>
  <c r="F145" i="14"/>
  <c r="J144" i="14"/>
  <c r="F144" i="14"/>
  <c r="J143" i="14"/>
  <c r="F143" i="14"/>
  <c r="J142" i="14"/>
  <c r="F142" i="14"/>
  <c r="J141" i="14"/>
  <c r="F141" i="14"/>
  <c r="J140" i="14"/>
  <c r="F140" i="14"/>
  <c r="J139" i="14"/>
  <c r="F139" i="14"/>
  <c r="J138" i="14"/>
  <c r="F138" i="14"/>
  <c r="J137" i="14"/>
  <c r="F137" i="14"/>
  <c r="J136" i="14"/>
  <c r="F136" i="14"/>
  <c r="J135" i="14"/>
  <c r="F135" i="14"/>
  <c r="J134" i="14"/>
  <c r="F134" i="14"/>
  <c r="J133" i="14"/>
  <c r="F133" i="14"/>
  <c r="J132" i="14"/>
  <c r="F132" i="14"/>
  <c r="J131" i="14"/>
  <c r="F131" i="14"/>
  <c r="J130" i="14"/>
  <c r="F130" i="14"/>
  <c r="J129" i="14"/>
  <c r="F129" i="14"/>
  <c r="J128" i="14"/>
  <c r="F128" i="14"/>
  <c r="J127" i="14"/>
  <c r="F127" i="14"/>
  <c r="J126" i="14"/>
  <c r="F126" i="14"/>
  <c r="J125" i="14"/>
  <c r="F125" i="14"/>
  <c r="J124" i="14"/>
  <c r="F124" i="14"/>
  <c r="J123" i="14"/>
  <c r="F123" i="14"/>
  <c r="J122" i="14"/>
  <c r="F122" i="14"/>
  <c r="J121" i="14"/>
  <c r="F121" i="14"/>
  <c r="J120" i="14"/>
  <c r="F120" i="14"/>
  <c r="J119" i="14"/>
  <c r="F119" i="14"/>
  <c r="J118" i="14"/>
  <c r="F118" i="14"/>
  <c r="J117" i="14"/>
  <c r="F117" i="14"/>
  <c r="J116" i="14"/>
  <c r="F116" i="14"/>
  <c r="J115" i="14"/>
  <c r="F115" i="14"/>
  <c r="J114" i="14"/>
  <c r="F114" i="14"/>
  <c r="J113" i="14"/>
  <c r="F113" i="14"/>
  <c r="J112" i="14"/>
  <c r="F112" i="14"/>
  <c r="J111" i="14"/>
  <c r="F111" i="14"/>
  <c r="J110" i="14"/>
  <c r="F110" i="14"/>
  <c r="J109" i="14"/>
  <c r="F109" i="14"/>
  <c r="J108" i="14"/>
  <c r="F108" i="14"/>
  <c r="J107" i="14"/>
  <c r="F107" i="14"/>
  <c r="J106" i="14"/>
  <c r="F106" i="14"/>
  <c r="J105" i="14"/>
  <c r="F105" i="14"/>
  <c r="J104" i="14"/>
  <c r="F104" i="14"/>
  <c r="J103" i="14"/>
  <c r="F103" i="14"/>
  <c r="J102" i="14"/>
  <c r="F102" i="14"/>
  <c r="J101" i="14"/>
  <c r="F101" i="14"/>
  <c r="J100" i="14"/>
  <c r="F100" i="14"/>
  <c r="J99" i="14"/>
  <c r="F99" i="14"/>
  <c r="J98" i="14"/>
  <c r="F98" i="14"/>
  <c r="J97" i="14"/>
  <c r="F97" i="14"/>
  <c r="J96" i="14"/>
  <c r="F96" i="14"/>
  <c r="J95" i="14"/>
  <c r="F95" i="14"/>
  <c r="J94" i="14"/>
  <c r="F94" i="14"/>
  <c r="J93" i="14"/>
  <c r="F93" i="14"/>
  <c r="J92" i="14"/>
  <c r="F92" i="14"/>
  <c r="J91" i="14"/>
  <c r="F91" i="14"/>
  <c r="J90" i="14"/>
  <c r="F90" i="14"/>
  <c r="J89" i="14"/>
  <c r="F89" i="14"/>
  <c r="J88" i="14"/>
  <c r="F88" i="14"/>
  <c r="J87" i="14"/>
  <c r="F87" i="14"/>
  <c r="J86" i="14"/>
  <c r="F86" i="14"/>
  <c r="J85" i="14"/>
  <c r="F85" i="14"/>
  <c r="J84" i="14"/>
  <c r="F84" i="14"/>
  <c r="J83" i="14"/>
  <c r="F83" i="14"/>
  <c r="J82" i="14"/>
  <c r="F82" i="14"/>
  <c r="J81" i="14"/>
  <c r="F81" i="14"/>
  <c r="J80" i="14"/>
  <c r="F80" i="14"/>
  <c r="J79" i="14"/>
  <c r="F79" i="14"/>
  <c r="J78" i="14"/>
  <c r="F78" i="14"/>
  <c r="J77" i="14"/>
  <c r="F77" i="14"/>
  <c r="J76" i="14"/>
  <c r="F76" i="14"/>
  <c r="J75" i="14"/>
  <c r="F75" i="14"/>
  <c r="J74" i="14"/>
  <c r="F74" i="14"/>
  <c r="J73" i="14"/>
  <c r="F73" i="14"/>
  <c r="J72" i="14"/>
  <c r="F72" i="14"/>
  <c r="J71" i="14"/>
  <c r="F71" i="14"/>
  <c r="J70" i="14"/>
  <c r="F70" i="14"/>
  <c r="J69" i="14"/>
  <c r="F69" i="14"/>
  <c r="J68" i="14"/>
  <c r="F68" i="14"/>
  <c r="J67" i="14"/>
  <c r="F67" i="14"/>
  <c r="J66" i="14"/>
  <c r="F66" i="14"/>
  <c r="J65" i="14"/>
  <c r="F65" i="14"/>
  <c r="J64" i="14"/>
  <c r="F64" i="14"/>
  <c r="J63" i="14"/>
  <c r="F63" i="14"/>
  <c r="J62" i="14"/>
  <c r="F62" i="14"/>
  <c r="J61" i="14"/>
  <c r="F61" i="14"/>
  <c r="J60" i="14"/>
  <c r="F60" i="14"/>
  <c r="J59" i="14"/>
  <c r="F59" i="14"/>
  <c r="J58" i="14"/>
  <c r="F58" i="14"/>
  <c r="J57" i="14"/>
  <c r="F57" i="14"/>
  <c r="J56" i="14"/>
  <c r="F56" i="14"/>
  <c r="J55" i="14"/>
  <c r="F55" i="14"/>
  <c r="J54" i="14"/>
  <c r="F54" i="14"/>
  <c r="J53" i="14"/>
  <c r="F53" i="14"/>
  <c r="J52" i="14"/>
  <c r="F52" i="14"/>
  <c r="J51" i="14"/>
  <c r="F51" i="14"/>
  <c r="J50" i="14"/>
  <c r="F50" i="14"/>
  <c r="J49" i="14"/>
  <c r="F49" i="14"/>
  <c r="J48" i="14"/>
  <c r="F48" i="14"/>
  <c r="J47" i="14"/>
  <c r="F47" i="14"/>
  <c r="J46" i="14"/>
  <c r="F46" i="14"/>
  <c r="J45" i="14"/>
  <c r="F45" i="14"/>
  <c r="J44" i="14"/>
  <c r="F44" i="14"/>
  <c r="J43" i="14"/>
  <c r="F43" i="14"/>
  <c r="J42" i="14"/>
  <c r="F42" i="14"/>
  <c r="J41" i="14"/>
  <c r="F41" i="14"/>
  <c r="J40" i="14"/>
  <c r="F40" i="14"/>
  <c r="J39" i="14"/>
  <c r="F39" i="14"/>
  <c r="J38" i="14"/>
  <c r="F38" i="14"/>
  <c r="J37" i="14"/>
  <c r="F37" i="14"/>
  <c r="J36" i="14"/>
  <c r="F36" i="14"/>
  <c r="J35" i="14"/>
  <c r="F35" i="14"/>
  <c r="J34" i="14"/>
  <c r="F34" i="14"/>
  <c r="J33" i="14"/>
  <c r="F33" i="14"/>
  <c r="J32" i="14"/>
  <c r="F32" i="14"/>
  <c r="J31" i="14"/>
  <c r="F31" i="14"/>
  <c r="J30" i="14"/>
  <c r="F30" i="14"/>
  <c r="J29" i="14"/>
  <c r="F29" i="14"/>
  <c r="J28" i="14"/>
  <c r="F28" i="14"/>
  <c r="J27" i="14"/>
  <c r="F27" i="14"/>
  <c r="J26" i="14"/>
  <c r="F26" i="14"/>
  <c r="J25" i="14"/>
  <c r="F25" i="14"/>
  <c r="J24" i="14"/>
  <c r="F24" i="14"/>
  <c r="J23" i="14"/>
  <c r="F23" i="14"/>
  <c r="J22" i="14"/>
  <c r="F22" i="14"/>
  <c r="J21" i="14"/>
  <c r="F21" i="14"/>
  <c r="J20" i="14"/>
  <c r="F20" i="14"/>
  <c r="J19" i="14"/>
  <c r="F19" i="14"/>
  <c r="J18" i="14"/>
  <c r="F18" i="14"/>
  <c r="J17" i="14"/>
  <c r="F17" i="14"/>
  <c r="J16" i="14"/>
  <c r="F16" i="14"/>
  <c r="J15" i="14"/>
  <c r="F15" i="14"/>
  <c r="J14" i="14"/>
  <c r="F14" i="14"/>
  <c r="J13" i="14"/>
  <c r="F13" i="14"/>
  <c r="J12" i="14"/>
  <c r="F12" i="14"/>
  <c r="J11" i="14"/>
  <c r="F11" i="14"/>
  <c r="J10" i="14"/>
  <c r="F10" i="14"/>
  <c r="J9" i="14"/>
  <c r="F9" i="14"/>
  <c r="J8" i="14"/>
  <c r="F8" i="14"/>
  <c r="J7" i="14"/>
  <c r="F7" i="14"/>
  <c r="J6" i="14"/>
  <c r="F6" i="14"/>
  <c r="J5" i="14"/>
  <c r="F5" i="14"/>
  <c r="I504" i="13"/>
  <c r="I503" i="13"/>
  <c r="I502" i="13"/>
  <c r="I501" i="13"/>
  <c r="I500" i="13"/>
  <c r="I499" i="13"/>
  <c r="I498" i="13"/>
  <c r="I497" i="13"/>
  <c r="I496" i="13"/>
  <c r="I495" i="13"/>
  <c r="I494" i="13"/>
  <c r="I493" i="13"/>
  <c r="I492" i="13"/>
  <c r="I491" i="13"/>
  <c r="I490" i="13"/>
  <c r="I489" i="13"/>
  <c r="I488" i="13"/>
  <c r="I487" i="13"/>
  <c r="I486" i="13"/>
  <c r="I485" i="13"/>
  <c r="I484" i="13"/>
  <c r="I483" i="13"/>
  <c r="I482" i="13"/>
  <c r="I481" i="13"/>
  <c r="I480" i="13"/>
  <c r="I479" i="13"/>
  <c r="I478" i="13"/>
  <c r="I477" i="13"/>
  <c r="I476" i="13"/>
  <c r="I475" i="13"/>
  <c r="I474" i="13"/>
  <c r="I473" i="13"/>
  <c r="I472" i="13"/>
  <c r="I471" i="13"/>
  <c r="I470" i="13"/>
  <c r="I469" i="13"/>
  <c r="I468" i="13"/>
  <c r="I467" i="13"/>
  <c r="I466" i="13"/>
  <c r="I465" i="13"/>
  <c r="I464" i="13"/>
  <c r="I463" i="13"/>
  <c r="I462" i="13"/>
  <c r="I461" i="13"/>
  <c r="I460" i="13"/>
  <c r="I459" i="13"/>
  <c r="I458" i="13"/>
  <c r="I457" i="13"/>
  <c r="I456" i="13"/>
  <c r="I455" i="13"/>
  <c r="I454" i="13"/>
  <c r="I453" i="13"/>
  <c r="I452" i="13"/>
  <c r="I451" i="13"/>
  <c r="I450" i="13"/>
  <c r="I449" i="13"/>
  <c r="I448" i="13"/>
  <c r="I447" i="13"/>
  <c r="I446" i="13"/>
  <c r="I445" i="13"/>
  <c r="I444" i="13"/>
  <c r="I443" i="13"/>
  <c r="I442" i="13"/>
  <c r="I441" i="13"/>
  <c r="I440" i="13"/>
  <c r="I439" i="13"/>
  <c r="I438" i="13"/>
  <c r="I437" i="13"/>
  <c r="I436" i="13"/>
  <c r="I435" i="13"/>
  <c r="I434" i="13"/>
  <c r="I433" i="13"/>
  <c r="I432" i="13"/>
  <c r="I431" i="13"/>
  <c r="I430" i="13"/>
  <c r="I429" i="13"/>
  <c r="I428" i="13"/>
  <c r="I427" i="13"/>
  <c r="I426" i="13"/>
  <c r="I425" i="13"/>
  <c r="I424" i="13"/>
  <c r="I423" i="13"/>
  <c r="I422" i="13"/>
  <c r="I421" i="13"/>
  <c r="I420" i="13"/>
  <c r="I419" i="13"/>
  <c r="I418" i="13"/>
  <c r="I417" i="13"/>
  <c r="I416" i="13"/>
  <c r="I415" i="13"/>
  <c r="I414" i="13"/>
  <c r="I413" i="13"/>
  <c r="I412" i="13"/>
  <c r="I411" i="13"/>
  <c r="I410" i="13"/>
  <c r="I409" i="13"/>
  <c r="I408" i="13"/>
  <c r="I407" i="13"/>
  <c r="I406" i="13"/>
  <c r="I405" i="13"/>
  <c r="I404" i="13"/>
  <c r="I403" i="13"/>
  <c r="I402" i="13"/>
  <c r="I401" i="13"/>
  <c r="I400" i="13"/>
  <c r="I399" i="13"/>
  <c r="I398" i="13"/>
  <c r="I397" i="13"/>
  <c r="I396" i="13"/>
  <c r="I395" i="13"/>
  <c r="I394" i="13"/>
  <c r="I393" i="13"/>
  <c r="I392" i="13"/>
  <c r="I391" i="13"/>
  <c r="I390" i="13"/>
  <c r="I389" i="13"/>
  <c r="I388" i="13"/>
  <c r="I387" i="13"/>
  <c r="I386" i="13"/>
  <c r="I385" i="13"/>
  <c r="I384" i="13"/>
  <c r="I383" i="13"/>
  <c r="I382" i="13"/>
  <c r="I381" i="13"/>
  <c r="I380" i="13"/>
  <c r="I379" i="13"/>
  <c r="I378" i="13"/>
  <c r="I377" i="13"/>
  <c r="I376" i="13"/>
  <c r="I375" i="13"/>
  <c r="I374" i="13"/>
  <c r="I373" i="13"/>
  <c r="I372" i="13"/>
  <c r="I371" i="13"/>
  <c r="I370" i="13"/>
  <c r="I369" i="13"/>
  <c r="I368" i="13"/>
  <c r="I367" i="13"/>
  <c r="I366" i="13"/>
  <c r="I365" i="13"/>
  <c r="I364" i="13"/>
  <c r="I363" i="13"/>
  <c r="I362" i="13"/>
  <c r="I361" i="13"/>
  <c r="I360" i="13"/>
  <c r="I359" i="13"/>
  <c r="I358" i="13"/>
  <c r="I357" i="13"/>
  <c r="I356" i="13"/>
  <c r="I355" i="13"/>
  <c r="I354" i="13"/>
  <c r="I353" i="13"/>
  <c r="I352" i="13"/>
  <c r="I351" i="13"/>
  <c r="I350" i="13"/>
  <c r="I349" i="13"/>
  <c r="I348" i="13"/>
  <c r="I347" i="13"/>
  <c r="I346" i="13"/>
  <c r="I345" i="13"/>
  <c r="I344" i="13"/>
  <c r="I343" i="13"/>
  <c r="I342" i="13"/>
  <c r="I341" i="13"/>
  <c r="I340" i="13"/>
  <c r="I339" i="13"/>
  <c r="I338" i="13"/>
  <c r="I337" i="13"/>
  <c r="I336" i="13"/>
  <c r="I335" i="13"/>
  <c r="I334" i="13"/>
  <c r="I333" i="13"/>
  <c r="I332" i="13"/>
  <c r="I331" i="13"/>
  <c r="I330" i="13"/>
  <c r="I329" i="13"/>
  <c r="I328" i="13"/>
  <c r="I327" i="13"/>
  <c r="I326" i="13"/>
  <c r="I325" i="13"/>
  <c r="I324" i="13"/>
  <c r="I323" i="13"/>
  <c r="I322" i="13"/>
  <c r="I321" i="13"/>
  <c r="I320" i="13"/>
  <c r="I319" i="13"/>
  <c r="I318" i="13"/>
  <c r="I317" i="13"/>
  <c r="I316" i="13"/>
  <c r="I315" i="13"/>
  <c r="I314" i="13"/>
  <c r="I313" i="13"/>
  <c r="I312" i="13"/>
  <c r="I311" i="13"/>
  <c r="I310" i="13"/>
  <c r="I309" i="13"/>
  <c r="I308" i="13"/>
  <c r="I307" i="13"/>
  <c r="I306" i="13"/>
  <c r="I305" i="13"/>
  <c r="I304" i="13"/>
  <c r="I303" i="13"/>
  <c r="I302" i="13"/>
  <c r="I301" i="13"/>
  <c r="I300" i="13"/>
  <c r="I299" i="13"/>
  <c r="I298" i="13"/>
  <c r="I297" i="13"/>
  <c r="I296" i="13"/>
  <c r="I295" i="13"/>
  <c r="I294" i="13"/>
  <c r="I293" i="13"/>
  <c r="I292" i="13"/>
  <c r="I291" i="13"/>
  <c r="I290" i="13"/>
  <c r="I289" i="13"/>
  <c r="I288" i="13"/>
  <c r="I287" i="13"/>
  <c r="I286" i="13"/>
  <c r="I285" i="13"/>
  <c r="I284" i="13"/>
  <c r="I283" i="13"/>
  <c r="I282" i="13"/>
  <c r="I281" i="13"/>
  <c r="I280" i="13"/>
  <c r="I279" i="13"/>
  <c r="I278" i="13"/>
  <c r="I277" i="13"/>
  <c r="I276" i="13"/>
  <c r="I275" i="13"/>
  <c r="I274" i="13"/>
  <c r="I273" i="13"/>
  <c r="I272" i="13"/>
  <c r="I271" i="13"/>
  <c r="I270" i="13"/>
  <c r="I269" i="13"/>
  <c r="I268" i="13"/>
  <c r="I267" i="13"/>
  <c r="I266" i="13"/>
  <c r="I265" i="13"/>
  <c r="I264" i="13"/>
  <c r="I263" i="13"/>
  <c r="I262" i="13"/>
  <c r="I261" i="13"/>
  <c r="I260" i="13"/>
  <c r="I259" i="13"/>
  <c r="I258" i="13"/>
  <c r="I257" i="13"/>
  <c r="I256" i="13"/>
  <c r="I255" i="13"/>
  <c r="I254" i="13"/>
  <c r="I253" i="13"/>
  <c r="I252" i="13"/>
  <c r="I251" i="13"/>
  <c r="I250" i="13"/>
  <c r="I249" i="13"/>
  <c r="I248" i="13"/>
  <c r="I247" i="13"/>
  <c r="I246" i="13"/>
  <c r="I245" i="13"/>
  <c r="I244" i="13"/>
  <c r="I243" i="13"/>
  <c r="I242" i="13"/>
  <c r="I241" i="13"/>
  <c r="I240" i="13"/>
  <c r="I239" i="13"/>
  <c r="I238" i="13"/>
  <c r="I237" i="13"/>
  <c r="I236" i="13"/>
  <c r="I235" i="13"/>
  <c r="I234" i="13"/>
  <c r="I233" i="13"/>
  <c r="I232" i="13"/>
  <c r="I231" i="13"/>
  <c r="I230" i="13"/>
  <c r="I229" i="13"/>
  <c r="I228" i="13"/>
  <c r="I227" i="13"/>
  <c r="I226" i="13"/>
  <c r="I225" i="13"/>
  <c r="I224" i="13"/>
  <c r="I223" i="13"/>
  <c r="I222" i="13"/>
  <c r="I221" i="13"/>
  <c r="I220" i="13"/>
  <c r="I219" i="13"/>
  <c r="I218" i="13"/>
  <c r="I217" i="13"/>
  <c r="I216" i="13"/>
  <c r="I215" i="13"/>
  <c r="I214" i="13"/>
  <c r="I213" i="13"/>
  <c r="I212" i="13"/>
  <c r="I211" i="13"/>
  <c r="I210" i="13"/>
  <c r="I209" i="13"/>
  <c r="I208" i="13"/>
  <c r="I207" i="13"/>
  <c r="I206" i="13"/>
  <c r="I205" i="13"/>
  <c r="I204" i="13"/>
  <c r="I203" i="13"/>
  <c r="I202" i="13"/>
  <c r="I201" i="13"/>
  <c r="I200" i="13"/>
  <c r="I199" i="13"/>
  <c r="I198" i="13"/>
  <c r="I197" i="13"/>
  <c r="I196" i="13"/>
  <c r="I195" i="13"/>
  <c r="I194" i="13"/>
  <c r="I193" i="13"/>
  <c r="I192" i="13"/>
  <c r="I191" i="13"/>
  <c r="I190" i="13"/>
  <c r="I189" i="13"/>
  <c r="I188" i="13"/>
  <c r="I187" i="13"/>
  <c r="I186" i="13"/>
  <c r="I185" i="13"/>
  <c r="I184" i="13"/>
  <c r="I183" i="13"/>
  <c r="I182" i="13"/>
  <c r="I181" i="13"/>
  <c r="I180" i="13"/>
  <c r="I179" i="13"/>
  <c r="I178" i="13"/>
  <c r="I177" i="13"/>
  <c r="I176" i="13"/>
  <c r="I175" i="13"/>
  <c r="I174" i="13"/>
  <c r="I173" i="13"/>
  <c r="I172" i="13"/>
  <c r="I171" i="13"/>
  <c r="I170" i="13"/>
  <c r="I169" i="13"/>
  <c r="I168" i="13"/>
  <c r="I167" i="13"/>
  <c r="I166" i="13"/>
  <c r="I165" i="13"/>
  <c r="I164" i="13"/>
  <c r="I163" i="13"/>
  <c r="I162" i="13"/>
  <c r="I161" i="13"/>
  <c r="I160" i="13"/>
  <c r="I159" i="13"/>
  <c r="I158" i="13"/>
  <c r="I157" i="13"/>
  <c r="I156" i="13"/>
  <c r="I155" i="13"/>
  <c r="I154" i="13"/>
  <c r="I153" i="13"/>
  <c r="I152" i="13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I139" i="13"/>
  <c r="I138" i="13"/>
  <c r="I137" i="13"/>
  <c r="I136" i="13"/>
  <c r="I135" i="13"/>
  <c r="I134" i="13"/>
  <c r="I133" i="13"/>
  <c r="I132" i="13"/>
  <c r="I131" i="13"/>
  <c r="I130" i="13"/>
  <c r="I129" i="13"/>
  <c r="I128" i="13"/>
  <c r="I127" i="13"/>
  <c r="I126" i="13"/>
  <c r="I125" i="13"/>
  <c r="I124" i="13"/>
  <c r="I123" i="13"/>
  <c r="I122" i="13"/>
  <c r="I121" i="13"/>
  <c r="I120" i="13"/>
  <c r="I119" i="13"/>
  <c r="I118" i="13"/>
  <c r="I117" i="13"/>
  <c r="I116" i="13"/>
  <c r="I115" i="13"/>
  <c r="I114" i="13"/>
  <c r="I113" i="13"/>
  <c r="I112" i="13"/>
  <c r="I111" i="13"/>
  <c r="I110" i="13"/>
  <c r="I109" i="13"/>
  <c r="I108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M12" i="3" s="1"/>
  <c r="M31" i="3" s="1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J504" i="12"/>
  <c r="I504" i="12"/>
  <c r="J503" i="12"/>
  <c r="I503" i="12"/>
  <c r="J502" i="12"/>
  <c r="I502" i="12"/>
  <c r="J501" i="12"/>
  <c r="I501" i="12"/>
  <c r="J500" i="12"/>
  <c r="I500" i="12"/>
  <c r="J499" i="12"/>
  <c r="I499" i="12"/>
  <c r="J498" i="12"/>
  <c r="I498" i="12"/>
  <c r="J497" i="12"/>
  <c r="I497" i="12"/>
  <c r="J496" i="12"/>
  <c r="I496" i="12"/>
  <c r="J495" i="12"/>
  <c r="I495" i="12"/>
  <c r="J494" i="12"/>
  <c r="I494" i="12"/>
  <c r="J493" i="12"/>
  <c r="I493" i="12"/>
  <c r="J492" i="12"/>
  <c r="I492" i="12"/>
  <c r="J491" i="12"/>
  <c r="I491" i="12"/>
  <c r="J490" i="12"/>
  <c r="I490" i="12"/>
  <c r="J489" i="12"/>
  <c r="I489" i="12"/>
  <c r="J488" i="12"/>
  <c r="I488" i="12"/>
  <c r="J487" i="12"/>
  <c r="I487" i="12"/>
  <c r="J486" i="12"/>
  <c r="I486" i="12"/>
  <c r="J485" i="12"/>
  <c r="I485" i="12"/>
  <c r="J484" i="12"/>
  <c r="I484" i="12"/>
  <c r="J483" i="12"/>
  <c r="I483" i="12"/>
  <c r="J482" i="12"/>
  <c r="I482" i="12"/>
  <c r="J481" i="12"/>
  <c r="I481" i="12"/>
  <c r="J480" i="12"/>
  <c r="I480" i="12"/>
  <c r="J479" i="12"/>
  <c r="I479" i="12"/>
  <c r="J478" i="12"/>
  <c r="I478" i="12"/>
  <c r="J477" i="12"/>
  <c r="I477" i="12"/>
  <c r="J476" i="12"/>
  <c r="I476" i="12"/>
  <c r="J475" i="12"/>
  <c r="I475" i="12"/>
  <c r="J474" i="12"/>
  <c r="I474" i="12"/>
  <c r="J473" i="12"/>
  <c r="I473" i="12"/>
  <c r="J472" i="12"/>
  <c r="I472" i="12"/>
  <c r="J471" i="12"/>
  <c r="I471" i="12"/>
  <c r="J470" i="12"/>
  <c r="I470" i="12"/>
  <c r="J469" i="12"/>
  <c r="I469" i="12"/>
  <c r="J468" i="12"/>
  <c r="I468" i="12"/>
  <c r="J467" i="12"/>
  <c r="I467" i="12"/>
  <c r="J466" i="12"/>
  <c r="I466" i="12"/>
  <c r="J465" i="12"/>
  <c r="I465" i="12"/>
  <c r="J464" i="12"/>
  <c r="I464" i="12"/>
  <c r="J463" i="12"/>
  <c r="I463" i="12"/>
  <c r="J462" i="12"/>
  <c r="I462" i="12"/>
  <c r="J461" i="12"/>
  <c r="I461" i="12"/>
  <c r="J460" i="12"/>
  <c r="I460" i="12"/>
  <c r="J459" i="12"/>
  <c r="I459" i="12"/>
  <c r="J458" i="12"/>
  <c r="I458" i="12"/>
  <c r="J457" i="12"/>
  <c r="I457" i="12"/>
  <c r="J456" i="12"/>
  <c r="I456" i="12"/>
  <c r="J455" i="12"/>
  <c r="I455" i="12"/>
  <c r="J454" i="12"/>
  <c r="I454" i="12"/>
  <c r="J453" i="12"/>
  <c r="I453" i="12"/>
  <c r="J452" i="12"/>
  <c r="I452" i="12"/>
  <c r="J451" i="12"/>
  <c r="I451" i="12"/>
  <c r="J450" i="12"/>
  <c r="I450" i="12"/>
  <c r="J449" i="12"/>
  <c r="I449" i="12"/>
  <c r="J448" i="12"/>
  <c r="I448" i="12"/>
  <c r="J447" i="12"/>
  <c r="I447" i="12"/>
  <c r="J446" i="12"/>
  <c r="I446" i="12"/>
  <c r="J445" i="12"/>
  <c r="I445" i="12"/>
  <c r="J444" i="12"/>
  <c r="I444" i="12"/>
  <c r="J443" i="12"/>
  <c r="I443" i="12"/>
  <c r="J442" i="12"/>
  <c r="I442" i="12"/>
  <c r="J441" i="12"/>
  <c r="I441" i="12"/>
  <c r="J440" i="12"/>
  <c r="I440" i="12"/>
  <c r="J439" i="12"/>
  <c r="I439" i="12"/>
  <c r="J438" i="12"/>
  <c r="I438" i="12"/>
  <c r="J437" i="12"/>
  <c r="I437" i="12"/>
  <c r="J436" i="12"/>
  <c r="I436" i="12"/>
  <c r="J435" i="12"/>
  <c r="I435" i="12"/>
  <c r="J434" i="12"/>
  <c r="I434" i="12"/>
  <c r="J433" i="12"/>
  <c r="I433" i="12"/>
  <c r="J432" i="12"/>
  <c r="I432" i="12"/>
  <c r="J431" i="12"/>
  <c r="I431" i="12"/>
  <c r="J430" i="12"/>
  <c r="I430" i="12"/>
  <c r="J429" i="12"/>
  <c r="I429" i="12"/>
  <c r="J428" i="12"/>
  <c r="I428" i="12"/>
  <c r="J427" i="12"/>
  <c r="I427" i="12"/>
  <c r="J426" i="12"/>
  <c r="I426" i="12"/>
  <c r="J425" i="12"/>
  <c r="I425" i="12"/>
  <c r="J424" i="12"/>
  <c r="I424" i="12"/>
  <c r="J423" i="12"/>
  <c r="I423" i="12"/>
  <c r="J422" i="12"/>
  <c r="I422" i="12"/>
  <c r="J421" i="12"/>
  <c r="I421" i="12"/>
  <c r="J420" i="12"/>
  <c r="I420" i="12"/>
  <c r="J419" i="12"/>
  <c r="I419" i="12"/>
  <c r="J418" i="12"/>
  <c r="I418" i="12"/>
  <c r="J417" i="12"/>
  <c r="I417" i="12"/>
  <c r="J416" i="12"/>
  <c r="I416" i="12"/>
  <c r="J415" i="12"/>
  <c r="I415" i="12"/>
  <c r="J414" i="12"/>
  <c r="I414" i="12"/>
  <c r="J413" i="12"/>
  <c r="I413" i="12"/>
  <c r="J412" i="12"/>
  <c r="I412" i="12"/>
  <c r="J411" i="12"/>
  <c r="I411" i="12"/>
  <c r="J410" i="12"/>
  <c r="I410" i="12"/>
  <c r="J409" i="12"/>
  <c r="I409" i="12"/>
  <c r="J408" i="12"/>
  <c r="I408" i="12"/>
  <c r="J407" i="12"/>
  <c r="I407" i="12"/>
  <c r="J406" i="12"/>
  <c r="I406" i="12"/>
  <c r="J405" i="12"/>
  <c r="I405" i="12"/>
  <c r="J404" i="12"/>
  <c r="I404" i="12"/>
  <c r="J403" i="12"/>
  <c r="I403" i="12"/>
  <c r="J402" i="12"/>
  <c r="I402" i="12"/>
  <c r="J401" i="12"/>
  <c r="I401" i="12"/>
  <c r="J400" i="12"/>
  <c r="I400" i="12"/>
  <c r="J399" i="12"/>
  <c r="I399" i="12"/>
  <c r="J398" i="12"/>
  <c r="I398" i="12"/>
  <c r="J397" i="12"/>
  <c r="I397" i="12"/>
  <c r="J396" i="12"/>
  <c r="I396" i="12"/>
  <c r="J395" i="12"/>
  <c r="I395" i="12"/>
  <c r="J394" i="12"/>
  <c r="I394" i="12"/>
  <c r="J393" i="12"/>
  <c r="I393" i="12"/>
  <c r="J392" i="12"/>
  <c r="I392" i="12"/>
  <c r="J391" i="12"/>
  <c r="I391" i="12"/>
  <c r="J390" i="12"/>
  <c r="I390" i="12"/>
  <c r="J389" i="12"/>
  <c r="I389" i="12"/>
  <c r="J388" i="12"/>
  <c r="I388" i="12"/>
  <c r="J387" i="12"/>
  <c r="I387" i="12"/>
  <c r="J386" i="12"/>
  <c r="I386" i="12"/>
  <c r="J385" i="12"/>
  <c r="I385" i="12"/>
  <c r="J384" i="12"/>
  <c r="I384" i="12"/>
  <c r="J383" i="12"/>
  <c r="I383" i="12"/>
  <c r="J382" i="12"/>
  <c r="I382" i="12"/>
  <c r="J381" i="12"/>
  <c r="I381" i="12"/>
  <c r="J380" i="12"/>
  <c r="I380" i="12"/>
  <c r="J379" i="12"/>
  <c r="I379" i="12"/>
  <c r="J378" i="12"/>
  <c r="I378" i="12"/>
  <c r="J377" i="12"/>
  <c r="I377" i="12"/>
  <c r="J376" i="12"/>
  <c r="I376" i="12"/>
  <c r="J375" i="12"/>
  <c r="I375" i="12"/>
  <c r="J374" i="12"/>
  <c r="I374" i="12"/>
  <c r="J373" i="12"/>
  <c r="I373" i="12"/>
  <c r="J372" i="12"/>
  <c r="I372" i="12"/>
  <c r="J371" i="12"/>
  <c r="I371" i="12"/>
  <c r="J370" i="12"/>
  <c r="I370" i="12"/>
  <c r="J369" i="12"/>
  <c r="I369" i="12"/>
  <c r="J368" i="12"/>
  <c r="I368" i="12"/>
  <c r="J367" i="12"/>
  <c r="I367" i="12"/>
  <c r="J366" i="12"/>
  <c r="I366" i="12"/>
  <c r="J365" i="12"/>
  <c r="I365" i="12"/>
  <c r="J364" i="12"/>
  <c r="I364" i="12"/>
  <c r="J363" i="12"/>
  <c r="I363" i="12"/>
  <c r="J362" i="12"/>
  <c r="I362" i="12"/>
  <c r="J361" i="12"/>
  <c r="I361" i="12"/>
  <c r="J360" i="12"/>
  <c r="I360" i="12"/>
  <c r="J359" i="12"/>
  <c r="I359" i="12"/>
  <c r="J358" i="12"/>
  <c r="I358" i="12"/>
  <c r="J357" i="12"/>
  <c r="I357" i="12"/>
  <c r="J356" i="12"/>
  <c r="I356" i="12"/>
  <c r="J355" i="12"/>
  <c r="I355" i="12"/>
  <c r="J354" i="12"/>
  <c r="I354" i="12"/>
  <c r="J353" i="12"/>
  <c r="I353" i="12"/>
  <c r="J352" i="12"/>
  <c r="I352" i="12"/>
  <c r="J351" i="12"/>
  <c r="I351" i="12"/>
  <c r="J350" i="12"/>
  <c r="I350" i="12"/>
  <c r="J349" i="12"/>
  <c r="I349" i="12"/>
  <c r="J348" i="12"/>
  <c r="I348" i="12"/>
  <c r="J347" i="12"/>
  <c r="I347" i="12"/>
  <c r="J346" i="12"/>
  <c r="I346" i="12"/>
  <c r="J345" i="12"/>
  <c r="I345" i="12"/>
  <c r="J344" i="12"/>
  <c r="I344" i="12"/>
  <c r="J343" i="12"/>
  <c r="I343" i="12"/>
  <c r="J342" i="12"/>
  <c r="I342" i="12"/>
  <c r="J341" i="12"/>
  <c r="I341" i="12"/>
  <c r="J340" i="12"/>
  <c r="I340" i="12"/>
  <c r="J339" i="12"/>
  <c r="I339" i="12"/>
  <c r="J338" i="12"/>
  <c r="I338" i="12"/>
  <c r="J337" i="12"/>
  <c r="I337" i="12"/>
  <c r="J336" i="12"/>
  <c r="I336" i="12"/>
  <c r="J335" i="12"/>
  <c r="I335" i="12"/>
  <c r="J334" i="12"/>
  <c r="I334" i="12"/>
  <c r="J333" i="12"/>
  <c r="I333" i="12"/>
  <c r="J332" i="12"/>
  <c r="I332" i="12"/>
  <c r="J331" i="12"/>
  <c r="I331" i="12"/>
  <c r="J330" i="12"/>
  <c r="I330" i="12"/>
  <c r="J329" i="12"/>
  <c r="I329" i="12"/>
  <c r="J328" i="12"/>
  <c r="I328" i="12"/>
  <c r="J327" i="12"/>
  <c r="I327" i="12"/>
  <c r="J326" i="12"/>
  <c r="I326" i="12"/>
  <c r="J325" i="12"/>
  <c r="I325" i="12"/>
  <c r="J324" i="12"/>
  <c r="I324" i="12"/>
  <c r="J323" i="12"/>
  <c r="I323" i="12"/>
  <c r="J322" i="12"/>
  <c r="I322" i="12"/>
  <c r="J321" i="12"/>
  <c r="I321" i="12"/>
  <c r="J320" i="12"/>
  <c r="I320" i="12"/>
  <c r="J319" i="12"/>
  <c r="I319" i="12"/>
  <c r="J318" i="12"/>
  <c r="I318" i="12"/>
  <c r="J317" i="12"/>
  <c r="I317" i="12"/>
  <c r="J316" i="12"/>
  <c r="I316" i="12"/>
  <c r="J315" i="12"/>
  <c r="I315" i="12"/>
  <c r="J314" i="12"/>
  <c r="I314" i="12"/>
  <c r="J313" i="12"/>
  <c r="I313" i="12"/>
  <c r="J312" i="12"/>
  <c r="I312" i="12"/>
  <c r="J311" i="12"/>
  <c r="I311" i="12"/>
  <c r="J310" i="12"/>
  <c r="I310" i="12"/>
  <c r="J309" i="12"/>
  <c r="I309" i="12"/>
  <c r="J308" i="12"/>
  <c r="I308" i="12"/>
  <c r="J307" i="12"/>
  <c r="I307" i="12"/>
  <c r="J306" i="12"/>
  <c r="I306" i="12"/>
  <c r="J305" i="12"/>
  <c r="I305" i="12"/>
  <c r="J304" i="12"/>
  <c r="I304" i="12"/>
  <c r="J303" i="12"/>
  <c r="I303" i="12"/>
  <c r="J302" i="12"/>
  <c r="I302" i="12"/>
  <c r="J301" i="12"/>
  <c r="I301" i="12"/>
  <c r="J300" i="12"/>
  <c r="I300" i="12"/>
  <c r="J299" i="12"/>
  <c r="I299" i="12"/>
  <c r="J298" i="12"/>
  <c r="I298" i="12"/>
  <c r="J297" i="12"/>
  <c r="I297" i="12"/>
  <c r="J296" i="12"/>
  <c r="I296" i="12"/>
  <c r="J295" i="12"/>
  <c r="I295" i="12"/>
  <c r="J294" i="12"/>
  <c r="I294" i="12"/>
  <c r="J293" i="12"/>
  <c r="I293" i="12"/>
  <c r="J292" i="12"/>
  <c r="I292" i="12"/>
  <c r="J291" i="12"/>
  <c r="I291" i="12"/>
  <c r="J290" i="12"/>
  <c r="I290" i="12"/>
  <c r="J289" i="12"/>
  <c r="I289" i="12"/>
  <c r="J288" i="12"/>
  <c r="I288" i="12"/>
  <c r="J287" i="12"/>
  <c r="I287" i="12"/>
  <c r="J286" i="12"/>
  <c r="I286" i="12"/>
  <c r="J285" i="12"/>
  <c r="I285" i="12"/>
  <c r="J284" i="12"/>
  <c r="I284" i="12"/>
  <c r="J283" i="12"/>
  <c r="I283" i="12"/>
  <c r="J282" i="12"/>
  <c r="I282" i="12"/>
  <c r="J281" i="12"/>
  <c r="I281" i="12"/>
  <c r="J280" i="12"/>
  <c r="I280" i="12"/>
  <c r="J279" i="12"/>
  <c r="I279" i="12"/>
  <c r="J278" i="12"/>
  <c r="I278" i="12"/>
  <c r="J277" i="12"/>
  <c r="I277" i="12"/>
  <c r="J276" i="12"/>
  <c r="I276" i="12"/>
  <c r="J275" i="12"/>
  <c r="I275" i="12"/>
  <c r="J274" i="12"/>
  <c r="I274" i="12"/>
  <c r="J273" i="12"/>
  <c r="I273" i="12"/>
  <c r="J272" i="12"/>
  <c r="I272" i="12"/>
  <c r="J271" i="12"/>
  <c r="I271" i="12"/>
  <c r="J270" i="12"/>
  <c r="I270" i="12"/>
  <c r="J269" i="12"/>
  <c r="I269" i="12"/>
  <c r="J268" i="12"/>
  <c r="I268" i="12"/>
  <c r="J267" i="12"/>
  <c r="I267" i="12"/>
  <c r="J266" i="12"/>
  <c r="I266" i="12"/>
  <c r="J265" i="12"/>
  <c r="I265" i="12"/>
  <c r="J264" i="12"/>
  <c r="I264" i="12"/>
  <c r="J263" i="12"/>
  <c r="I263" i="12"/>
  <c r="J262" i="12"/>
  <c r="I262" i="12"/>
  <c r="J261" i="12"/>
  <c r="I261" i="12"/>
  <c r="J260" i="12"/>
  <c r="I260" i="12"/>
  <c r="J259" i="12"/>
  <c r="I259" i="12"/>
  <c r="J258" i="12"/>
  <c r="I258" i="12"/>
  <c r="J257" i="12"/>
  <c r="I257" i="12"/>
  <c r="J256" i="12"/>
  <c r="I256" i="12"/>
  <c r="J255" i="12"/>
  <c r="I255" i="12"/>
  <c r="J254" i="12"/>
  <c r="I254" i="12"/>
  <c r="J253" i="12"/>
  <c r="I253" i="12"/>
  <c r="J252" i="12"/>
  <c r="I252" i="12"/>
  <c r="J251" i="12"/>
  <c r="I251" i="12"/>
  <c r="J250" i="12"/>
  <c r="I250" i="12"/>
  <c r="J249" i="12"/>
  <c r="I249" i="12"/>
  <c r="J248" i="12"/>
  <c r="I248" i="12"/>
  <c r="J247" i="12"/>
  <c r="I247" i="12"/>
  <c r="J246" i="12"/>
  <c r="I246" i="12"/>
  <c r="J245" i="12"/>
  <c r="I245" i="12"/>
  <c r="J244" i="12"/>
  <c r="I244" i="12"/>
  <c r="J243" i="12"/>
  <c r="I243" i="12"/>
  <c r="J242" i="12"/>
  <c r="I242" i="12"/>
  <c r="J241" i="12"/>
  <c r="I241" i="12"/>
  <c r="J240" i="12"/>
  <c r="I240" i="12"/>
  <c r="J239" i="12"/>
  <c r="I239" i="12"/>
  <c r="J238" i="12"/>
  <c r="I238" i="12"/>
  <c r="J237" i="12"/>
  <c r="I237" i="12"/>
  <c r="J236" i="12"/>
  <c r="I236" i="12"/>
  <c r="J235" i="12"/>
  <c r="I235" i="12"/>
  <c r="J234" i="12"/>
  <c r="I234" i="12"/>
  <c r="J233" i="12"/>
  <c r="I233" i="12"/>
  <c r="J232" i="12"/>
  <c r="I232" i="12"/>
  <c r="J231" i="12"/>
  <c r="I231" i="12"/>
  <c r="J230" i="12"/>
  <c r="I230" i="12"/>
  <c r="J229" i="12"/>
  <c r="I229" i="12"/>
  <c r="J228" i="12"/>
  <c r="I228" i="12"/>
  <c r="J227" i="12"/>
  <c r="I227" i="12"/>
  <c r="J226" i="12"/>
  <c r="I226" i="12"/>
  <c r="J225" i="12"/>
  <c r="I225" i="12"/>
  <c r="J224" i="12"/>
  <c r="I224" i="12"/>
  <c r="J223" i="12"/>
  <c r="I223" i="12"/>
  <c r="J222" i="12"/>
  <c r="I222" i="12"/>
  <c r="J221" i="12"/>
  <c r="I221" i="12"/>
  <c r="J220" i="12"/>
  <c r="I220" i="12"/>
  <c r="J219" i="12"/>
  <c r="I219" i="12"/>
  <c r="J218" i="12"/>
  <c r="I218" i="12"/>
  <c r="J217" i="12"/>
  <c r="I217" i="12"/>
  <c r="J216" i="12"/>
  <c r="I216" i="12"/>
  <c r="J215" i="12"/>
  <c r="I215" i="12"/>
  <c r="J214" i="12"/>
  <c r="I214" i="12"/>
  <c r="J213" i="12"/>
  <c r="I213" i="12"/>
  <c r="J212" i="12"/>
  <c r="I212" i="12"/>
  <c r="J211" i="12"/>
  <c r="I211" i="12"/>
  <c r="J210" i="12"/>
  <c r="I210" i="12"/>
  <c r="J209" i="12"/>
  <c r="I209" i="12"/>
  <c r="J208" i="12"/>
  <c r="I208" i="12"/>
  <c r="J207" i="12"/>
  <c r="I207" i="12"/>
  <c r="J206" i="12"/>
  <c r="I206" i="12"/>
  <c r="J205" i="12"/>
  <c r="I205" i="12"/>
  <c r="J204" i="12"/>
  <c r="I204" i="12"/>
  <c r="J203" i="12"/>
  <c r="I203" i="12"/>
  <c r="J202" i="12"/>
  <c r="I202" i="12"/>
  <c r="J201" i="12"/>
  <c r="I201" i="12"/>
  <c r="J200" i="12"/>
  <c r="I200" i="12"/>
  <c r="J199" i="12"/>
  <c r="I199" i="12"/>
  <c r="J198" i="12"/>
  <c r="I198" i="12"/>
  <c r="J197" i="12"/>
  <c r="I197" i="12"/>
  <c r="J196" i="12"/>
  <c r="I196" i="12"/>
  <c r="J195" i="12"/>
  <c r="I195" i="12"/>
  <c r="J194" i="12"/>
  <c r="I194" i="12"/>
  <c r="J193" i="12"/>
  <c r="I193" i="12"/>
  <c r="J192" i="12"/>
  <c r="I192" i="12"/>
  <c r="J191" i="12"/>
  <c r="I191" i="12"/>
  <c r="J190" i="12"/>
  <c r="I190" i="12"/>
  <c r="J189" i="12"/>
  <c r="I189" i="12"/>
  <c r="J188" i="12"/>
  <c r="I188" i="12"/>
  <c r="J187" i="12"/>
  <c r="I187" i="12"/>
  <c r="J186" i="12"/>
  <c r="I186" i="12"/>
  <c r="J185" i="12"/>
  <c r="I185" i="12"/>
  <c r="J184" i="12"/>
  <c r="I184" i="12"/>
  <c r="J183" i="12"/>
  <c r="I183" i="12"/>
  <c r="J182" i="12"/>
  <c r="I182" i="12"/>
  <c r="J181" i="12"/>
  <c r="I181" i="12"/>
  <c r="J180" i="12"/>
  <c r="I180" i="12"/>
  <c r="J179" i="12"/>
  <c r="I179" i="12"/>
  <c r="J178" i="12"/>
  <c r="I178" i="12"/>
  <c r="J177" i="12"/>
  <c r="I177" i="12"/>
  <c r="J176" i="12"/>
  <c r="I176" i="12"/>
  <c r="J175" i="12"/>
  <c r="I175" i="12"/>
  <c r="J174" i="12"/>
  <c r="I174" i="12"/>
  <c r="J173" i="12"/>
  <c r="I173" i="12"/>
  <c r="J172" i="12"/>
  <c r="I172" i="12"/>
  <c r="J171" i="12"/>
  <c r="I171" i="12"/>
  <c r="J170" i="12"/>
  <c r="I170" i="12"/>
  <c r="J169" i="12"/>
  <c r="I169" i="12"/>
  <c r="J168" i="12"/>
  <c r="I168" i="12"/>
  <c r="J167" i="12"/>
  <c r="I167" i="12"/>
  <c r="J166" i="12"/>
  <c r="I166" i="12"/>
  <c r="J165" i="12"/>
  <c r="I165" i="12"/>
  <c r="J164" i="12"/>
  <c r="I164" i="12"/>
  <c r="J163" i="12"/>
  <c r="I163" i="12"/>
  <c r="J162" i="12"/>
  <c r="I162" i="12"/>
  <c r="J161" i="12"/>
  <c r="I161" i="12"/>
  <c r="J160" i="12"/>
  <c r="I160" i="12"/>
  <c r="J159" i="12"/>
  <c r="I159" i="12"/>
  <c r="J158" i="12"/>
  <c r="I158" i="12"/>
  <c r="J157" i="12"/>
  <c r="I157" i="12"/>
  <c r="J156" i="12"/>
  <c r="I156" i="12"/>
  <c r="J155" i="12"/>
  <c r="I155" i="12"/>
  <c r="J154" i="12"/>
  <c r="I154" i="12"/>
  <c r="J153" i="12"/>
  <c r="I153" i="12"/>
  <c r="J152" i="12"/>
  <c r="I152" i="12"/>
  <c r="J151" i="12"/>
  <c r="I151" i="12"/>
  <c r="J150" i="12"/>
  <c r="I150" i="12"/>
  <c r="J149" i="12"/>
  <c r="I149" i="12"/>
  <c r="J148" i="12"/>
  <c r="I148" i="12"/>
  <c r="J147" i="12"/>
  <c r="I147" i="12"/>
  <c r="J146" i="12"/>
  <c r="I146" i="12"/>
  <c r="J145" i="12"/>
  <c r="I145" i="12"/>
  <c r="J144" i="12"/>
  <c r="I144" i="12"/>
  <c r="J143" i="12"/>
  <c r="I143" i="12"/>
  <c r="J142" i="12"/>
  <c r="I142" i="12"/>
  <c r="J141" i="12"/>
  <c r="I141" i="12"/>
  <c r="J140" i="12"/>
  <c r="I140" i="12"/>
  <c r="J139" i="12"/>
  <c r="I139" i="12"/>
  <c r="J138" i="12"/>
  <c r="I138" i="12"/>
  <c r="J137" i="12"/>
  <c r="I137" i="12"/>
  <c r="J136" i="12"/>
  <c r="I136" i="12"/>
  <c r="J135" i="12"/>
  <c r="I135" i="12"/>
  <c r="J134" i="12"/>
  <c r="I134" i="12"/>
  <c r="J133" i="12"/>
  <c r="I133" i="12"/>
  <c r="J132" i="12"/>
  <c r="I132" i="12"/>
  <c r="J131" i="12"/>
  <c r="I131" i="12"/>
  <c r="J130" i="12"/>
  <c r="I130" i="12"/>
  <c r="J129" i="12"/>
  <c r="I129" i="12"/>
  <c r="J128" i="12"/>
  <c r="I128" i="12"/>
  <c r="J127" i="12"/>
  <c r="I127" i="12"/>
  <c r="J126" i="12"/>
  <c r="I126" i="12"/>
  <c r="J125" i="12"/>
  <c r="I125" i="12"/>
  <c r="J124" i="12"/>
  <c r="I124" i="12"/>
  <c r="J123" i="12"/>
  <c r="I123" i="12"/>
  <c r="J122" i="12"/>
  <c r="I122" i="12"/>
  <c r="J121" i="12"/>
  <c r="I121" i="12"/>
  <c r="J120" i="12"/>
  <c r="I120" i="12"/>
  <c r="J119" i="12"/>
  <c r="I119" i="12"/>
  <c r="J118" i="12"/>
  <c r="I118" i="12"/>
  <c r="J117" i="12"/>
  <c r="I117" i="12"/>
  <c r="J116" i="12"/>
  <c r="I116" i="12"/>
  <c r="J115" i="12"/>
  <c r="I115" i="12"/>
  <c r="J114" i="12"/>
  <c r="I114" i="12"/>
  <c r="J113" i="12"/>
  <c r="I113" i="12"/>
  <c r="J112" i="12"/>
  <c r="I112" i="12"/>
  <c r="J111" i="12"/>
  <c r="I111" i="12"/>
  <c r="J110" i="12"/>
  <c r="I110" i="12"/>
  <c r="J109" i="12"/>
  <c r="I109" i="12"/>
  <c r="J108" i="12"/>
  <c r="I108" i="12"/>
  <c r="J107" i="12"/>
  <c r="I107" i="12"/>
  <c r="J106" i="12"/>
  <c r="I106" i="12"/>
  <c r="J105" i="12"/>
  <c r="I105" i="12"/>
  <c r="J104" i="12"/>
  <c r="I104" i="12"/>
  <c r="J103" i="12"/>
  <c r="I103" i="12"/>
  <c r="J102" i="12"/>
  <c r="I102" i="12"/>
  <c r="J101" i="12"/>
  <c r="I101" i="12"/>
  <c r="J100" i="12"/>
  <c r="I100" i="12"/>
  <c r="J99" i="12"/>
  <c r="I99" i="12"/>
  <c r="J98" i="12"/>
  <c r="I98" i="12"/>
  <c r="J97" i="12"/>
  <c r="I97" i="12"/>
  <c r="J96" i="12"/>
  <c r="I96" i="12"/>
  <c r="J95" i="12"/>
  <c r="I95" i="12"/>
  <c r="J94" i="12"/>
  <c r="I94" i="12"/>
  <c r="J93" i="12"/>
  <c r="I93" i="12"/>
  <c r="J92" i="12"/>
  <c r="I92" i="12"/>
  <c r="J91" i="12"/>
  <c r="I91" i="12"/>
  <c r="J90" i="12"/>
  <c r="I90" i="12"/>
  <c r="J89" i="12"/>
  <c r="I89" i="12"/>
  <c r="J88" i="12"/>
  <c r="I88" i="12"/>
  <c r="J87" i="12"/>
  <c r="I87" i="12"/>
  <c r="J86" i="12"/>
  <c r="I86" i="12"/>
  <c r="J85" i="12"/>
  <c r="I85" i="12"/>
  <c r="J84" i="12"/>
  <c r="I84" i="12"/>
  <c r="J83" i="12"/>
  <c r="I83" i="12"/>
  <c r="J82" i="12"/>
  <c r="I82" i="12"/>
  <c r="J81" i="12"/>
  <c r="I81" i="12"/>
  <c r="J80" i="12"/>
  <c r="I80" i="12"/>
  <c r="J79" i="12"/>
  <c r="I79" i="12"/>
  <c r="J78" i="12"/>
  <c r="I78" i="12"/>
  <c r="J77" i="12"/>
  <c r="I77" i="12"/>
  <c r="J76" i="12"/>
  <c r="I76" i="12"/>
  <c r="J75" i="12"/>
  <c r="I75" i="12"/>
  <c r="J74" i="12"/>
  <c r="I74" i="12"/>
  <c r="J73" i="12"/>
  <c r="I73" i="12"/>
  <c r="J72" i="12"/>
  <c r="I72" i="12"/>
  <c r="J71" i="12"/>
  <c r="I71" i="12"/>
  <c r="J70" i="12"/>
  <c r="I70" i="12"/>
  <c r="J69" i="12"/>
  <c r="I69" i="12"/>
  <c r="J68" i="12"/>
  <c r="I68" i="12"/>
  <c r="J67" i="12"/>
  <c r="I67" i="12"/>
  <c r="J66" i="12"/>
  <c r="I66" i="12"/>
  <c r="J65" i="12"/>
  <c r="I65" i="12"/>
  <c r="J64" i="12"/>
  <c r="I64" i="12"/>
  <c r="J63" i="12"/>
  <c r="I63" i="12"/>
  <c r="J62" i="12"/>
  <c r="I62" i="12"/>
  <c r="J61" i="12"/>
  <c r="I61" i="12"/>
  <c r="J60" i="12"/>
  <c r="I60" i="12"/>
  <c r="J59" i="12"/>
  <c r="I59" i="12"/>
  <c r="J58" i="12"/>
  <c r="I58" i="12"/>
  <c r="J57" i="12"/>
  <c r="I57" i="12"/>
  <c r="J56" i="12"/>
  <c r="I56" i="12"/>
  <c r="J55" i="12"/>
  <c r="I55" i="12"/>
  <c r="J54" i="12"/>
  <c r="I54" i="12"/>
  <c r="J53" i="12"/>
  <c r="I53" i="12"/>
  <c r="J52" i="12"/>
  <c r="I52" i="12"/>
  <c r="J51" i="12"/>
  <c r="I51" i="12"/>
  <c r="J50" i="12"/>
  <c r="I50" i="12"/>
  <c r="J49" i="12"/>
  <c r="I49" i="12"/>
  <c r="J48" i="12"/>
  <c r="I48" i="12"/>
  <c r="J47" i="12"/>
  <c r="I47" i="12"/>
  <c r="J46" i="12"/>
  <c r="I46" i="12"/>
  <c r="J45" i="12"/>
  <c r="I45" i="12"/>
  <c r="J44" i="12"/>
  <c r="I44" i="12"/>
  <c r="J43" i="12"/>
  <c r="I43" i="12"/>
  <c r="J42" i="12"/>
  <c r="I42" i="12"/>
  <c r="J41" i="12"/>
  <c r="I41" i="12"/>
  <c r="J40" i="12"/>
  <c r="I40" i="12"/>
  <c r="J39" i="12"/>
  <c r="I39" i="12"/>
  <c r="J38" i="12"/>
  <c r="I38" i="12"/>
  <c r="J37" i="12"/>
  <c r="I37" i="12"/>
  <c r="J36" i="12"/>
  <c r="I36" i="12"/>
  <c r="J35" i="12"/>
  <c r="I35" i="12"/>
  <c r="J34" i="12"/>
  <c r="I34" i="12"/>
  <c r="J33" i="12"/>
  <c r="I33" i="12"/>
  <c r="J32" i="12"/>
  <c r="I32" i="12"/>
  <c r="J31" i="12"/>
  <c r="I31" i="12"/>
  <c r="J30" i="12"/>
  <c r="I30" i="12"/>
  <c r="J29" i="12"/>
  <c r="I29" i="12"/>
  <c r="J28" i="12"/>
  <c r="I28" i="12"/>
  <c r="J27" i="12"/>
  <c r="I27" i="12"/>
  <c r="J26" i="12"/>
  <c r="I26" i="12"/>
  <c r="J25" i="12"/>
  <c r="I25" i="12"/>
  <c r="J24" i="12"/>
  <c r="I24" i="12"/>
  <c r="J23" i="12"/>
  <c r="I23" i="12"/>
  <c r="J22" i="12"/>
  <c r="I22" i="12"/>
  <c r="J21" i="12"/>
  <c r="I21" i="12"/>
  <c r="J20" i="12"/>
  <c r="I20" i="12"/>
  <c r="J19" i="12"/>
  <c r="I19" i="12"/>
  <c r="J18" i="12"/>
  <c r="I18" i="12"/>
  <c r="J17" i="12"/>
  <c r="I17" i="12"/>
  <c r="J16" i="12"/>
  <c r="I16" i="12"/>
  <c r="J15" i="12"/>
  <c r="I15" i="12"/>
  <c r="J14" i="12"/>
  <c r="I14" i="12"/>
  <c r="H11" i="3" s="1"/>
  <c r="H30" i="3" s="1"/>
  <c r="J13" i="12"/>
  <c r="I13" i="12"/>
  <c r="J12" i="12"/>
  <c r="I12" i="12"/>
  <c r="J11" i="12"/>
  <c r="I11" i="12"/>
  <c r="J10" i="12"/>
  <c r="I10" i="12"/>
  <c r="J9" i="12"/>
  <c r="I9" i="12"/>
  <c r="J8" i="12"/>
  <c r="I8" i="12"/>
  <c r="J7" i="12"/>
  <c r="I7" i="12"/>
  <c r="J6" i="12"/>
  <c r="M20" i="2" s="1"/>
  <c r="I6" i="12"/>
  <c r="J5" i="12"/>
  <c r="I5" i="12"/>
  <c r="R504" i="11"/>
  <c r="Q504" i="11"/>
  <c r="I504" i="11"/>
  <c r="H504" i="11"/>
  <c r="Q503" i="11"/>
  <c r="I503" i="11"/>
  <c r="H503" i="11"/>
  <c r="R503" i="11" s="1"/>
  <c r="Q502" i="11"/>
  <c r="R502" i="11" s="1"/>
  <c r="H502" i="11"/>
  <c r="I502" i="11" s="1"/>
  <c r="Q501" i="11"/>
  <c r="R501" i="11" s="1"/>
  <c r="I501" i="11"/>
  <c r="H501" i="11"/>
  <c r="R500" i="11"/>
  <c r="Q500" i="11"/>
  <c r="I500" i="11"/>
  <c r="H500" i="11"/>
  <c r="Q499" i="11"/>
  <c r="I499" i="11"/>
  <c r="H499" i="11"/>
  <c r="R499" i="11" s="1"/>
  <c r="Q498" i="11"/>
  <c r="R498" i="11" s="1"/>
  <c r="H498" i="11"/>
  <c r="I498" i="11" s="1"/>
  <c r="Q497" i="11"/>
  <c r="R497" i="11" s="1"/>
  <c r="I497" i="11"/>
  <c r="H497" i="11"/>
  <c r="R496" i="11"/>
  <c r="Q496" i="11"/>
  <c r="I496" i="11"/>
  <c r="H496" i="11"/>
  <c r="Q495" i="11"/>
  <c r="I495" i="11"/>
  <c r="H495" i="11"/>
  <c r="R495" i="11" s="1"/>
  <c r="Q494" i="11"/>
  <c r="R494" i="11" s="1"/>
  <c r="H494" i="11"/>
  <c r="I494" i="11" s="1"/>
  <c r="R493" i="11"/>
  <c r="Q493" i="11"/>
  <c r="I493" i="11"/>
  <c r="H493" i="11"/>
  <c r="R492" i="11"/>
  <c r="Q492" i="11"/>
  <c r="I492" i="11"/>
  <c r="H492" i="11"/>
  <c r="Q491" i="11"/>
  <c r="I491" i="11"/>
  <c r="H491" i="11"/>
  <c r="R491" i="11" s="1"/>
  <c r="Q490" i="11"/>
  <c r="H490" i="11"/>
  <c r="R490" i="11" s="1"/>
  <c r="R489" i="11"/>
  <c r="Q489" i="11"/>
  <c r="I489" i="11"/>
  <c r="H489" i="11"/>
  <c r="R488" i="11"/>
  <c r="Q488" i="11"/>
  <c r="I488" i="11"/>
  <c r="H488" i="11"/>
  <c r="Q487" i="11"/>
  <c r="I487" i="11"/>
  <c r="H487" i="11"/>
  <c r="R487" i="11" s="1"/>
  <c r="Q486" i="11"/>
  <c r="H486" i="11"/>
  <c r="R486" i="11" s="1"/>
  <c r="R485" i="11"/>
  <c r="Q485" i="11"/>
  <c r="I485" i="11"/>
  <c r="H485" i="11"/>
  <c r="R484" i="11"/>
  <c r="Q484" i="11"/>
  <c r="I484" i="11"/>
  <c r="H484" i="11"/>
  <c r="Q483" i="11"/>
  <c r="I483" i="11"/>
  <c r="H483" i="11"/>
  <c r="R483" i="11" s="1"/>
  <c r="Q482" i="11"/>
  <c r="H482" i="11"/>
  <c r="R482" i="11" s="1"/>
  <c r="R481" i="11"/>
  <c r="Q481" i="11"/>
  <c r="I481" i="11"/>
  <c r="H481" i="11"/>
  <c r="R480" i="11"/>
  <c r="Q480" i="11"/>
  <c r="I480" i="11"/>
  <c r="H480" i="11"/>
  <c r="Q479" i="11"/>
  <c r="I479" i="11"/>
  <c r="H479" i="11"/>
  <c r="R479" i="11" s="1"/>
  <c r="Q478" i="11"/>
  <c r="H478" i="11"/>
  <c r="R478" i="11" s="1"/>
  <c r="R477" i="11"/>
  <c r="Q477" i="11"/>
  <c r="I477" i="11"/>
  <c r="H477" i="11"/>
  <c r="R476" i="11"/>
  <c r="Q476" i="11"/>
  <c r="I476" i="11"/>
  <c r="H476" i="11"/>
  <c r="Q475" i="11"/>
  <c r="I475" i="11"/>
  <c r="H475" i="11"/>
  <c r="R475" i="11" s="1"/>
  <c r="Q474" i="11"/>
  <c r="H474" i="11"/>
  <c r="R474" i="11" s="1"/>
  <c r="R473" i="11"/>
  <c r="Q473" i="11"/>
  <c r="I473" i="11"/>
  <c r="H473" i="11"/>
  <c r="R472" i="11"/>
  <c r="Q472" i="11"/>
  <c r="I472" i="11"/>
  <c r="H472" i="11"/>
  <c r="Q471" i="11"/>
  <c r="I471" i="11"/>
  <c r="H471" i="11"/>
  <c r="R471" i="11" s="1"/>
  <c r="Q470" i="11"/>
  <c r="H470" i="11"/>
  <c r="R470" i="11" s="1"/>
  <c r="R469" i="11"/>
  <c r="Q469" i="11"/>
  <c r="I469" i="11"/>
  <c r="H469" i="11"/>
  <c r="R468" i="11"/>
  <c r="Q468" i="11"/>
  <c r="I468" i="11"/>
  <c r="H468" i="11"/>
  <c r="Q467" i="11"/>
  <c r="I467" i="11"/>
  <c r="H467" i="11"/>
  <c r="R467" i="11" s="1"/>
  <c r="Q466" i="11"/>
  <c r="H466" i="11"/>
  <c r="R466" i="11" s="1"/>
  <c r="R465" i="11"/>
  <c r="Q465" i="11"/>
  <c r="I465" i="11"/>
  <c r="H465" i="11"/>
  <c r="R464" i="11"/>
  <c r="Q464" i="11"/>
  <c r="I464" i="11"/>
  <c r="H464" i="11"/>
  <c r="Q463" i="11"/>
  <c r="I463" i="11"/>
  <c r="H463" i="11"/>
  <c r="R463" i="11" s="1"/>
  <c r="Q462" i="11"/>
  <c r="H462" i="11"/>
  <c r="R462" i="11" s="1"/>
  <c r="Q461" i="11"/>
  <c r="R461" i="11" s="1"/>
  <c r="I461" i="11"/>
  <c r="H461" i="11"/>
  <c r="R460" i="11"/>
  <c r="Q460" i="11"/>
  <c r="I460" i="11"/>
  <c r="H460" i="11"/>
  <c r="Q459" i="11"/>
  <c r="I459" i="11"/>
  <c r="H459" i="11"/>
  <c r="R459" i="11" s="1"/>
  <c r="Q458" i="11"/>
  <c r="H458" i="11"/>
  <c r="R458" i="11" s="1"/>
  <c r="Q457" i="11"/>
  <c r="R457" i="11" s="1"/>
  <c r="I457" i="11"/>
  <c r="H457" i="11"/>
  <c r="R456" i="11"/>
  <c r="Q456" i="11"/>
  <c r="I456" i="11"/>
  <c r="H456" i="11"/>
  <c r="Q455" i="11"/>
  <c r="I455" i="11"/>
  <c r="H455" i="11"/>
  <c r="R455" i="11" s="1"/>
  <c r="Q454" i="11"/>
  <c r="H454" i="11"/>
  <c r="R454" i="11" s="1"/>
  <c r="R453" i="11"/>
  <c r="Q453" i="11"/>
  <c r="I453" i="11"/>
  <c r="H453" i="11"/>
  <c r="R452" i="11"/>
  <c r="Q452" i="11"/>
  <c r="I452" i="11"/>
  <c r="H452" i="11"/>
  <c r="Q451" i="11"/>
  <c r="I451" i="11"/>
  <c r="H451" i="11"/>
  <c r="R451" i="11" s="1"/>
  <c r="Q450" i="11"/>
  <c r="H450" i="11"/>
  <c r="R450" i="11" s="1"/>
  <c r="Q449" i="11"/>
  <c r="R449" i="11" s="1"/>
  <c r="I449" i="11"/>
  <c r="H449" i="11"/>
  <c r="R448" i="11"/>
  <c r="Q448" i="11"/>
  <c r="I448" i="11"/>
  <c r="H448" i="11"/>
  <c r="Q447" i="11"/>
  <c r="I447" i="11"/>
  <c r="H447" i="11"/>
  <c r="R447" i="11" s="1"/>
  <c r="Q446" i="11"/>
  <c r="H446" i="11"/>
  <c r="R446" i="11" s="1"/>
  <c r="Q445" i="11"/>
  <c r="R445" i="11" s="1"/>
  <c r="I445" i="11"/>
  <c r="H445" i="11"/>
  <c r="R444" i="11"/>
  <c r="Q444" i="11"/>
  <c r="I444" i="11"/>
  <c r="H444" i="11"/>
  <c r="Q443" i="11"/>
  <c r="I443" i="11"/>
  <c r="H443" i="11"/>
  <c r="R443" i="11" s="1"/>
  <c r="Q442" i="11"/>
  <c r="H442" i="11"/>
  <c r="R442" i="11" s="1"/>
  <c r="Q441" i="11"/>
  <c r="R441" i="11" s="1"/>
  <c r="I441" i="11"/>
  <c r="H441" i="11"/>
  <c r="R440" i="11"/>
  <c r="Q440" i="11"/>
  <c r="I440" i="11"/>
  <c r="H440" i="11"/>
  <c r="Q439" i="11"/>
  <c r="I439" i="11"/>
  <c r="H439" i="11"/>
  <c r="R439" i="11" s="1"/>
  <c r="Q438" i="11"/>
  <c r="H438" i="11"/>
  <c r="R438" i="11" s="1"/>
  <c r="Q437" i="11"/>
  <c r="R437" i="11" s="1"/>
  <c r="I437" i="11"/>
  <c r="H437" i="11"/>
  <c r="R436" i="11"/>
  <c r="Q436" i="11"/>
  <c r="I436" i="11"/>
  <c r="H436" i="11"/>
  <c r="Q435" i="11"/>
  <c r="I435" i="11"/>
  <c r="H435" i="11"/>
  <c r="R435" i="11" s="1"/>
  <c r="Q434" i="11"/>
  <c r="H434" i="11"/>
  <c r="R434" i="11" s="1"/>
  <c r="Q433" i="11"/>
  <c r="R433" i="11" s="1"/>
  <c r="I433" i="11"/>
  <c r="H433" i="11"/>
  <c r="R432" i="11"/>
  <c r="Q432" i="11"/>
  <c r="I432" i="11"/>
  <c r="H432" i="11"/>
  <c r="Q431" i="11"/>
  <c r="I431" i="11"/>
  <c r="H431" i="11"/>
  <c r="R431" i="11" s="1"/>
  <c r="Q430" i="11"/>
  <c r="H430" i="11"/>
  <c r="R430" i="11" s="1"/>
  <c r="R429" i="11"/>
  <c r="Q429" i="11"/>
  <c r="I429" i="11"/>
  <c r="H429" i="11"/>
  <c r="R428" i="11"/>
  <c r="Q428" i="11"/>
  <c r="I428" i="11"/>
  <c r="H428" i="11"/>
  <c r="Q427" i="11"/>
  <c r="I427" i="11"/>
  <c r="H427" i="11"/>
  <c r="R427" i="11" s="1"/>
  <c r="Q426" i="11"/>
  <c r="H426" i="11"/>
  <c r="R426" i="11" s="1"/>
  <c r="R425" i="11"/>
  <c r="Q425" i="11"/>
  <c r="I425" i="11"/>
  <c r="H425" i="11"/>
  <c r="R424" i="11"/>
  <c r="Q424" i="11"/>
  <c r="I424" i="11"/>
  <c r="H424" i="11"/>
  <c r="Q423" i="11"/>
  <c r="I423" i="11"/>
  <c r="H423" i="11"/>
  <c r="R423" i="11" s="1"/>
  <c r="Q422" i="11"/>
  <c r="H422" i="11"/>
  <c r="R422" i="11" s="1"/>
  <c r="Q421" i="11"/>
  <c r="R421" i="11" s="1"/>
  <c r="I421" i="11"/>
  <c r="H421" i="11"/>
  <c r="R420" i="11"/>
  <c r="Q420" i="11"/>
  <c r="I420" i="11"/>
  <c r="H420" i="11"/>
  <c r="Q419" i="11"/>
  <c r="I419" i="11"/>
  <c r="H419" i="11"/>
  <c r="R419" i="11" s="1"/>
  <c r="Q418" i="11"/>
  <c r="H418" i="11"/>
  <c r="R417" i="11"/>
  <c r="Q417" i="11"/>
  <c r="I417" i="11"/>
  <c r="H417" i="11"/>
  <c r="R416" i="11"/>
  <c r="Q416" i="11"/>
  <c r="I416" i="11"/>
  <c r="H416" i="11"/>
  <c r="Q415" i="11"/>
  <c r="I415" i="11"/>
  <c r="H415" i="11"/>
  <c r="R415" i="11" s="1"/>
  <c r="Q414" i="11"/>
  <c r="H414" i="11"/>
  <c r="R413" i="11"/>
  <c r="Q413" i="11"/>
  <c r="I413" i="11"/>
  <c r="H413" i="11"/>
  <c r="R412" i="11"/>
  <c r="Q412" i="11"/>
  <c r="I412" i="11"/>
  <c r="H412" i="11"/>
  <c r="Q411" i="11"/>
  <c r="I411" i="11"/>
  <c r="H411" i="11"/>
  <c r="R411" i="11" s="1"/>
  <c r="Q410" i="11"/>
  <c r="H410" i="11"/>
  <c r="Q409" i="11"/>
  <c r="H409" i="11"/>
  <c r="R409" i="11" s="1"/>
  <c r="R408" i="11"/>
  <c r="Q408" i="11"/>
  <c r="I408" i="11"/>
  <c r="H408" i="11"/>
  <c r="Q407" i="11"/>
  <c r="I407" i="11"/>
  <c r="H407" i="11"/>
  <c r="R407" i="11" s="1"/>
  <c r="Q406" i="11"/>
  <c r="H406" i="11"/>
  <c r="R405" i="11"/>
  <c r="Q405" i="11"/>
  <c r="I405" i="11"/>
  <c r="H405" i="11"/>
  <c r="R404" i="11"/>
  <c r="Q404" i="11"/>
  <c r="I404" i="11"/>
  <c r="H404" i="11"/>
  <c r="Q403" i="11"/>
  <c r="I403" i="11"/>
  <c r="H403" i="11"/>
  <c r="Q402" i="11"/>
  <c r="H402" i="11"/>
  <c r="R401" i="11"/>
  <c r="Q401" i="11"/>
  <c r="H401" i="11"/>
  <c r="I401" i="11" s="1"/>
  <c r="R400" i="11"/>
  <c r="Q400" i="11"/>
  <c r="I400" i="11"/>
  <c r="H400" i="11"/>
  <c r="Q399" i="11"/>
  <c r="I399" i="11"/>
  <c r="H399" i="11"/>
  <c r="R399" i="11" s="1"/>
  <c r="Q398" i="11"/>
  <c r="H398" i="11"/>
  <c r="Q397" i="11"/>
  <c r="H397" i="11"/>
  <c r="R397" i="11" s="1"/>
  <c r="R396" i="11"/>
  <c r="Q396" i="11"/>
  <c r="I396" i="11"/>
  <c r="H396" i="11"/>
  <c r="Q395" i="11"/>
  <c r="I395" i="11"/>
  <c r="H395" i="11"/>
  <c r="Q394" i="11"/>
  <c r="H394" i="11"/>
  <c r="Q393" i="11"/>
  <c r="R393" i="11" s="1"/>
  <c r="I393" i="11"/>
  <c r="H393" i="11"/>
  <c r="R392" i="11"/>
  <c r="Q392" i="11"/>
  <c r="I392" i="11"/>
  <c r="H392" i="11"/>
  <c r="Q391" i="11"/>
  <c r="I391" i="11"/>
  <c r="H391" i="11"/>
  <c r="Q390" i="11"/>
  <c r="H390" i="11"/>
  <c r="R389" i="11"/>
  <c r="Q389" i="11"/>
  <c r="I389" i="11"/>
  <c r="H389" i="11"/>
  <c r="R388" i="11"/>
  <c r="Q388" i="11"/>
  <c r="I388" i="11"/>
  <c r="H388" i="11"/>
  <c r="Q387" i="11"/>
  <c r="I387" i="11"/>
  <c r="H387" i="11"/>
  <c r="Q386" i="11"/>
  <c r="H386" i="11"/>
  <c r="Q385" i="11"/>
  <c r="H385" i="11"/>
  <c r="R385" i="11" s="1"/>
  <c r="R384" i="11"/>
  <c r="Q384" i="11"/>
  <c r="I384" i="11"/>
  <c r="H384" i="11"/>
  <c r="Q383" i="11"/>
  <c r="H383" i="11"/>
  <c r="R383" i="11" s="1"/>
  <c r="Q382" i="11"/>
  <c r="H382" i="11"/>
  <c r="Q381" i="11"/>
  <c r="I381" i="11"/>
  <c r="H381" i="11"/>
  <c r="R381" i="11" s="1"/>
  <c r="R380" i="11"/>
  <c r="Q380" i="11"/>
  <c r="I380" i="11"/>
  <c r="H380" i="11"/>
  <c r="Q379" i="11"/>
  <c r="H379" i="11"/>
  <c r="Q378" i="11"/>
  <c r="H378" i="11"/>
  <c r="Q377" i="11"/>
  <c r="R377" i="11" s="1"/>
  <c r="I377" i="11"/>
  <c r="H377" i="11"/>
  <c r="Q376" i="11"/>
  <c r="R376" i="11" s="1"/>
  <c r="I376" i="11"/>
  <c r="H376" i="11"/>
  <c r="Q375" i="11"/>
  <c r="I375" i="11"/>
  <c r="H375" i="11"/>
  <c r="Q374" i="11"/>
  <c r="H374" i="11"/>
  <c r="Q373" i="11"/>
  <c r="H373" i="11"/>
  <c r="R373" i="11" s="1"/>
  <c r="Q372" i="11"/>
  <c r="R372" i="11" s="1"/>
  <c r="I372" i="11"/>
  <c r="H372" i="11"/>
  <c r="Q371" i="11"/>
  <c r="H371" i="11"/>
  <c r="R371" i="11" s="1"/>
  <c r="Q370" i="11"/>
  <c r="H370" i="11"/>
  <c r="Q369" i="11"/>
  <c r="H369" i="11"/>
  <c r="R369" i="11" s="1"/>
  <c r="R368" i="11"/>
  <c r="Q368" i="11"/>
  <c r="I368" i="11"/>
  <c r="H368" i="11"/>
  <c r="Q367" i="11"/>
  <c r="H367" i="11"/>
  <c r="Q366" i="11"/>
  <c r="H366" i="11"/>
  <c r="R365" i="11"/>
  <c r="Q365" i="11"/>
  <c r="I365" i="11"/>
  <c r="H365" i="11"/>
  <c r="R364" i="11"/>
  <c r="Q364" i="11"/>
  <c r="I364" i="11"/>
  <c r="H364" i="11"/>
  <c r="Q363" i="11"/>
  <c r="H363" i="11"/>
  <c r="Q362" i="11"/>
  <c r="H362" i="11"/>
  <c r="Q361" i="11"/>
  <c r="H361" i="11"/>
  <c r="R361" i="11" s="1"/>
  <c r="Q360" i="11"/>
  <c r="R360" i="11" s="1"/>
  <c r="I360" i="11"/>
  <c r="H360" i="11"/>
  <c r="Q359" i="11"/>
  <c r="H359" i="11"/>
  <c r="R359" i="11" s="1"/>
  <c r="Q358" i="11"/>
  <c r="H358" i="11"/>
  <c r="R357" i="11"/>
  <c r="Q357" i="11"/>
  <c r="H357" i="11"/>
  <c r="I357" i="11" s="1"/>
  <c r="R356" i="11"/>
  <c r="Q356" i="11"/>
  <c r="I356" i="11"/>
  <c r="H356" i="11"/>
  <c r="Q355" i="11"/>
  <c r="H355" i="11"/>
  <c r="R355" i="11" s="1"/>
  <c r="Q354" i="11"/>
  <c r="H354" i="11"/>
  <c r="Q353" i="11"/>
  <c r="H353" i="11"/>
  <c r="R352" i="11"/>
  <c r="Q352" i="11"/>
  <c r="I352" i="11"/>
  <c r="H352" i="11"/>
  <c r="Q351" i="11"/>
  <c r="I351" i="11"/>
  <c r="H351" i="11"/>
  <c r="R351" i="11" s="1"/>
  <c r="Q350" i="11"/>
  <c r="H350" i="11"/>
  <c r="Q349" i="11"/>
  <c r="H349" i="11"/>
  <c r="R349" i="11" s="1"/>
  <c r="Q348" i="11"/>
  <c r="R348" i="11" s="1"/>
  <c r="I348" i="11"/>
  <c r="H348" i="11"/>
  <c r="Q347" i="11"/>
  <c r="H347" i="11"/>
  <c r="R347" i="11" s="1"/>
  <c r="Q346" i="11"/>
  <c r="H346" i="11"/>
  <c r="Q345" i="11"/>
  <c r="H345" i="11"/>
  <c r="R345" i="11" s="1"/>
  <c r="Q344" i="11"/>
  <c r="R344" i="11" s="1"/>
  <c r="I344" i="11"/>
  <c r="H344" i="11"/>
  <c r="Q343" i="11"/>
  <c r="I343" i="11"/>
  <c r="H343" i="11"/>
  <c r="R343" i="11" s="1"/>
  <c r="Q342" i="11"/>
  <c r="H342" i="11"/>
  <c r="R341" i="11"/>
  <c r="Q341" i="11"/>
  <c r="I341" i="11"/>
  <c r="H341" i="11"/>
  <c r="R340" i="11"/>
  <c r="Q340" i="11"/>
  <c r="I340" i="11"/>
  <c r="H340" i="11"/>
  <c r="Q339" i="11"/>
  <c r="I339" i="11"/>
  <c r="H339" i="11"/>
  <c r="Q338" i="11"/>
  <c r="H338" i="11"/>
  <c r="R337" i="11"/>
  <c r="Q337" i="11"/>
  <c r="H337" i="11"/>
  <c r="I337" i="11" s="1"/>
  <c r="Q336" i="11"/>
  <c r="R336" i="11" s="1"/>
  <c r="I336" i="11"/>
  <c r="H336" i="11"/>
  <c r="Q335" i="11"/>
  <c r="I335" i="11"/>
  <c r="H335" i="11"/>
  <c r="R335" i="11" s="1"/>
  <c r="Q334" i="11"/>
  <c r="H334" i="11"/>
  <c r="Q333" i="11"/>
  <c r="H333" i="11"/>
  <c r="R333" i="11" s="1"/>
  <c r="Q332" i="11"/>
  <c r="R332" i="11" s="1"/>
  <c r="I332" i="11"/>
  <c r="H332" i="11"/>
  <c r="Q331" i="11"/>
  <c r="H331" i="11"/>
  <c r="Q330" i="11"/>
  <c r="H330" i="11"/>
  <c r="Q329" i="11"/>
  <c r="R329" i="11" s="1"/>
  <c r="I329" i="11"/>
  <c r="H329" i="11"/>
  <c r="Q328" i="11"/>
  <c r="R328" i="11" s="1"/>
  <c r="I328" i="11"/>
  <c r="H328" i="11"/>
  <c r="Q327" i="11"/>
  <c r="I327" i="11"/>
  <c r="H327" i="11"/>
  <c r="Q326" i="11"/>
  <c r="H326" i="11"/>
  <c r="R325" i="11"/>
  <c r="Q325" i="11"/>
  <c r="I325" i="11"/>
  <c r="H325" i="11"/>
  <c r="Q324" i="11"/>
  <c r="H324" i="11"/>
  <c r="R324" i="11" s="1"/>
  <c r="Q323" i="11"/>
  <c r="I323" i="11"/>
  <c r="H323" i="11"/>
  <c r="Q322" i="11"/>
  <c r="H322" i="11"/>
  <c r="Q321" i="11"/>
  <c r="H321" i="11"/>
  <c r="R321" i="11" s="1"/>
  <c r="Q320" i="11"/>
  <c r="H320" i="11"/>
  <c r="R320" i="11" s="1"/>
  <c r="Q319" i="11"/>
  <c r="H319" i="11"/>
  <c r="R319" i="11" s="1"/>
  <c r="Q318" i="11"/>
  <c r="H318" i="11"/>
  <c r="Q317" i="11"/>
  <c r="I317" i="11"/>
  <c r="H317" i="11"/>
  <c r="R317" i="11" s="1"/>
  <c r="R316" i="11"/>
  <c r="Q316" i="11"/>
  <c r="I316" i="11"/>
  <c r="H316" i="11"/>
  <c r="Q315" i="11"/>
  <c r="H315" i="11"/>
  <c r="Q314" i="11"/>
  <c r="H314" i="11"/>
  <c r="Q313" i="11"/>
  <c r="R313" i="11" s="1"/>
  <c r="I313" i="11"/>
  <c r="H313" i="11"/>
  <c r="Q312" i="11"/>
  <c r="H312" i="11"/>
  <c r="R312" i="11" s="1"/>
  <c r="Q311" i="11"/>
  <c r="I311" i="11"/>
  <c r="H311" i="11"/>
  <c r="Q310" i="11"/>
  <c r="H310" i="11"/>
  <c r="Q309" i="11"/>
  <c r="H309" i="11"/>
  <c r="R309" i="11" s="1"/>
  <c r="Q308" i="11"/>
  <c r="R308" i="11" s="1"/>
  <c r="H308" i="11"/>
  <c r="I308" i="11" s="1"/>
  <c r="Q307" i="11"/>
  <c r="H307" i="11"/>
  <c r="R307" i="11" s="1"/>
  <c r="Q306" i="11"/>
  <c r="H306" i="11"/>
  <c r="Q305" i="11"/>
  <c r="H305" i="11"/>
  <c r="R305" i="11" s="1"/>
  <c r="Q304" i="11"/>
  <c r="H304" i="11"/>
  <c r="Q303" i="11"/>
  <c r="H303" i="11"/>
  <c r="Q302" i="11"/>
  <c r="H302" i="11"/>
  <c r="R301" i="11"/>
  <c r="Q301" i="11"/>
  <c r="I301" i="11"/>
  <c r="H301" i="11"/>
  <c r="Q300" i="11"/>
  <c r="H300" i="11"/>
  <c r="R300" i="11" s="1"/>
  <c r="Q299" i="11"/>
  <c r="H299" i="11"/>
  <c r="Q298" i="11"/>
  <c r="H298" i="11"/>
  <c r="Q297" i="11"/>
  <c r="H297" i="11"/>
  <c r="R297" i="11" s="1"/>
  <c r="Q296" i="11"/>
  <c r="H296" i="11"/>
  <c r="R296" i="11" s="1"/>
  <c r="Q295" i="11"/>
  <c r="H295" i="11"/>
  <c r="R295" i="11" s="1"/>
  <c r="Q294" i="11"/>
  <c r="H294" i="11"/>
  <c r="R293" i="11"/>
  <c r="Q293" i="11"/>
  <c r="H293" i="11"/>
  <c r="I293" i="11" s="1"/>
  <c r="R292" i="11"/>
  <c r="Q292" i="11"/>
  <c r="I292" i="11"/>
  <c r="H292" i="11"/>
  <c r="Q291" i="11"/>
  <c r="H291" i="11"/>
  <c r="R291" i="11" s="1"/>
  <c r="Q290" i="11"/>
  <c r="H290" i="11"/>
  <c r="Q289" i="11"/>
  <c r="H289" i="11"/>
  <c r="R288" i="11"/>
  <c r="Q288" i="11"/>
  <c r="H288" i="11"/>
  <c r="I288" i="11" s="1"/>
  <c r="Q287" i="11"/>
  <c r="I287" i="11"/>
  <c r="H287" i="11"/>
  <c r="R287" i="11" s="1"/>
  <c r="Q286" i="11"/>
  <c r="H286" i="11"/>
  <c r="Q285" i="11"/>
  <c r="H285" i="11"/>
  <c r="R285" i="11" s="1"/>
  <c r="Q284" i="11"/>
  <c r="H284" i="11"/>
  <c r="R284" i="11" s="1"/>
  <c r="Q283" i="11"/>
  <c r="H283" i="11"/>
  <c r="R283" i="11" s="1"/>
  <c r="Q282" i="11"/>
  <c r="H282" i="11"/>
  <c r="Q281" i="11"/>
  <c r="H281" i="11"/>
  <c r="R281" i="11" s="1"/>
  <c r="Q280" i="11"/>
  <c r="R280" i="11" s="1"/>
  <c r="I280" i="11"/>
  <c r="H280" i="11"/>
  <c r="Q279" i="11"/>
  <c r="H279" i="11"/>
  <c r="R279" i="11" s="1"/>
  <c r="Q278" i="11"/>
  <c r="H278" i="11"/>
  <c r="R277" i="11"/>
  <c r="Q277" i="11"/>
  <c r="I277" i="11"/>
  <c r="H277" i="11"/>
  <c r="R276" i="11"/>
  <c r="Q276" i="11"/>
  <c r="I276" i="11"/>
  <c r="H276" i="11"/>
  <c r="Q275" i="11"/>
  <c r="I275" i="11"/>
  <c r="H275" i="11"/>
  <c r="Q274" i="11"/>
  <c r="H274" i="11"/>
  <c r="R273" i="11"/>
  <c r="Q273" i="11"/>
  <c r="H273" i="11"/>
  <c r="I273" i="11" s="1"/>
  <c r="Q272" i="11"/>
  <c r="H272" i="11"/>
  <c r="R272" i="11" s="1"/>
  <c r="Q271" i="11"/>
  <c r="I271" i="11"/>
  <c r="H271" i="11"/>
  <c r="R271" i="11" s="1"/>
  <c r="Q270" i="11"/>
  <c r="H270" i="11"/>
  <c r="Q269" i="11"/>
  <c r="I269" i="11"/>
  <c r="H269" i="11"/>
  <c r="R269" i="11" s="1"/>
  <c r="Q268" i="11"/>
  <c r="I268" i="11"/>
  <c r="H268" i="11"/>
  <c r="R268" i="11" s="1"/>
  <c r="Q267" i="11"/>
  <c r="H267" i="11"/>
  <c r="Q266" i="11"/>
  <c r="H266" i="11"/>
  <c r="Q265" i="11"/>
  <c r="R265" i="11" s="1"/>
  <c r="I265" i="11"/>
  <c r="H265" i="11"/>
  <c r="Q264" i="11"/>
  <c r="R264" i="11" s="1"/>
  <c r="I264" i="11"/>
  <c r="H264" i="11"/>
  <c r="Q263" i="11"/>
  <c r="I263" i="11"/>
  <c r="H263" i="11"/>
  <c r="Q262" i="11"/>
  <c r="H262" i="11"/>
  <c r="R261" i="11"/>
  <c r="Q261" i="11"/>
  <c r="I261" i="11"/>
  <c r="H261" i="11"/>
  <c r="Q260" i="11"/>
  <c r="H260" i="11"/>
  <c r="R260" i="11" s="1"/>
  <c r="Q259" i="11"/>
  <c r="I259" i="11"/>
  <c r="H259" i="11"/>
  <c r="Q258" i="11"/>
  <c r="H258" i="11"/>
  <c r="Q257" i="11"/>
  <c r="H257" i="11"/>
  <c r="R257" i="11" s="1"/>
  <c r="Q256" i="11"/>
  <c r="H256" i="11"/>
  <c r="R256" i="11" s="1"/>
  <c r="Q255" i="11"/>
  <c r="H255" i="11"/>
  <c r="R255" i="11" s="1"/>
  <c r="Q254" i="11"/>
  <c r="H254" i="11"/>
  <c r="Q253" i="11"/>
  <c r="I253" i="11"/>
  <c r="H253" i="11"/>
  <c r="R253" i="11" s="1"/>
  <c r="R252" i="11"/>
  <c r="Q252" i="11"/>
  <c r="I252" i="11"/>
  <c r="H252" i="11"/>
  <c r="Q251" i="11"/>
  <c r="H251" i="11"/>
  <c r="Q250" i="11"/>
  <c r="H250" i="11"/>
  <c r="Q249" i="11"/>
  <c r="R249" i="11" s="1"/>
  <c r="I249" i="11"/>
  <c r="H249" i="11"/>
  <c r="Q248" i="11"/>
  <c r="H248" i="11"/>
  <c r="R248" i="11" s="1"/>
  <c r="Q247" i="11"/>
  <c r="I247" i="11"/>
  <c r="H247" i="11"/>
  <c r="Q246" i="11"/>
  <c r="H246" i="11"/>
  <c r="Q245" i="11"/>
  <c r="H245" i="11"/>
  <c r="R245" i="11" s="1"/>
  <c r="Q244" i="11"/>
  <c r="R244" i="11" s="1"/>
  <c r="H244" i="11"/>
  <c r="I244" i="11" s="1"/>
  <c r="Q243" i="11"/>
  <c r="H243" i="11"/>
  <c r="R243" i="11" s="1"/>
  <c r="Q242" i="11"/>
  <c r="H242" i="11"/>
  <c r="Q241" i="11"/>
  <c r="H241" i="11"/>
  <c r="R241" i="11" s="1"/>
  <c r="Q240" i="11"/>
  <c r="H240" i="11"/>
  <c r="Q239" i="11"/>
  <c r="H239" i="11"/>
  <c r="Q238" i="11"/>
  <c r="H238" i="11"/>
  <c r="R237" i="11"/>
  <c r="Q237" i="11"/>
  <c r="I237" i="11"/>
  <c r="H237" i="11"/>
  <c r="Q236" i="11"/>
  <c r="H236" i="11"/>
  <c r="R236" i="11" s="1"/>
  <c r="Q235" i="11"/>
  <c r="H235" i="11"/>
  <c r="Q234" i="11"/>
  <c r="H234" i="11"/>
  <c r="Q233" i="11"/>
  <c r="H233" i="11"/>
  <c r="R233" i="11" s="1"/>
  <c r="Q232" i="11"/>
  <c r="H232" i="11"/>
  <c r="R232" i="11" s="1"/>
  <c r="Q231" i="11"/>
  <c r="H231" i="11"/>
  <c r="R231" i="11" s="1"/>
  <c r="Q230" i="11"/>
  <c r="H230" i="11"/>
  <c r="Q229" i="11"/>
  <c r="R229" i="11" s="1"/>
  <c r="H229" i="11"/>
  <c r="I229" i="11" s="1"/>
  <c r="R228" i="11"/>
  <c r="Q228" i="11"/>
  <c r="I228" i="11"/>
  <c r="H228" i="11"/>
  <c r="Q227" i="11"/>
  <c r="H227" i="11"/>
  <c r="R227" i="11" s="1"/>
  <c r="Q226" i="11"/>
  <c r="H226" i="11"/>
  <c r="Q225" i="11"/>
  <c r="H225" i="11"/>
  <c r="R224" i="11"/>
  <c r="Q224" i="11"/>
  <c r="H224" i="11"/>
  <c r="I224" i="11" s="1"/>
  <c r="Q223" i="11"/>
  <c r="I223" i="11"/>
  <c r="H223" i="11"/>
  <c r="R223" i="11" s="1"/>
  <c r="Q222" i="11"/>
  <c r="H222" i="11"/>
  <c r="Q221" i="11"/>
  <c r="H221" i="11"/>
  <c r="R221" i="11" s="1"/>
  <c r="Q220" i="11"/>
  <c r="I220" i="11"/>
  <c r="H220" i="11"/>
  <c r="R220" i="11" s="1"/>
  <c r="Q219" i="11"/>
  <c r="H219" i="11"/>
  <c r="R219" i="11" s="1"/>
  <c r="Q218" i="11"/>
  <c r="H218" i="11"/>
  <c r="Q217" i="11"/>
  <c r="H217" i="11"/>
  <c r="R217" i="11" s="1"/>
  <c r="Q216" i="11"/>
  <c r="R216" i="11" s="1"/>
  <c r="I216" i="11"/>
  <c r="H216" i="11"/>
  <c r="Q215" i="11"/>
  <c r="H215" i="11"/>
  <c r="R215" i="11" s="1"/>
  <c r="Q214" i="11"/>
  <c r="H214" i="11"/>
  <c r="R213" i="11"/>
  <c r="Q213" i="11"/>
  <c r="I213" i="11"/>
  <c r="H213" i="11"/>
  <c r="R212" i="11"/>
  <c r="Q212" i="11"/>
  <c r="I212" i="11"/>
  <c r="H212" i="11"/>
  <c r="Q211" i="11"/>
  <c r="I211" i="11"/>
  <c r="H211" i="11"/>
  <c r="Q210" i="11"/>
  <c r="H210" i="11"/>
  <c r="R209" i="11"/>
  <c r="Q209" i="11"/>
  <c r="H209" i="11"/>
  <c r="I209" i="11" s="1"/>
  <c r="Q208" i="11"/>
  <c r="H208" i="11"/>
  <c r="R208" i="11" s="1"/>
  <c r="Q207" i="11"/>
  <c r="I207" i="11"/>
  <c r="H207" i="11"/>
  <c r="R207" i="11" s="1"/>
  <c r="Q206" i="11"/>
  <c r="H206" i="11"/>
  <c r="Q205" i="11"/>
  <c r="H205" i="11"/>
  <c r="R205" i="11" s="1"/>
  <c r="Q204" i="11"/>
  <c r="I204" i="11"/>
  <c r="H204" i="11"/>
  <c r="R204" i="11" s="1"/>
  <c r="Q203" i="11"/>
  <c r="H203" i="11"/>
  <c r="Q202" i="11"/>
  <c r="H202" i="11"/>
  <c r="Q201" i="11"/>
  <c r="R201" i="11" s="1"/>
  <c r="I201" i="11"/>
  <c r="H201" i="11"/>
  <c r="Q200" i="11"/>
  <c r="R200" i="11" s="1"/>
  <c r="I200" i="11"/>
  <c r="H200" i="11"/>
  <c r="Q199" i="11"/>
  <c r="I199" i="11"/>
  <c r="H199" i="11"/>
  <c r="Q198" i="11"/>
  <c r="H198" i="11"/>
  <c r="R197" i="11"/>
  <c r="Q197" i="11"/>
  <c r="I197" i="11"/>
  <c r="H197" i="11"/>
  <c r="Q196" i="11"/>
  <c r="H196" i="11"/>
  <c r="R196" i="11" s="1"/>
  <c r="Q195" i="11"/>
  <c r="I195" i="11"/>
  <c r="H195" i="11"/>
  <c r="Q194" i="11"/>
  <c r="H194" i="11"/>
  <c r="Q193" i="11"/>
  <c r="H193" i="11"/>
  <c r="R193" i="11" s="1"/>
  <c r="Q192" i="11"/>
  <c r="H192" i="11"/>
  <c r="R192" i="11" s="1"/>
  <c r="Q191" i="11"/>
  <c r="H191" i="11"/>
  <c r="R191" i="11" s="1"/>
  <c r="Q190" i="11"/>
  <c r="H190" i="11"/>
  <c r="Q189" i="11"/>
  <c r="I189" i="11"/>
  <c r="H189" i="11"/>
  <c r="R189" i="11" s="1"/>
  <c r="R188" i="11"/>
  <c r="Q188" i="11"/>
  <c r="I188" i="11"/>
  <c r="H188" i="11"/>
  <c r="Q187" i="11"/>
  <c r="H187" i="11"/>
  <c r="Q186" i="11"/>
  <c r="H186" i="11"/>
  <c r="Q185" i="11"/>
  <c r="R185" i="11" s="1"/>
  <c r="I185" i="11"/>
  <c r="H185" i="11"/>
  <c r="Q184" i="11"/>
  <c r="H184" i="11"/>
  <c r="R184" i="11" s="1"/>
  <c r="Q183" i="11"/>
  <c r="I183" i="11"/>
  <c r="H183" i="11"/>
  <c r="Q182" i="11"/>
  <c r="H182" i="11"/>
  <c r="Q181" i="11"/>
  <c r="H181" i="11"/>
  <c r="R181" i="11" s="1"/>
  <c r="Q180" i="11"/>
  <c r="R180" i="11" s="1"/>
  <c r="H180" i="11"/>
  <c r="I180" i="11" s="1"/>
  <c r="Q179" i="11"/>
  <c r="H179" i="11"/>
  <c r="Q178" i="11"/>
  <c r="H178" i="11"/>
  <c r="Q177" i="11"/>
  <c r="H177" i="11"/>
  <c r="R177" i="11" s="1"/>
  <c r="Q176" i="11"/>
  <c r="H176" i="11"/>
  <c r="Q175" i="11"/>
  <c r="H175" i="11"/>
  <c r="Q174" i="11"/>
  <c r="H174" i="11"/>
  <c r="R173" i="11"/>
  <c r="Q173" i="11"/>
  <c r="I173" i="11"/>
  <c r="H173" i="11"/>
  <c r="Q172" i="11"/>
  <c r="H172" i="11"/>
  <c r="R172" i="11" s="1"/>
  <c r="Q171" i="11"/>
  <c r="H171" i="11"/>
  <c r="Q170" i="11"/>
  <c r="H170" i="11"/>
  <c r="Q169" i="11"/>
  <c r="H169" i="11"/>
  <c r="R169" i="11" s="1"/>
  <c r="Q168" i="11"/>
  <c r="H168" i="11"/>
  <c r="R168" i="11" s="1"/>
  <c r="Q167" i="11"/>
  <c r="H167" i="11"/>
  <c r="R167" i="11" s="1"/>
  <c r="Q166" i="11"/>
  <c r="H166" i="11"/>
  <c r="Q165" i="11"/>
  <c r="R165" i="11" s="1"/>
  <c r="H165" i="11"/>
  <c r="I165" i="11" s="1"/>
  <c r="R164" i="11"/>
  <c r="Q164" i="11"/>
  <c r="I164" i="11"/>
  <c r="H164" i="11"/>
  <c r="R163" i="11"/>
  <c r="Q163" i="11"/>
  <c r="I163" i="11"/>
  <c r="H163" i="11"/>
  <c r="Q162" i="11"/>
  <c r="H162" i="11"/>
  <c r="R162" i="11" s="1"/>
  <c r="Q161" i="11"/>
  <c r="R161" i="11" s="1"/>
  <c r="H161" i="11"/>
  <c r="I161" i="11" s="1"/>
  <c r="R160" i="11"/>
  <c r="Q160" i="11"/>
  <c r="I160" i="11"/>
  <c r="H160" i="11"/>
  <c r="R159" i="11"/>
  <c r="Q159" i="11"/>
  <c r="I159" i="11"/>
  <c r="H159" i="11"/>
  <c r="Q158" i="11"/>
  <c r="H158" i="11"/>
  <c r="R158" i="11" s="1"/>
  <c r="Q157" i="11"/>
  <c r="R157" i="11" s="1"/>
  <c r="H157" i="11"/>
  <c r="I157" i="11" s="1"/>
  <c r="R156" i="11"/>
  <c r="Q156" i="11"/>
  <c r="I156" i="11"/>
  <c r="H156" i="11"/>
  <c r="R155" i="11"/>
  <c r="Q155" i="11"/>
  <c r="I155" i="11"/>
  <c r="H155" i="11"/>
  <c r="Q154" i="11"/>
  <c r="H154" i="11"/>
  <c r="R154" i="11" s="1"/>
  <c r="R153" i="11"/>
  <c r="Q153" i="11"/>
  <c r="H153" i="11"/>
  <c r="I153" i="11" s="1"/>
  <c r="R152" i="11"/>
  <c r="Q152" i="11"/>
  <c r="I152" i="11"/>
  <c r="H152" i="11"/>
  <c r="R151" i="11"/>
  <c r="Q151" i="11"/>
  <c r="I151" i="11"/>
  <c r="H151" i="11"/>
  <c r="Q150" i="11"/>
  <c r="H150" i="11"/>
  <c r="R150" i="11" s="1"/>
  <c r="Q149" i="11"/>
  <c r="R149" i="11" s="1"/>
  <c r="H149" i="11"/>
  <c r="I149" i="11" s="1"/>
  <c r="R148" i="11"/>
  <c r="Q148" i="11"/>
  <c r="I148" i="11"/>
  <c r="H148" i="11"/>
  <c r="R147" i="11"/>
  <c r="Q147" i="11"/>
  <c r="I147" i="11"/>
  <c r="H147" i="11"/>
  <c r="Q146" i="11"/>
  <c r="H146" i="11"/>
  <c r="R146" i="11" s="1"/>
  <c r="Q145" i="11"/>
  <c r="R145" i="11" s="1"/>
  <c r="H145" i="11"/>
  <c r="I145" i="11" s="1"/>
  <c r="R144" i="11"/>
  <c r="Q144" i="11"/>
  <c r="I144" i="11"/>
  <c r="H144" i="11"/>
  <c r="R143" i="11"/>
  <c r="Q143" i="11"/>
  <c r="I143" i="11"/>
  <c r="H143" i="11"/>
  <c r="Q142" i="11"/>
  <c r="H142" i="11"/>
  <c r="R142" i="11" s="1"/>
  <c r="R141" i="11"/>
  <c r="Q141" i="11"/>
  <c r="H141" i="11"/>
  <c r="I141" i="11" s="1"/>
  <c r="R140" i="11"/>
  <c r="Q140" i="11"/>
  <c r="I140" i="11"/>
  <c r="H140" i="11"/>
  <c r="R139" i="11"/>
  <c r="Q139" i="11"/>
  <c r="I139" i="11"/>
  <c r="H139" i="11"/>
  <c r="Q138" i="11"/>
  <c r="H138" i="11"/>
  <c r="R138" i="11" s="1"/>
  <c r="Q137" i="11"/>
  <c r="R137" i="11" s="1"/>
  <c r="H137" i="11"/>
  <c r="I137" i="11" s="1"/>
  <c r="R136" i="11"/>
  <c r="Q136" i="11"/>
  <c r="I136" i="11"/>
  <c r="H136" i="11"/>
  <c r="R135" i="11"/>
  <c r="Q135" i="11"/>
  <c r="I135" i="11"/>
  <c r="H135" i="11"/>
  <c r="Q134" i="11"/>
  <c r="H134" i="11"/>
  <c r="R134" i="11" s="1"/>
  <c r="Q133" i="11"/>
  <c r="R133" i="11" s="1"/>
  <c r="H133" i="11"/>
  <c r="I133" i="11" s="1"/>
  <c r="R132" i="11"/>
  <c r="Q132" i="11"/>
  <c r="I132" i="11"/>
  <c r="H132" i="11"/>
  <c r="R131" i="11"/>
  <c r="Q131" i="11"/>
  <c r="I131" i="11"/>
  <c r="H131" i="11"/>
  <c r="Q130" i="11"/>
  <c r="H130" i="11"/>
  <c r="R130" i="11" s="1"/>
  <c r="Q129" i="11"/>
  <c r="R129" i="11" s="1"/>
  <c r="H129" i="11"/>
  <c r="I129" i="11" s="1"/>
  <c r="R128" i="11"/>
  <c r="Q128" i="11"/>
  <c r="I128" i="11"/>
  <c r="H128" i="11"/>
  <c r="R127" i="11"/>
  <c r="Q127" i="11"/>
  <c r="I127" i="11"/>
  <c r="H127" i="11"/>
  <c r="Q126" i="11"/>
  <c r="H126" i="11"/>
  <c r="R126" i="11" s="1"/>
  <c r="R125" i="11"/>
  <c r="Q125" i="11"/>
  <c r="H125" i="11"/>
  <c r="I125" i="11" s="1"/>
  <c r="R124" i="11"/>
  <c r="Q124" i="11"/>
  <c r="I124" i="11"/>
  <c r="H124" i="11"/>
  <c r="R123" i="11"/>
  <c r="Q123" i="11"/>
  <c r="I123" i="11"/>
  <c r="H123" i="11"/>
  <c r="Q122" i="11"/>
  <c r="H122" i="11"/>
  <c r="R122" i="11" s="1"/>
  <c r="Q121" i="11"/>
  <c r="R121" i="11" s="1"/>
  <c r="H121" i="11"/>
  <c r="I121" i="11" s="1"/>
  <c r="R120" i="11"/>
  <c r="Q120" i="11"/>
  <c r="I120" i="11"/>
  <c r="H120" i="11"/>
  <c r="R119" i="11"/>
  <c r="Q119" i="11"/>
  <c r="I119" i="11"/>
  <c r="H119" i="11"/>
  <c r="Q118" i="11"/>
  <c r="H118" i="11"/>
  <c r="R118" i="11" s="1"/>
  <c r="Q117" i="11"/>
  <c r="R117" i="11" s="1"/>
  <c r="H117" i="11"/>
  <c r="I117" i="11" s="1"/>
  <c r="R116" i="11"/>
  <c r="Q116" i="11"/>
  <c r="I116" i="11"/>
  <c r="H116" i="11"/>
  <c r="R115" i="11"/>
  <c r="Q115" i="11"/>
  <c r="I115" i="11"/>
  <c r="H115" i="11"/>
  <c r="Q114" i="11"/>
  <c r="H114" i="11"/>
  <c r="R114" i="11" s="1"/>
  <c r="R113" i="11"/>
  <c r="Q113" i="11"/>
  <c r="H113" i="11"/>
  <c r="I113" i="11" s="1"/>
  <c r="R112" i="11"/>
  <c r="Q112" i="11"/>
  <c r="I112" i="11"/>
  <c r="H112" i="11"/>
  <c r="R111" i="11"/>
  <c r="Q111" i="11"/>
  <c r="I111" i="11"/>
  <c r="H111" i="11"/>
  <c r="Q110" i="11"/>
  <c r="H110" i="11"/>
  <c r="R110" i="11" s="1"/>
  <c r="Q109" i="11"/>
  <c r="R109" i="11" s="1"/>
  <c r="H109" i="11"/>
  <c r="I109" i="11" s="1"/>
  <c r="R108" i="11"/>
  <c r="Q108" i="11"/>
  <c r="I108" i="11"/>
  <c r="H108" i="11"/>
  <c r="R107" i="11"/>
  <c r="Q107" i="11"/>
  <c r="I107" i="11"/>
  <c r="H107" i="11"/>
  <c r="Q106" i="11"/>
  <c r="H106" i="11"/>
  <c r="R106" i="11" s="1"/>
  <c r="R105" i="11"/>
  <c r="Q105" i="11"/>
  <c r="H105" i="11"/>
  <c r="I105" i="11" s="1"/>
  <c r="R104" i="11"/>
  <c r="Q104" i="11"/>
  <c r="I104" i="11"/>
  <c r="H104" i="11"/>
  <c r="R103" i="11"/>
  <c r="Q103" i="11"/>
  <c r="I103" i="11"/>
  <c r="H103" i="11"/>
  <c r="Q102" i="11"/>
  <c r="H102" i="11"/>
  <c r="R102" i="11" s="1"/>
  <c r="Q101" i="11"/>
  <c r="R101" i="11" s="1"/>
  <c r="H101" i="11"/>
  <c r="I101" i="11" s="1"/>
  <c r="R100" i="11"/>
  <c r="Q100" i="11"/>
  <c r="I100" i="11"/>
  <c r="H100" i="11"/>
  <c r="R99" i="11"/>
  <c r="Q99" i="11"/>
  <c r="I99" i="11"/>
  <c r="H99" i="11"/>
  <c r="Q98" i="11"/>
  <c r="H98" i="11"/>
  <c r="R98" i="11" s="1"/>
  <c r="Q97" i="11"/>
  <c r="R97" i="11" s="1"/>
  <c r="H97" i="11"/>
  <c r="I97" i="11" s="1"/>
  <c r="R96" i="11"/>
  <c r="Q96" i="11"/>
  <c r="I96" i="11"/>
  <c r="H96" i="11"/>
  <c r="R95" i="11"/>
  <c r="Q95" i="11"/>
  <c r="I95" i="11"/>
  <c r="H95" i="11"/>
  <c r="Q94" i="11"/>
  <c r="H94" i="11"/>
  <c r="R94" i="11" s="1"/>
  <c r="Q93" i="11"/>
  <c r="R93" i="11" s="1"/>
  <c r="H93" i="11"/>
  <c r="I93" i="11" s="1"/>
  <c r="R92" i="11"/>
  <c r="Q92" i="11"/>
  <c r="I92" i="11"/>
  <c r="H92" i="11"/>
  <c r="R91" i="11"/>
  <c r="Q91" i="11"/>
  <c r="I91" i="11"/>
  <c r="H91" i="11"/>
  <c r="Q90" i="11"/>
  <c r="H90" i="11"/>
  <c r="R90" i="11" s="1"/>
  <c r="R89" i="11"/>
  <c r="Q89" i="11"/>
  <c r="H89" i="11"/>
  <c r="I89" i="11" s="1"/>
  <c r="R88" i="11"/>
  <c r="Q88" i="11"/>
  <c r="I88" i="11"/>
  <c r="H88" i="11"/>
  <c r="R87" i="11"/>
  <c r="Q87" i="11"/>
  <c r="I87" i="11"/>
  <c r="H87" i="11"/>
  <c r="Q86" i="11"/>
  <c r="H86" i="11"/>
  <c r="R86" i="11" s="1"/>
  <c r="Q85" i="11"/>
  <c r="R85" i="11" s="1"/>
  <c r="H85" i="11"/>
  <c r="I85" i="11" s="1"/>
  <c r="R84" i="11"/>
  <c r="Q84" i="11"/>
  <c r="I84" i="11"/>
  <c r="H84" i="11"/>
  <c r="R83" i="11"/>
  <c r="Q83" i="11"/>
  <c r="I83" i="11"/>
  <c r="H83" i="11"/>
  <c r="Q82" i="11"/>
  <c r="H82" i="11"/>
  <c r="R82" i="11" s="1"/>
  <c r="Q81" i="11"/>
  <c r="R81" i="11" s="1"/>
  <c r="H81" i="11"/>
  <c r="I81" i="11" s="1"/>
  <c r="R80" i="11"/>
  <c r="Q80" i="11"/>
  <c r="I80" i="11"/>
  <c r="H80" i="11"/>
  <c r="R79" i="11"/>
  <c r="Q79" i="11"/>
  <c r="I79" i="11"/>
  <c r="H79" i="11"/>
  <c r="Q78" i="11"/>
  <c r="H78" i="11"/>
  <c r="R78" i="11" s="1"/>
  <c r="R77" i="11"/>
  <c r="Q77" i="11"/>
  <c r="H77" i="11"/>
  <c r="I77" i="11" s="1"/>
  <c r="R76" i="11"/>
  <c r="Q76" i="11"/>
  <c r="I76" i="11"/>
  <c r="H76" i="11"/>
  <c r="R75" i="11"/>
  <c r="Q75" i="11"/>
  <c r="I75" i="11"/>
  <c r="H75" i="11"/>
  <c r="Q74" i="11"/>
  <c r="H74" i="11"/>
  <c r="R74" i="11" s="1"/>
  <c r="Q73" i="11"/>
  <c r="R73" i="11" s="1"/>
  <c r="H73" i="11"/>
  <c r="I73" i="11" s="1"/>
  <c r="R72" i="11"/>
  <c r="Q72" i="11"/>
  <c r="I72" i="11"/>
  <c r="H72" i="11"/>
  <c r="R71" i="11"/>
  <c r="Q71" i="11"/>
  <c r="I71" i="11"/>
  <c r="H71" i="11"/>
  <c r="Q70" i="11"/>
  <c r="H70" i="11"/>
  <c r="R70" i="11" s="1"/>
  <c r="Q69" i="11"/>
  <c r="R69" i="11" s="1"/>
  <c r="H69" i="11"/>
  <c r="I69" i="11" s="1"/>
  <c r="R68" i="11"/>
  <c r="Q68" i="11"/>
  <c r="I68" i="11"/>
  <c r="H68" i="11"/>
  <c r="R67" i="11"/>
  <c r="Q67" i="11"/>
  <c r="I67" i="11"/>
  <c r="H67" i="11"/>
  <c r="Q66" i="11"/>
  <c r="H66" i="11"/>
  <c r="R66" i="11" s="1"/>
  <c r="Q65" i="11"/>
  <c r="R65" i="11" s="1"/>
  <c r="H65" i="11"/>
  <c r="I65" i="11" s="1"/>
  <c r="R64" i="11"/>
  <c r="Q64" i="11"/>
  <c r="I64" i="11"/>
  <c r="H64" i="11"/>
  <c r="R63" i="11"/>
  <c r="Q63" i="11"/>
  <c r="I63" i="11"/>
  <c r="H63" i="11"/>
  <c r="Q62" i="11"/>
  <c r="H62" i="11"/>
  <c r="R62" i="11" s="1"/>
  <c r="R61" i="11"/>
  <c r="Q61" i="11"/>
  <c r="H61" i="11"/>
  <c r="I61" i="11" s="1"/>
  <c r="R60" i="11"/>
  <c r="Q60" i="11"/>
  <c r="I60" i="11"/>
  <c r="H60" i="11"/>
  <c r="R59" i="11"/>
  <c r="Q59" i="11"/>
  <c r="I59" i="11"/>
  <c r="H59" i="11"/>
  <c r="Q58" i="11"/>
  <c r="H58" i="11"/>
  <c r="R58" i="11" s="1"/>
  <c r="Q57" i="11"/>
  <c r="R57" i="11" s="1"/>
  <c r="H57" i="11"/>
  <c r="I57" i="11" s="1"/>
  <c r="R56" i="11"/>
  <c r="Q56" i="11"/>
  <c r="I56" i="11"/>
  <c r="H56" i="11"/>
  <c r="R55" i="11"/>
  <c r="Q55" i="11"/>
  <c r="I55" i="11"/>
  <c r="H55" i="11"/>
  <c r="Q54" i="11"/>
  <c r="H54" i="11"/>
  <c r="R54" i="11" s="1"/>
  <c r="Q53" i="11"/>
  <c r="R53" i="11" s="1"/>
  <c r="H53" i="11"/>
  <c r="I53" i="11" s="1"/>
  <c r="R52" i="11"/>
  <c r="Q52" i="11"/>
  <c r="I52" i="11"/>
  <c r="H52" i="11"/>
  <c r="R51" i="11"/>
  <c r="Q51" i="11"/>
  <c r="I51" i="11"/>
  <c r="H51" i="11"/>
  <c r="Q50" i="11"/>
  <c r="H50" i="11"/>
  <c r="R50" i="11" s="1"/>
  <c r="R49" i="11"/>
  <c r="Q49" i="11"/>
  <c r="H49" i="11"/>
  <c r="I49" i="11" s="1"/>
  <c r="R48" i="11"/>
  <c r="Q48" i="11"/>
  <c r="I48" i="11"/>
  <c r="H48" i="11"/>
  <c r="R47" i="11"/>
  <c r="Q47" i="11"/>
  <c r="I47" i="11"/>
  <c r="H47" i="11"/>
  <c r="Q46" i="11"/>
  <c r="H46" i="11"/>
  <c r="R46" i="11" s="1"/>
  <c r="Q45" i="11"/>
  <c r="R45" i="11" s="1"/>
  <c r="H45" i="11"/>
  <c r="I45" i="11" s="1"/>
  <c r="R44" i="11"/>
  <c r="Q44" i="11"/>
  <c r="I44" i="11"/>
  <c r="H44" i="11"/>
  <c r="R43" i="11"/>
  <c r="Q43" i="11"/>
  <c r="I43" i="11"/>
  <c r="H43" i="11"/>
  <c r="Q42" i="11"/>
  <c r="H42" i="11"/>
  <c r="R42" i="11" s="1"/>
  <c r="R41" i="11"/>
  <c r="Q41" i="11"/>
  <c r="H41" i="11"/>
  <c r="I41" i="11" s="1"/>
  <c r="R40" i="11"/>
  <c r="Q40" i="11"/>
  <c r="I40" i="11"/>
  <c r="H40" i="11"/>
  <c r="R39" i="11"/>
  <c r="Q39" i="11"/>
  <c r="I39" i="11"/>
  <c r="H39" i="11"/>
  <c r="Q38" i="11"/>
  <c r="H38" i="11"/>
  <c r="R38" i="11" s="1"/>
  <c r="Q37" i="11"/>
  <c r="R37" i="11" s="1"/>
  <c r="H37" i="11"/>
  <c r="I37" i="11" s="1"/>
  <c r="R36" i="11"/>
  <c r="Q36" i="11"/>
  <c r="I36" i="11"/>
  <c r="H36" i="11"/>
  <c r="R35" i="11"/>
  <c r="Q35" i="11"/>
  <c r="I35" i="11"/>
  <c r="H35" i="11"/>
  <c r="Q34" i="11"/>
  <c r="H34" i="11"/>
  <c r="R34" i="11" s="1"/>
  <c r="Q33" i="11"/>
  <c r="R33" i="11" s="1"/>
  <c r="H33" i="11"/>
  <c r="I33" i="11" s="1"/>
  <c r="R32" i="11"/>
  <c r="Q32" i="11"/>
  <c r="I32" i="11"/>
  <c r="H32" i="11"/>
  <c r="R31" i="11"/>
  <c r="Q31" i="11"/>
  <c r="I31" i="11"/>
  <c r="H31" i="11"/>
  <c r="Q30" i="11"/>
  <c r="H30" i="11"/>
  <c r="R30" i="11" s="1"/>
  <c r="R29" i="11"/>
  <c r="Q29" i="11"/>
  <c r="H29" i="11"/>
  <c r="I29" i="11" s="1"/>
  <c r="R28" i="11"/>
  <c r="Q28" i="11"/>
  <c r="I28" i="11"/>
  <c r="H28" i="11"/>
  <c r="R27" i="11"/>
  <c r="Q27" i="11"/>
  <c r="I27" i="11"/>
  <c r="H27" i="11"/>
  <c r="Q26" i="11"/>
  <c r="H26" i="11"/>
  <c r="R26" i="11" s="1"/>
  <c r="R25" i="11"/>
  <c r="Q25" i="11"/>
  <c r="H25" i="11"/>
  <c r="I25" i="11" s="1"/>
  <c r="R24" i="11"/>
  <c r="Q24" i="11"/>
  <c r="I24" i="11"/>
  <c r="H24" i="11"/>
  <c r="R23" i="11"/>
  <c r="Q23" i="11"/>
  <c r="I23" i="11"/>
  <c r="H23" i="11"/>
  <c r="Q22" i="11"/>
  <c r="H22" i="11"/>
  <c r="R22" i="11" s="1"/>
  <c r="Q21" i="11"/>
  <c r="R21" i="11" s="1"/>
  <c r="H21" i="11"/>
  <c r="I21" i="11" s="1"/>
  <c r="R20" i="11"/>
  <c r="Q20" i="11"/>
  <c r="I20" i="11"/>
  <c r="H20" i="11"/>
  <c r="R19" i="11"/>
  <c r="Q19" i="11"/>
  <c r="I19" i="11"/>
  <c r="H19" i="11"/>
  <c r="Q18" i="11"/>
  <c r="H18" i="11"/>
  <c r="R18" i="11" s="1"/>
  <c r="Q17" i="11"/>
  <c r="R17" i="11" s="1"/>
  <c r="H17" i="11"/>
  <c r="I17" i="11" s="1"/>
  <c r="R16" i="11"/>
  <c r="Q16" i="11"/>
  <c r="I16" i="11"/>
  <c r="H16" i="11"/>
  <c r="R15" i="11"/>
  <c r="Q15" i="11"/>
  <c r="I15" i="11"/>
  <c r="H15" i="11"/>
  <c r="Q14" i="11"/>
  <c r="H14" i="11"/>
  <c r="R14" i="11" s="1"/>
  <c r="R13" i="11"/>
  <c r="Q13" i="11"/>
  <c r="H13" i="11"/>
  <c r="I13" i="11" s="1"/>
  <c r="R12" i="11"/>
  <c r="Q12" i="11"/>
  <c r="I12" i="11"/>
  <c r="H12" i="11"/>
  <c r="R11" i="11"/>
  <c r="Q11" i="11"/>
  <c r="I11" i="11"/>
  <c r="H11" i="11"/>
  <c r="Q10" i="11"/>
  <c r="H10" i="11"/>
  <c r="R10" i="11" s="1"/>
  <c r="Q9" i="11"/>
  <c r="R9" i="11" s="1"/>
  <c r="H9" i="11"/>
  <c r="I9" i="11" s="1"/>
  <c r="R8" i="11"/>
  <c r="Q8" i="11"/>
  <c r="I8" i="11"/>
  <c r="H8" i="11"/>
  <c r="R7" i="11"/>
  <c r="Q7" i="11"/>
  <c r="I7" i="11"/>
  <c r="H7" i="11"/>
  <c r="Q6" i="11"/>
  <c r="H6" i="11"/>
  <c r="R6" i="11" s="1"/>
  <c r="Q5" i="11"/>
  <c r="R5" i="11" s="1"/>
  <c r="H5" i="11"/>
  <c r="I5" i="11" s="1"/>
  <c r="K504" i="10"/>
  <c r="K503" i="10"/>
  <c r="K502" i="10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L504" i="9"/>
  <c r="K504" i="9"/>
  <c r="J504" i="9"/>
  <c r="I504" i="9"/>
  <c r="H504" i="9"/>
  <c r="C504" i="9"/>
  <c r="L503" i="9"/>
  <c r="K503" i="9"/>
  <c r="J503" i="9"/>
  <c r="I503" i="9"/>
  <c r="H503" i="9"/>
  <c r="C503" i="9"/>
  <c r="L502" i="9"/>
  <c r="K502" i="9"/>
  <c r="J502" i="9"/>
  <c r="I502" i="9"/>
  <c r="H502" i="9"/>
  <c r="C502" i="9"/>
  <c r="L501" i="9"/>
  <c r="K501" i="9"/>
  <c r="J501" i="9"/>
  <c r="I501" i="9"/>
  <c r="H501" i="9"/>
  <c r="C501" i="9"/>
  <c r="L500" i="9"/>
  <c r="K500" i="9"/>
  <c r="J500" i="9"/>
  <c r="I500" i="9"/>
  <c r="H500" i="9"/>
  <c r="C500" i="9"/>
  <c r="L499" i="9"/>
  <c r="K499" i="9"/>
  <c r="J499" i="9"/>
  <c r="I499" i="9"/>
  <c r="H499" i="9"/>
  <c r="C499" i="9"/>
  <c r="L498" i="9"/>
  <c r="K498" i="9"/>
  <c r="J498" i="9"/>
  <c r="I498" i="9"/>
  <c r="H498" i="9"/>
  <c r="C498" i="9"/>
  <c r="L497" i="9"/>
  <c r="K497" i="9"/>
  <c r="J497" i="9"/>
  <c r="I497" i="9"/>
  <c r="H497" i="9"/>
  <c r="C497" i="9"/>
  <c r="L496" i="9"/>
  <c r="K496" i="9"/>
  <c r="J496" i="9"/>
  <c r="I496" i="9"/>
  <c r="H496" i="9"/>
  <c r="C496" i="9"/>
  <c r="L495" i="9"/>
  <c r="K495" i="9"/>
  <c r="J495" i="9"/>
  <c r="I495" i="9"/>
  <c r="H495" i="9"/>
  <c r="C495" i="9"/>
  <c r="L494" i="9"/>
  <c r="K494" i="9"/>
  <c r="J494" i="9"/>
  <c r="I494" i="9"/>
  <c r="H494" i="9"/>
  <c r="C494" i="9"/>
  <c r="L493" i="9"/>
  <c r="K493" i="9"/>
  <c r="J493" i="9"/>
  <c r="I493" i="9"/>
  <c r="H493" i="9"/>
  <c r="C493" i="9"/>
  <c r="L492" i="9"/>
  <c r="K492" i="9"/>
  <c r="J492" i="9"/>
  <c r="I492" i="9"/>
  <c r="H492" i="9"/>
  <c r="C492" i="9"/>
  <c r="L491" i="9"/>
  <c r="K491" i="9"/>
  <c r="J491" i="9"/>
  <c r="I491" i="9"/>
  <c r="H491" i="9"/>
  <c r="C491" i="9"/>
  <c r="L490" i="9"/>
  <c r="K490" i="9"/>
  <c r="J490" i="9"/>
  <c r="I490" i="9"/>
  <c r="H490" i="9"/>
  <c r="C490" i="9"/>
  <c r="L489" i="9"/>
  <c r="K489" i="9"/>
  <c r="J489" i="9"/>
  <c r="I489" i="9"/>
  <c r="H489" i="9"/>
  <c r="C489" i="9"/>
  <c r="L488" i="9"/>
  <c r="K488" i="9"/>
  <c r="J488" i="9"/>
  <c r="I488" i="9"/>
  <c r="H488" i="9"/>
  <c r="C488" i="9"/>
  <c r="L487" i="9"/>
  <c r="K487" i="9"/>
  <c r="J487" i="9"/>
  <c r="I487" i="9"/>
  <c r="H487" i="9"/>
  <c r="C487" i="9"/>
  <c r="L486" i="9"/>
  <c r="K486" i="9"/>
  <c r="J486" i="9"/>
  <c r="I486" i="9"/>
  <c r="H486" i="9"/>
  <c r="C486" i="9"/>
  <c r="L485" i="9"/>
  <c r="K485" i="9"/>
  <c r="J485" i="9"/>
  <c r="I485" i="9"/>
  <c r="H485" i="9"/>
  <c r="C485" i="9"/>
  <c r="L484" i="9"/>
  <c r="K484" i="9"/>
  <c r="J484" i="9"/>
  <c r="I484" i="9"/>
  <c r="H484" i="9"/>
  <c r="C484" i="9"/>
  <c r="L483" i="9"/>
  <c r="K483" i="9"/>
  <c r="J483" i="9"/>
  <c r="I483" i="9"/>
  <c r="H483" i="9"/>
  <c r="C483" i="9"/>
  <c r="L482" i="9"/>
  <c r="K482" i="9"/>
  <c r="J482" i="9"/>
  <c r="I482" i="9"/>
  <c r="H482" i="9"/>
  <c r="C482" i="9"/>
  <c r="L481" i="9"/>
  <c r="K481" i="9"/>
  <c r="J481" i="9"/>
  <c r="I481" i="9"/>
  <c r="H481" i="9"/>
  <c r="C481" i="9"/>
  <c r="L480" i="9"/>
  <c r="K480" i="9"/>
  <c r="J480" i="9"/>
  <c r="I480" i="9"/>
  <c r="H480" i="9"/>
  <c r="C480" i="9"/>
  <c r="L479" i="9"/>
  <c r="K479" i="9"/>
  <c r="J479" i="9"/>
  <c r="I479" i="9"/>
  <c r="H479" i="9"/>
  <c r="C479" i="9"/>
  <c r="L478" i="9"/>
  <c r="K478" i="9"/>
  <c r="J478" i="9"/>
  <c r="I478" i="9"/>
  <c r="H478" i="9"/>
  <c r="C478" i="9"/>
  <c r="L477" i="9"/>
  <c r="K477" i="9"/>
  <c r="J477" i="9"/>
  <c r="I477" i="9"/>
  <c r="H477" i="9"/>
  <c r="C477" i="9"/>
  <c r="L476" i="9"/>
  <c r="K476" i="9"/>
  <c r="J476" i="9"/>
  <c r="I476" i="9"/>
  <c r="H476" i="9"/>
  <c r="C476" i="9"/>
  <c r="L475" i="9"/>
  <c r="K475" i="9"/>
  <c r="J475" i="9"/>
  <c r="I475" i="9"/>
  <c r="H475" i="9"/>
  <c r="C475" i="9"/>
  <c r="L474" i="9"/>
  <c r="K474" i="9"/>
  <c r="J474" i="9"/>
  <c r="I474" i="9"/>
  <c r="H474" i="9"/>
  <c r="C474" i="9"/>
  <c r="L473" i="9"/>
  <c r="K473" i="9"/>
  <c r="J473" i="9"/>
  <c r="I473" i="9"/>
  <c r="H473" i="9"/>
  <c r="C473" i="9"/>
  <c r="L472" i="9"/>
  <c r="K472" i="9"/>
  <c r="J472" i="9"/>
  <c r="I472" i="9"/>
  <c r="H472" i="9"/>
  <c r="C472" i="9"/>
  <c r="L471" i="9"/>
  <c r="K471" i="9"/>
  <c r="J471" i="9"/>
  <c r="I471" i="9"/>
  <c r="H471" i="9"/>
  <c r="C471" i="9"/>
  <c r="L470" i="9"/>
  <c r="K470" i="9"/>
  <c r="J470" i="9"/>
  <c r="I470" i="9"/>
  <c r="H470" i="9"/>
  <c r="C470" i="9"/>
  <c r="L469" i="9"/>
  <c r="K469" i="9"/>
  <c r="J469" i="9"/>
  <c r="I469" i="9"/>
  <c r="H469" i="9"/>
  <c r="C469" i="9"/>
  <c r="L468" i="9"/>
  <c r="K468" i="9"/>
  <c r="J468" i="9"/>
  <c r="I468" i="9"/>
  <c r="H468" i="9"/>
  <c r="C468" i="9"/>
  <c r="L467" i="9"/>
  <c r="K467" i="9"/>
  <c r="J467" i="9"/>
  <c r="I467" i="9"/>
  <c r="H467" i="9"/>
  <c r="C467" i="9"/>
  <c r="L466" i="9"/>
  <c r="K466" i="9"/>
  <c r="J466" i="9"/>
  <c r="I466" i="9"/>
  <c r="H466" i="9"/>
  <c r="C466" i="9"/>
  <c r="L465" i="9"/>
  <c r="K465" i="9"/>
  <c r="J465" i="9"/>
  <c r="I465" i="9"/>
  <c r="H465" i="9"/>
  <c r="C465" i="9"/>
  <c r="L464" i="9"/>
  <c r="K464" i="9"/>
  <c r="J464" i="9"/>
  <c r="I464" i="9"/>
  <c r="H464" i="9"/>
  <c r="C464" i="9"/>
  <c r="L463" i="9"/>
  <c r="K463" i="9"/>
  <c r="J463" i="9"/>
  <c r="I463" i="9"/>
  <c r="H463" i="9"/>
  <c r="C463" i="9"/>
  <c r="L462" i="9"/>
  <c r="K462" i="9"/>
  <c r="J462" i="9"/>
  <c r="I462" i="9"/>
  <c r="H462" i="9"/>
  <c r="C462" i="9"/>
  <c r="L461" i="9"/>
  <c r="K461" i="9"/>
  <c r="J461" i="9"/>
  <c r="I461" i="9"/>
  <c r="H461" i="9"/>
  <c r="C461" i="9"/>
  <c r="L460" i="9"/>
  <c r="K460" i="9"/>
  <c r="J460" i="9"/>
  <c r="I460" i="9"/>
  <c r="H460" i="9"/>
  <c r="C460" i="9"/>
  <c r="L459" i="9"/>
  <c r="K459" i="9"/>
  <c r="J459" i="9"/>
  <c r="I459" i="9"/>
  <c r="H459" i="9"/>
  <c r="C459" i="9"/>
  <c r="L458" i="9"/>
  <c r="K458" i="9"/>
  <c r="J458" i="9"/>
  <c r="I458" i="9"/>
  <c r="H458" i="9"/>
  <c r="C458" i="9"/>
  <c r="L457" i="9"/>
  <c r="K457" i="9"/>
  <c r="J457" i="9"/>
  <c r="I457" i="9"/>
  <c r="H457" i="9"/>
  <c r="C457" i="9"/>
  <c r="L456" i="9"/>
  <c r="K456" i="9"/>
  <c r="J456" i="9"/>
  <c r="I456" i="9"/>
  <c r="H456" i="9"/>
  <c r="C456" i="9"/>
  <c r="L455" i="9"/>
  <c r="K455" i="9"/>
  <c r="J455" i="9"/>
  <c r="I455" i="9"/>
  <c r="H455" i="9"/>
  <c r="C455" i="9"/>
  <c r="L454" i="9"/>
  <c r="K454" i="9"/>
  <c r="J454" i="9"/>
  <c r="I454" i="9"/>
  <c r="H454" i="9"/>
  <c r="C454" i="9"/>
  <c r="L453" i="9"/>
  <c r="K453" i="9"/>
  <c r="J453" i="9"/>
  <c r="I453" i="9"/>
  <c r="H453" i="9"/>
  <c r="C453" i="9"/>
  <c r="L452" i="9"/>
  <c r="K452" i="9"/>
  <c r="J452" i="9"/>
  <c r="I452" i="9"/>
  <c r="H452" i="9"/>
  <c r="C452" i="9"/>
  <c r="L451" i="9"/>
  <c r="K451" i="9"/>
  <c r="J451" i="9"/>
  <c r="I451" i="9"/>
  <c r="H451" i="9"/>
  <c r="C451" i="9"/>
  <c r="L450" i="9"/>
  <c r="K450" i="9"/>
  <c r="J450" i="9"/>
  <c r="I450" i="9"/>
  <c r="H450" i="9"/>
  <c r="C450" i="9"/>
  <c r="L449" i="9"/>
  <c r="K449" i="9"/>
  <c r="J449" i="9"/>
  <c r="I449" i="9"/>
  <c r="H449" i="9"/>
  <c r="C449" i="9"/>
  <c r="L448" i="9"/>
  <c r="K448" i="9"/>
  <c r="J448" i="9"/>
  <c r="I448" i="9"/>
  <c r="H448" i="9"/>
  <c r="C448" i="9"/>
  <c r="L447" i="9"/>
  <c r="K447" i="9"/>
  <c r="J447" i="9"/>
  <c r="I447" i="9"/>
  <c r="H447" i="9"/>
  <c r="C447" i="9"/>
  <c r="L446" i="9"/>
  <c r="K446" i="9"/>
  <c r="J446" i="9"/>
  <c r="I446" i="9"/>
  <c r="H446" i="9"/>
  <c r="C446" i="9"/>
  <c r="L445" i="9"/>
  <c r="K445" i="9"/>
  <c r="J445" i="9"/>
  <c r="I445" i="9"/>
  <c r="H445" i="9"/>
  <c r="C445" i="9"/>
  <c r="L444" i="9"/>
  <c r="K444" i="9"/>
  <c r="J444" i="9"/>
  <c r="I444" i="9"/>
  <c r="H444" i="9"/>
  <c r="C444" i="9"/>
  <c r="L443" i="9"/>
  <c r="K443" i="9"/>
  <c r="J443" i="9"/>
  <c r="I443" i="9"/>
  <c r="H443" i="9"/>
  <c r="C443" i="9"/>
  <c r="L442" i="9"/>
  <c r="K442" i="9"/>
  <c r="J442" i="9"/>
  <c r="I442" i="9"/>
  <c r="H442" i="9"/>
  <c r="C442" i="9"/>
  <c r="L441" i="9"/>
  <c r="K441" i="9"/>
  <c r="J441" i="9"/>
  <c r="I441" i="9"/>
  <c r="H441" i="9"/>
  <c r="C441" i="9"/>
  <c r="L440" i="9"/>
  <c r="K440" i="9"/>
  <c r="J440" i="9"/>
  <c r="I440" i="9"/>
  <c r="H440" i="9"/>
  <c r="C440" i="9"/>
  <c r="L439" i="9"/>
  <c r="K439" i="9"/>
  <c r="J439" i="9"/>
  <c r="I439" i="9"/>
  <c r="H439" i="9"/>
  <c r="C439" i="9"/>
  <c r="L438" i="9"/>
  <c r="K438" i="9"/>
  <c r="J438" i="9"/>
  <c r="I438" i="9"/>
  <c r="H438" i="9"/>
  <c r="C438" i="9"/>
  <c r="L437" i="9"/>
  <c r="K437" i="9"/>
  <c r="J437" i="9"/>
  <c r="I437" i="9"/>
  <c r="H437" i="9"/>
  <c r="C437" i="9"/>
  <c r="L436" i="9"/>
  <c r="K436" i="9"/>
  <c r="J436" i="9"/>
  <c r="I436" i="9"/>
  <c r="H436" i="9"/>
  <c r="C436" i="9"/>
  <c r="L435" i="9"/>
  <c r="K435" i="9"/>
  <c r="J435" i="9"/>
  <c r="I435" i="9"/>
  <c r="H435" i="9"/>
  <c r="C435" i="9"/>
  <c r="L434" i="9"/>
  <c r="K434" i="9"/>
  <c r="J434" i="9"/>
  <c r="I434" i="9"/>
  <c r="H434" i="9"/>
  <c r="C434" i="9"/>
  <c r="L433" i="9"/>
  <c r="K433" i="9"/>
  <c r="J433" i="9"/>
  <c r="I433" i="9"/>
  <c r="H433" i="9"/>
  <c r="C433" i="9"/>
  <c r="L432" i="9"/>
  <c r="K432" i="9"/>
  <c r="J432" i="9"/>
  <c r="I432" i="9"/>
  <c r="H432" i="9"/>
  <c r="C432" i="9"/>
  <c r="L431" i="9"/>
  <c r="K431" i="9"/>
  <c r="J431" i="9"/>
  <c r="I431" i="9"/>
  <c r="H431" i="9"/>
  <c r="C431" i="9"/>
  <c r="L430" i="9"/>
  <c r="K430" i="9"/>
  <c r="J430" i="9"/>
  <c r="I430" i="9"/>
  <c r="H430" i="9"/>
  <c r="C430" i="9"/>
  <c r="L429" i="9"/>
  <c r="K429" i="9"/>
  <c r="J429" i="9"/>
  <c r="I429" i="9"/>
  <c r="H429" i="9"/>
  <c r="C429" i="9"/>
  <c r="L428" i="9"/>
  <c r="K428" i="9"/>
  <c r="J428" i="9"/>
  <c r="I428" i="9"/>
  <c r="H428" i="9"/>
  <c r="C428" i="9"/>
  <c r="L427" i="9"/>
  <c r="K427" i="9"/>
  <c r="J427" i="9"/>
  <c r="I427" i="9"/>
  <c r="H427" i="9"/>
  <c r="C427" i="9"/>
  <c r="L426" i="9"/>
  <c r="K426" i="9"/>
  <c r="J426" i="9"/>
  <c r="I426" i="9"/>
  <c r="H426" i="9"/>
  <c r="C426" i="9"/>
  <c r="L425" i="9"/>
  <c r="K425" i="9"/>
  <c r="J425" i="9"/>
  <c r="I425" i="9"/>
  <c r="H425" i="9"/>
  <c r="C425" i="9"/>
  <c r="L424" i="9"/>
  <c r="K424" i="9"/>
  <c r="J424" i="9"/>
  <c r="I424" i="9"/>
  <c r="H424" i="9"/>
  <c r="C424" i="9"/>
  <c r="L423" i="9"/>
  <c r="K423" i="9"/>
  <c r="J423" i="9"/>
  <c r="I423" i="9"/>
  <c r="H423" i="9"/>
  <c r="C423" i="9"/>
  <c r="L422" i="9"/>
  <c r="K422" i="9"/>
  <c r="J422" i="9"/>
  <c r="I422" i="9"/>
  <c r="H422" i="9"/>
  <c r="C422" i="9"/>
  <c r="L421" i="9"/>
  <c r="K421" i="9"/>
  <c r="J421" i="9"/>
  <c r="I421" i="9"/>
  <c r="H421" i="9"/>
  <c r="C421" i="9"/>
  <c r="L420" i="9"/>
  <c r="K420" i="9"/>
  <c r="J420" i="9"/>
  <c r="I420" i="9"/>
  <c r="H420" i="9"/>
  <c r="C420" i="9"/>
  <c r="L419" i="9"/>
  <c r="K419" i="9"/>
  <c r="J419" i="9"/>
  <c r="I419" i="9"/>
  <c r="H419" i="9"/>
  <c r="C419" i="9"/>
  <c r="L418" i="9"/>
  <c r="K418" i="9"/>
  <c r="J418" i="9"/>
  <c r="I418" i="9"/>
  <c r="H418" i="9"/>
  <c r="C418" i="9"/>
  <c r="L417" i="9"/>
  <c r="K417" i="9"/>
  <c r="J417" i="9"/>
  <c r="I417" i="9"/>
  <c r="H417" i="9"/>
  <c r="C417" i="9"/>
  <c r="L416" i="9"/>
  <c r="K416" i="9"/>
  <c r="J416" i="9"/>
  <c r="I416" i="9"/>
  <c r="H416" i="9"/>
  <c r="C416" i="9"/>
  <c r="L415" i="9"/>
  <c r="K415" i="9"/>
  <c r="J415" i="9"/>
  <c r="I415" i="9"/>
  <c r="H415" i="9"/>
  <c r="C415" i="9"/>
  <c r="L414" i="9"/>
  <c r="K414" i="9"/>
  <c r="J414" i="9"/>
  <c r="I414" i="9"/>
  <c r="H414" i="9"/>
  <c r="C414" i="9"/>
  <c r="L413" i="9"/>
  <c r="K413" i="9"/>
  <c r="J413" i="9"/>
  <c r="I413" i="9"/>
  <c r="H413" i="9"/>
  <c r="C413" i="9"/>
  <c r="L412" i="9"/>
  <c r="K412" i="9"/>
  <c r="J412" i="9"/>
  <c r="I412" i="9"/>
  <c r="H412" i="9"/>
  <c r="C412" i="9"/>
  <c r="L411" i="9"/>
  <c r="K411" i="9"/>
  <c r="J411" i="9"/>
  <c r="I411" i="9"/>
  <c r="H411" i="9"/>
  <c r="C411" i="9"/>
  <c r="L410" i="9"/>
  <c r="K410" i="9"/>
  <c r="J410" i="9"/>
  <c r="I410" i="9"/>
  <c r="H410" i="9"/>
  <c r="C410" i="9"/>
  <c r="L409" i="9"/>
  <c r="K409" i="9"/>
  <c r="J409" i="9"/>
  <c r="I409" i="9"/>
  <c r="H409" i="9"/>
  <c r="C409" i="9"/>
  <c r="L408" i="9"/>
  <c r="K408" i="9"/>
  <c r="J408" i="9"/>
  <c r="I408" i="9"/>
  <c r="H408" i="9"/>
  <c r="C408" i="9"/>
  <c r="L407" i="9"/>
  <c r="K407" i="9"/>
  <c r="J407" i="9"/>
  <c r="I407" i="9"/>
  <c r="H407" i="9"/>
  <c r="C407" i="9"/>
  <c r="L406" i="9"/>
  <c r="K406" i="9"/>
  <c r="J406" i="9"/>
  <c r="I406" i="9"/>
  <c r="H406" i="9"/>
  <c r="C406" i="9"/>
  <c r="L405" i="9"/>
  <c r="K405" i="9"/>
  <c r="J405" i="9"/>
  <c r="I405" i="9"/>
  <c r="H405" i="9"/>
  <c r="C405" i="9"/>
  <c r="L404" i="9"/>
  <c r="K404" i="9"/>
  <c r="J404" i="9"/>
  <c r="I404" i="9"/>
  <c r="H404" i="9"/>
  <c r="C404" i="9"/>
  <c r="L403" i="9"/>
  <c r="K403" i="9"/>
  <c r="J403" i="9"/>
  <c r="I403" i="9"/>
  <c r="H403" i="9"/>
  <c r="C403" i="9"/>
  <c r="L402" i="9"/>
  <c r="K402" i="9"/>
  <c r="J402" i="9"/>
  <c r="I402" i="9"/>
  <c r="H402" i="9"/>
  <c r="C402" i="9"/>
  <c r="L401" i="9"/>
  <c r="K401" i="9"/>
  <c r="J401" i="9"/>
  <c r="I401" i="9"/>
  <c r="H401" i="9"/>
  <c r="C401" i="9"/>
  <c r="L400" i="9"/>
  <c r="K400" i="9"/>
  <c r="J400" i="9"/>
  <c r="I400" i="9"/>
  <c r="H400" i="9"/>
  <c r="C400" i="9"/>
  <c r="L399" i="9"/>
  <c r="K399" i="9"/>
  <c r="J399" i="9"/>
  <c r="I399" i="9"/>
  <c r="H399" i="9"/>
  <c r="C399" i="9"/>
  <c r="L398" i="9"/>
  <c r="K398" i="9"/>
  <c r="J398" i="9"/>
  <c r="I398" i="9"/>
  <c r="H398" i="9"/>
  <c r="C398" i="9"/>
  <c r="L397" i="9"/>
  <c r="K397" i="9"/>
  <c r="J397" i="9"/>
  <c r="I397" i="9"/>
  <c r="H397" i="9"/>
  <c r="C397" i="9"/>
  <c r="L396" i="9"/>
  <c r="K396" i="9"/>
  <c r="J396" i="9"/>
  <c r="I396" i="9"/>
  <c r="H396" i="9"/>
  <c r="C396" i="9"/>
  <c r="L395" i="9"/>
  <c r="K395" i="9"/>
  <c r="J395" i="9"/>
  <c r="I395" i="9"/>
  <c r="H395" i="9"/>
  <c r="C395" i="9"/>
  <c r="L394" i="9"/>
  <c r="K394" i="9"/>
  <c r="J394" i="9"/>
  <c r="I394" i="9"/>
  <c r="H394" i="9"/>
  <c r="C394" i="9"/>
  <c r="L393" i="9"/>
  <c r="K393" i="9"/>
  <c r="J393" i="9"/>
  <c r="I393" i="9"/>
  <c r="H393" i="9"/>
  <c r="C393" i="9"/>
  <c r="L392" i="9"/>
  <c r="K392" i="9"/>
  <c r="J392" i="9"/>
  <c r="I392" i="9"/>
  <c r="H392" i="9"/>
  <c r="C392" i="9"/>
  <c r="L391" i="9"/>
  <c r="K391" i="9"/>
  <c r="J391" i="9"/>
  <c r="I391" i="9"/>
  <c r="H391" i="9"/>
  <c r="C391" i="9"/>
  <c r="L390" i="9"/>
  <c r="K390" i="9"/>
  <c r="J390" i="9"/>
  <c r="I390" i="9"/>
  <c r="H390" i="9"/>
  <c r="C390" i="9"/>
  <c r="L389" i="9"/>
  <c r="K389" i="9"/>
  <c r="J389" i="9"/>
  <c r="I389" i="9"/>
  <c r="H389" i="9"/>
  <c r="C389" i="9"/>
  <c r="L388" i="9"/>
  <c r="K388" i="9"/>
  <c r="J388" i="9"/>
  <c r="I388" i="9"/>
  <c r="H388" i="9"/>
  <c r="C388" i="9"/>
  <c r="L387" i="9"/>
  <c r="K387" i="9"/>
  <c r="J387" i="9"/>
  <c r="I387" i="9"/>
  <c r="H387" i="9"/>
  <c r="C387" i="9"/>
  <c r="L386" i="9"/>
  <c r="K386" i="9"/>
  <c r="J386" i="9"/>
  <c r="I386" i="9"/>
  <c r="H386" i="9"/>
  <c r="C386" i="9"/>
  <c r="L385" i="9"/>
  <c r="K385" i="9"/>
  <c r="J385" i="9"/>
  <c r="I385" i="9"/>
  <c r="H385" i="9"/>
  <c r="C385" i="9"/>
  <c r="L384" i="9"/>
  <c r="K384" i="9"/>
  <c r="J384" i="9"/>
  <c r="I384" i="9"/>
  <c r="H384" i="9"/>
  <c r="C384" i="9"/>
  <c r="L383" i="9"/>
  <c r="K383" i="9"/>
  <c r="J383" i="9"/>
  <c r="I383" i="9"/>
  <c r="H383" i="9"/>
  <c r="C383" i="9"/>
  <c r="L382" i="9"/>
  <c r="K382" i="9"/>
  <c r="J382" i="9"/>
  <c r="I382" i="9"/>
  <c r="H382" i="9"/>
  <c r="C382" i="9"/>
  <c r="L381" i="9"/>
  <c r="K381" i="9"/>
  <c r="J381" i="9"/>
  <c r="I381" i="9"/>
  <c r="H381" i="9"/>
  <c r="C381" i="9"/>
  <c r="L380" i="9"/>
  <c r="K380" i="9"/>
  <c r="J380" i="9"/>
  <c r="I380" i="9"/>
  <c r="H380" i="9"/>
  <c r="C380" i="9"/>
  <c r="L379" i="9"/>
  <c r="K379" i="9"/>
  <c r="J379" i="9"/>
  <c r="I379" i="9"/>
  <c r="H379" i="9"/>
  <c r="C379" i="9"/>
  <c r="L378" i="9"/>
  <c r="K378" i="9"/>
  <c r="J378" i="9"/>
  <c r="I378" i="9"/>
  <c r="H378" i="9"/>
  <c r="C378" i="9"/>
  <c r="L377" i="9"/>
  <c r="K377" i="9"/>
  <c r="J377" i="9"/>
  <c r="I377" i="9"/>
  <c r="H377" i="9"/>
  <c r="C377" i="9"/>
  <c r="L376" i="9"/>
  <c r="K376" i="9"/>
  <c r="J376" i="9"/>
  <c r="I376" i="9"/>
  <c r="H376" i="9"/>
  <c r="C376" i="9"/>
  <c r="L375" i="9"/>
  <c r="K375" i="9"/>
  <c r="J375" i="9"/>
  <c r="I375" i="9"/>
  <c r="H375" i="9"/>
  <c r="C375" i="9"/>
  <c r="L374" i="9"/>
  <c r="K374" i="9"/>
  <c r="J374" i="9"/>
  <c r="I374" i="9"/>
  <c r="H374" i="9"/>
  <c r="C374" i="9"/>
  <c r="L373" i="9"/>
  <c r="K373" i="9"/>
  <c r="J373" i="9"/>
  <c r="I373" i="9"/>
  <c r="H373" i="9"/>
  <c r="C373" i="9"/>
  <c r="L372" i="9"/>
  <c r="K372" i="9"/>
  <c r="J372" i="9"/>
  <c r="I372" i="9"/>
  <c r="H372" i="9"/>
  <c r="C372" i="9"/>
  <c r="L371" i="9"/>
  <c r="K371" i="9"/>
  <c r="J371" i="9"/>
  <c r="I371" i="9"/>
  <c r="H371" i="9"/>
  <c r="C371" i="9"/>
  <c r="L370" i="9"/>
  <c r="K370" i="9"/>
  <c r="J370" i="9"/>
  <c r="I370" i="9"/>
  <c r="H370" i="9"/>
  <c r="C370" i="9"/>
  <c r="L369" i="9"/>
  <c r="K369" i="9"/>
  <c r="J369" i="9"/>
  <c r="I369" i="9"/>
  <c r="H369" i="9"/>
  <c r="C369" i="9"/>
  <c r="L368" i="9"/>
  <c r="K368" i="9"/>
  <c r="J368" i="9"/>
  <c r="I368" i="9"/>
  <c r="H368" i="9"/>
  <c r="C368" i="9"/>
  <c r="L367" i="9"/>
  <c r="K367" i="9"/>
  <c r="J367" i="9"/>
  <c r="I367" i="9"/>
  <c r="H367" i="9"/>
  <c r="C367" i="9"/>
  <c r="L366" i="9"/>
  <c r="K366" i="9"/>
  <c r="J366" i="9"/>
  <c r="I366" i="9"/>
  <c r="H366" i="9"/>
  <c r="C366" i="9"/>
  <c r="L365" i="9"/>
  <c r="K365" i="9"/>
  <c r="J365" i="9"/>
  <c r="I365" i="9"/>
  <c r="H365" i="9"/>
  <c r="C365" i="9"/>
  <c r="L364" i="9"/>
  <c r="K364" i="9"/>
  <c r="J364" i="9"/>
  <c r="I364" i="9"/>
  <c r="H364" i="9"/>
  <c r="C364" i="9"/>
  <c r="L363" i="9"/>
  <c r="K363" i="9"/>
  <c r="J363" i="9"/>
  <c r="I363" i="9"/>
  <c r="H363" i="9"/>
  <c r="C363" i="9"/>
  <c r="L362" i="9"/>
  <c r="K362" i="9"/>
  <c r="J362" i="9"/>
  <c r="I362" i="9"/>
  <c r="H362" i="9"/>
  <c r="C362" i="9"/>
  <c r="L361" i="9"/>
  <c r="K361" i="9"/>
  <c r="J361" i="9"/>
  <c r="I361" i="9"/>
  <c r="H361" i="9"/>
  <c r="C361" i="9"/>
  <c r="L360" i="9"/>
  <c r="K360" i="9"/>
  <c r="J360" i="9"/>
  <c r="I360" i="9"/>
  <c r="H360" i="9"/>
  <c r="C360" i="9"/>
  <c r="L359" i="9"/>
  <c r="K359" i="9"/>
  <c r="J359" i="9"/>
  <c r="I359" i="9"/>
  <c r="H359" i="9"/>
  <c r="C359" i="9"/>
  <c r="L358" i="9"/>
  <c r="K358" i="9"/>
  <c r="J358" i="9"/>
  <c r="I358" i="9"/>
  <c r="H358" i="9"/>
  <c r="C358" i="9"/>
  <c r="L357" i="9"/>
  <c r="K357" i="9"/>
  <c r="J357" i="9"/>
  <c r="I357" i="9"/>
  <c r="H357" i="9"/>
  <c r="C357" i="9"/>
  <c r="L356" i="9"/>
  <c r="K356" i="9"/>
  <c r="J356" i="9"/>
  <c r="I356" i="9"/>
  <c r="H356" i="9"/>
  <c r="C356" i="9"/>
  <c r="L355" i="9"/>
  <c r="K355" i="9"/>
  <c r="J355" i="9"/>
  <c r="I355" i="9"/>
  <c r="H355" i="9"/>
  <c r="C355" i="9"/>
  <c r="L354" i="9"/>
  <c r="K354" i="9"/>
  <c r="J354" i="9"/>
  <c r="I354" i="9"/>
  <c r="H354" i="9"/>
  <c r="C354" i="9"/>
  <c r="L353" i="9"/>
  <c r="K353" i="9"/>
  <c r="J353" i="9"/>
  <c r="I353" i="9"/>
  <c r="H353" i="9"/>
  <c r="C353" i="9"/>
  <c r="L352" i="9"/>
  <c r="K352" i="9"/>
  <c r="J352" i="9"/>
  <c r="I352" i="9"/>
  <c r="H352" i="9"/>
  <c r="C352" i="9"/>
  <c r="L351" i="9"/>
  <c r="K351" i="9"/>
  <c r="J351" i="9"/>
  <c r="I351" i="9"/>
  <c r="H351" i="9"/>
  <c r="C351" i="9"/>
  <c r="L350" i="9"/>
  <c r="K350" i="9"/>
  <c r="J350" i="9"/>
  <c r="I350" i="9"/>
  <c r="H350" i="9"/>
  <c r="C350" i="9"/>
  <c r="L349" i="9"/>
  <c r="K349" i="9"/>
  <c r="J349" i="9"/>
  <c r="I349" i="9"/>
  <c r="H349" i="9"/>
  <c r="C349" i="9"/>
  <c r="L348" i="9"/>
  <c r="K348" i="9"/>
  <c r="J348" i="9"/>
  <c r="I348" i="9"/>
  <c r="H348" i="9"/>
  <c r="C348" i="9"/>
  <c r="L347" i="9"/>
  <c r="K347" i="9"/>
  <c r="J347" i="9"/>
  <c r="I347" i="9"/>
  <c r="H347" i="9"/>
  <c r="C347" i="9"/>
  <c r="L346" i="9"/>
  <c r="K346" i="9"/>
  <c r="J346" i="9"/>
  <c r="I346" i="9"/>
  <c r="H346" i="9"/>
  <c r="C346" i="9"/>
  <c r="L345" i="9"/>
  <c r="K345" i="9"/>
  <c r="J345" i="9"/>
  <c r="I345" i="9"/>
  <c r="H345" i="9"/>
  <c r="C345" i="9"/>
  <c r="L344" i="9"/>
  <c r="K344" i="9"/>
  <c r="J344" i="9"/>
  <c r="I344" i="9"/>
  <c r="H344" i="9"/>
  <c r="C344" i="9"/>
  <c r="L343" i="9"/>
  <c r="K343" i="9"/>
  <c r="J343" i="9"/>
  <c r="I343" i="9"/>
  <c r="H343" i="9"/>
  <c r="C343" i="9"/>
  <c r="L342" i="9"/>
  <c r="K342" i="9"/>
  <c r="J342" i="9"/>
  <c r="I342" i="9"/>
  <c r="H342" i="9"/>
  <c r="C342" i="9"/>
  <c r="L341" i="9"/>
  <c r="K341" i="9"/>
  <c r="J341" i="9"/>
  <c r="I341" i="9"/>
  <c r="H341" i="9"/>
  <c r="C341" i="9"/>
  <c r="L340" i="9"/>
  <c r="K340" i="9"/>
  <c r="J340" i="9"/>
  <c r="I340" i="9"/>
  <c r="H340" i="9"/>
  <c r="C340" i="9"/>
  <c r="L339" i="9"/>
  <c r="K339" i="9"/>
  <c r="J339" i="9"/>
  <c r="I339" i="9"/>
  <c r="H339" i="9"/>
  <c r="C339" i="9"/>
  <c r="L338" i="9"/>
  <c r="K338" i="9"/>
  <c r="J338" i="9"/>
  <c r="I338" i="9"/>
  <c r="H338" i="9"/>
  <c r="C338" i="9"/>
  <c r="L337" i="9"/>
  <c r="K337" i="9"/>
  <c r="J337" i="9"/>
  <c r="I337" i="9"/>
  <c r="H337" i="9"/>
  <c r="C337" i="9"/>
  <c r="L336" i="9"/>
  <c r="K336" i="9"/>
  <c r="J336" i="9"/>
  <c r="I336" i="9"/>
  <c r="H336" i="9"/>
  <c r="C336" i="9"/>
  <c r="L335" i="9"/>
  <c r="K335" i="9"/>
  <c r="J335" i="9"/>
  <c r="I335" i="9"/>
  <c r="H335" i="9"/>
  <c r="C335" i="9"/>
  <c r="L334" i="9"/>
  <c r="K334" i="9"/>
  <c r="J334" i="9"/>
  <c r="I334" i="9"/>
  <c r="H334" i="9"/>
  <c r="C334" i="9"/>
  <c r="L333" i="9"/>
  <c r="K333" i="9"/>
  <c r="J333" i="9"/>
  <c r="I333" i="9"/>
  <c r="H333" i="9"/>
  <c r="C333" i="9"/>
  <c r="L332" i="9"/>
  <c r="K332" i="9"/>
  <c r="J332" i="9"/>
  <c r="I332" i="9"/>
  <c r="H332" i="9"/>
  <c r="C332" i="9"/>
  <c r="L331" i="9"/>
  <c r="K331" i="9"/>
  <c r="J331" i="9"/>
  <c r="I331" i="9"/>
  <c r="H331" i="9"/>
  <c r="C331" i="9"/>
  <c r="L330" i="9"/>
  <c r="K330" i="9"/>
  <c r="J330" i="9"/>
  <c r="I330" i="9"/>
  <c r="H330" i="9"/>
  <c r="C330" i="9"/>
  <c r="L329" i="9"/>
  <c r="K329" i="9"/>
  <c r="J329" i="9"/>
  <c r="I329" i="9"/>
  <c r="H329" i="9"/>
  <c r="C329" i="9"/>
  <c r="L328" i="9"/>
  <c r="K328" i="9"/>
  <c r="J328" i="9"/>
  <c r="I328" i="9"/>
  <c r="H328" i="9"/>
  <c r="C328" i="9"/>
  <c r="L327" i="9"/>
  <c r="K327" i="9"/>
  <c r="J327" i="9"/>
  <c r="I327" i="9"/>
  <c r="H327" i="9"/>
  <c r="C327" i="9"/>
  <c r="L326" i="9"/>
  <c r="K326" i="9"/>
  <c r="J326" i="9"/>
  <c r="I326" i="9"/>
  <c r="H326" i="9"/>
  <c r="C326" i="9"/>
  <c r="L325" i="9"/>
  <c r="K325" i="9"/>
  <c r="J325" i="9"/>
  <c r="I325" i="9"/>
  <c r="H325" i="9"/>
  <c r="C325" i="9"/>
  <c r="L324" i="9"/>
  <c r="K324" i="9"/>
  <c r="J324" i="9"/>
  <c r="I324" i="9"/>
  <c r="H324" i="9"/>
  <c r="C324" i="9"/>
  <c r="L323" i="9"/>
  <c r="K323" i="9"/>
  <c r="J323" i="9"/>
  <c r="I323" i="9"/>
  <c r="H323" i="9"/>
  <c r="C323" i="9"/>
  <c r="L322" i="9"/>
  <c r="K322" i="9"/>
  <c r="J322" i="9"/>
  <c r="I322" i="9"/>
  <c r="H322" i="9"/>
  <c r="C322" i="9"/>
  <c r="L321" i="9"/>
  <c r="K321" i="9"/>
  <c r="J321" i="9"/>
  <c r="I321" i="9"/>
  <c r="H321" i="9"/>
  <c r="C321" i="9"/>
  <c r="L320" i="9"/>
  <c r="K320" i="9"/>
  <c r="J320" i="9"/>
  <c r="I320" i="9"/>
  <c r="H320" i="9"/>
  <c r="C320" i="9"/>
  <c r="L319" i="9"/>
  <c r="K319" i="9"/>
  <c r="J319" i="9"/>
  <c r="I319" i="9"/>
  <c r="H319" i="9"/>
  <c r="C319" i="9"/>
  <c r="L318" i="9"/>
  <c r="K318" i="9"/>
  <c r="J318" i="9"/>
  <c r="I318" i="9"/>
  <c r="H318" i="9"/>
  <c r="C318" i="9"/>
  <c r="L317" i="9"/>
  <c r="K317" i="9"/>
  <c r="J317" i="9"/>
  <c r="I317" i="9"/>
  <c r="H317" i="9"/>
  <c r="C317" i="9"/>
  <c r="L316" i="9"/>
  <c r="K316" i="9"/>
  <c r="J316" i="9"/>
  <c r="I316" i="9"/>
  <c r="H316" i="9"/>
  <c r="C316" i="9"/>
  <c r="L315" i="9"/>
  <c r="K315" i="9"/>
  <c r="J315" i="9"/>
  <c r="I315" i="9"/>
  <c r="H315" i="9"/>
  <c r="C315" i="9"/>
  <c r="L314" i="9"/>
  <c r="K314" i="9"/>
  <c r="J314" i="9"/>
  <c r="I314" i="9"/>
  <c r="H314" i="9"/>
  <c r="C314" i="9"/>
  <c r="L313" i="9"/>
  <c r="K313" i="9"/>
  <c r="J313" i="9"/>
  <c r="I313" i="9"/>
  <c r="H313" i="9"/>
  <c r="C313" i="9"/>
  <c r="L312" i="9"/>
  <c r="K312" i="9"/>
  <c r="J312" i="9"/>
  <c r="I312" i="9"/>
  <c r="H312" i="9"/>
  <c r="C312" i="9"/>
  <c r="L311" i="9"/>
  <c r="K311" i="9"/>
  <c r="J311" i="9"/>
  <c r="I311" i="9"/>
  <c r="H311" i="9"/>
  <c r="C311" i="9"/>
  <c r="L310" i="9"/>
  <c r="K310" i="9"/>
  <c r="J310" i="9"/>
  <c r="I310" i="9"/>
  <c r="H310" i="9"/>
  <c r="C310" i="9"/>
  <c r="L309" i="9"/>
  <c r="K309" i="9"/>
  <c r="J309" i="9"/>
  <c r="I309" i="9"/>
  <c r="H309" i="9"/>
  <c r="C309" i="9"/>
  <c r="L308" i="9"/>
  <c r="K308" i="9"/>
  <c r="J308" i="9"/>
  <c r="I308" i="9"/>
  <c r="H308" i="9"/>
  <c r="C308" i="9"/>
  <c r="L307" i="9"/>
  <c r="K307" i="9"/>
  <c r="J307" i="9"/>
  <c r="I307" i="9"/>
  <c r="H307" i="9"/>
  <c r="C307" i="9"/>
  <c r="L306" i="9"/>
  <c r="K306" i="9"/>
  <c r="J306" i="9"/>
  <c r="I306" i="9"/>
  <c r="H306" i="9"/>
  <c r="C306" i="9"/>
  <c r="L305" i="9"/>
  <c r="K305" i="9"/>
  <c r="J305" i="9"/>
  <c r="I305" i="9"/>
  <c r="H305" i="9"/>
  <c r="C305" i="9"/>
  <c r="L304" i="9"/>
  <c r="K304" i="9"/>
  <c r="J304" i="9"/>
  <c r="I304" i="9"/>
  <c r="H304" i="9"/>
  <c r="C304" i="9"/>
  <c r="L303" i="9"/>
  <c r="K303" i="9"/>
  <c r="J303" i="9"/>
  <c r="I303" i="9"/>
  <c r="H303" i="9"/>
  <c r="C303" i="9"/>
  <c r="L302" i="9"/>
  <c r="K302" i="9"/>
  <c r="J302" i="9"/>
  <c r="I302" i="9"/>
  <c r="H302" i="9"/>
  <c r="C302" i="9"/>
  <c r="L301" i="9"/>
  <c r="K301" i="9"/>
  <c r="J301" i="9"/>
  <c r="I301" i="9"/>
  <c r="H301" i="9"/>
  <c r="C301" i="9"/>
  <c r="L300" i="9"/>
  <c r="K300" i="9"/>
  <c r="J300" i="9"/>
  <c r="I300" i="9"/>
  <c r="H300" i="9"/>
  <c r="C300" i="9"/>
  <c r="L299" i="9"/>
  <c r="K299" i="9"/>
  <c r="J299" i="9"/>
  <c r="I299" i="9"/>
  <c r="H299" i="9"/>
  <c r="C299" i="9"/>
  <c r="L298" i="9"/>
  <c r="K298" i="9"/>
  <c r="J298" i="9"/>
  <c r="I298" i="9"/>
  <c r="H298" i="9"/>
  <c r="C298" i="9"/>
  <c r="L297" i="9"/>
  <c r="K297" i="9"/>
  <c r="J297" i="9"/>
  <c r="I297" i="9"/>
  <c r="H297" i="9"/>
  <c r="C297" i="9"/>
  <c r="L296" i="9"/>
  <c r="K296" i="9"/>
  <c r="J296" i="9"/>
  <c r="I296" i="9"/>
  <c r="H296" i="9"/>
  <c r="C296" i="9"/>
  <c r="L295" i="9"/>
  <c r="K295" i="9"/>
  <c r="J295" i="9"/>
  <c r="I295" i="9"/>
  <c r="H295" i="9"/>
  <c r="C295" i="9"/>
  <c r="L294" i="9"/>
  <c r="K294" i="9"/>
  <c r="J294" i="9"/>
  <c r="I294" i="9"/>
  <c r="H294" i="9"/>
  <c r="C294" i="9"/>
  <c r="L293" i="9"/>
  <c r="K293" i="9"/>
  <c r="J293" i="9"/>
  <c r="I293" i="9"/>
  <c r="H293" i="9"/>
  <c r="C293" i="9"/>
  <c r="L292" i="9"/>
  <c r="K292" i="9"/>
  <c r="J292" i="9"/>
  <c r="I292" i="9"/>
  <c r="H292" i="9"/>
  <c r="C292" i="9"/>
  <c r="L291" i="9"/>
  <c r="K291" i="9"/>
  <c r="J291" i="9"/>
  <c r="I291" i="9"/>
  <c r="H291" i="9"/>
  <c r="C291" i="9"/>
  <c r="L290" i="9"/>
  <c r="K290" i="9"/>
  <c r="J290" i="9"/>
  <c r="I290" i="9"/>
  <c r="H290" i="9"/>
  <c r="C290" i="9"/>
  <c r="L289" i="9"/>
  <c r="K289" i="9"/>
  <c r="J289" i="9"/>
  <c r="I289" i="9"/>
  <c r="H289" i="9"/>
  <c r="C289" i="9"/>
  <c r="L288" i="9"/>
  <c r="K288" i="9"/>
  <c r="J288" i="9"/>
  <c r="I288" i="9"/>
  <c r="H288" i="9"/>
  <c r="C288" i="9"/>
  <c r="L287" i="9"/>
  <c r="K287" i="9"/>
  <c r="J287" i="9"/>
  <c r="I287" i="9"/>
  <c r="H287" i="9"/>
  <c r="C287" i="9"/>
  <c r="L286" i="9"/>
  <c r="K286" i="9"/>
  <c r="J286" i="9"/>
  <c r="I286" i="9"/>
  <c r="H286" i="9"/>
  <c r="C286" i="9"/>
  <c r="L285" i="9"/>
  <c r="K285" i="9"/>
  <c r="J285" i="9"/>
  <c r="I285" i="9"/>
  <c r="H285" i="9"/>
  <c r="C285" i="9"/>
  <c r="L284" i="9"/>
  <c r="K284" i="9"/>
  <c r="J284" i="9"/>
  <c r="I284" i="9"/>
  <c r="H284" i="9"/>
  <c r="C284" i="9"/>
  <c r="L283" i="9"/>
  <c r="K283" i="9"/>
  <c r="J283" i="9"/>
  <c r="I283" i="9"/>
  <c r="H283" i="9"/>
  <c r="C283" i="9"/>
  <c r="L282" i="9"/>
  <c r="K282" i="9"/>
  <c r="J282" i="9"/>
  <c r="I282" i="9"/>
  <c r="H282" i="9"/>
  <c r="C282" i="9"/>
  <c r="L281" i="9"/>
  <c r="K281" i="9"/>
  <c r="J281" i="9"/>
  <c r="I281" i="9"/>
  <c r="H281" i="9"/>
  <c r="C281" i="9"/>
  <c r="L280" i="9"/>
  <c r="K280" i="9"/>
  <c r="J280" i="9"/>
  <c r="I280" i="9"/>
  <c r="H280" i="9"/>
  <c r="C280" i="9"/>
  <c r="L279" i="9"/>
  <c r="K279" i="9"/>
  <c r="J279" i="9"/>
  <c r="I279" i="9"/>
  <c r="H279" i="9"/>
  <c r="C279" i="9"/>
  <c r="L278" i="9"/>
  <c r="K278" i="9"/>
  <c r="J278" i="9"/>
  <c r="I278" i="9"/>
  <c r="H278" i="9"/>
  <c r="C278" i="9"/>
  <c r="L277" i="9"/>
  <c r="K277" i="9"/>
  <c r="J277" i="9"/>
  <c r="I277" i="9"/>
  <c r="H277" i="9"/>
  <c r="C277" i="9"/>
  <c r="L276" i="9"/>
  <c r="K276" i="9"/>
  <c r="J276" i="9"/>
  <c r="I276" i="9"/>
  <c r="H276" i="9"/>
  <c r="C276" i="9"/>
  <c r="L275" i="9"/>
  <c r="K275" i="9"/>
  <c r="J275" i="9"/>
  <c r="I275" i="9"/>
  <c r="H275" i="9"/>
  <c r="C275" i="9"/>
  <c r="L274" i="9"/>
  <c r="K274" i="9"/>
  <c r="J274" i="9"/>
  <c r="I274" i="9"/>
  <c r="H274" i="9"/>
  <c r="C274" i="9"/>
  <c r="L273" i="9"/>
  <c r="K273" i="9"/>
  <c r="J273" i="9"/>
  <c r="I273" i="9"/>
  <c r="H273" i="9"/>
  <c r="C273" i="9"/>
  <c r="L272" i="9"/>
  <c r="K272" i="9"/>
  <c r="J272" i="9"/>
  <c r="I272" i="9"/>
  <c r="H272" i="9"/>
  <c r="C272" i="9"/>
  <c r="L271" i="9"/>
  <c r="K271" i="9"/>
  <c r="J271" i="9"/>
  <c r="I271" i="9"/>
  <c r="H271" i="9"/>
  <c r="C271" i="9"/>
  <c r="L270" i="9"/>
  <c r="K270" i="9"/>
  <c r="J270" i="9"/>
  <c r="I270" i="9"/>
  <c r="H270" i="9"/>
  <c r="C270" i="9"/>
  <c r="L269" i="9"/>
  <c r="K269" i="9"/>
  <c r="J269" i="9"/>
  <c r="I269" i="9"/>
  <c r="H269" i="9"/>
  <c r="C269" i="9"/>
  <c r="L268" i="9"/>
  <c r="K268" i="9"/>
  <c r="J268" i="9"/>
  <c r="I268" i="9"/>
  <c r="H268" i="9"/>
  <c r="C268" i="9"/>
  <c r="L267" i="9"/>
  <c r="K267" i="9"/>
  <c r="J267" i="9"/>
  <c r="I267" i="9"/>
  <c r="H267" i="9"/>
  <c r="C267" i="9"/>
  <c r="L266" i="9"/>
  <c r="K266" i="9"/>
  <c r="J266" i="9"/>
  <c r="I266" i="9"/>
  <c r="H266" i="9"/>
  <c r="C266" i="9"/>
  <c r="L265" i="9"/>
  <c r="K265" i="9"/>
  <c r="J265" i="9"/>
  <c r="I265" i="9"/>
  <c r="H265" i="9"/>
  <c r="C265" i="9"/>
  <c r="L264" i="9"/>
  <c r="K264" i="9"/>
  <c r="J264" i="9"/>
  <c r="I264" i="9"/>
  <c r="H264" i="9"/>
  <c r="C264" i="9"/>
  <c r="L263" i="9"/>
  <c r="K263" i="9"/>
  <c r="J263" i="9"/>
  <c r="I263" i="9"/>
  <c r="H263" i="9"/>
  <c r="C263" i="9"/>
  <c r="L262" i="9"/>
  <c r="K262" i="9"/>
  <c r="J262" i="9"/>
  <c r="I262" i="9"/>
  <c r="H262" i="9"/>
  <c r="C262" i="9"/>
  <c r="L261" i="9"/>
  <c r="K261" i="9"/>
  <c r="J261" i="9"/>
  <c r="I261" i="9"/>
  <c r="H261" i="9"/>
  <c r="C261" i="9"/>
  <c r="L260" i="9"/>
  <c r="K260" i="9"/>
  <c r="J260" i="9"/>
  <c r="I260" i="9"/>
  <c r="H260" i="9"/>
  <c r="C260" i="9"/>
  <c r="L259" i="9"/>
  <c r="K259" i="9"/>
  <c r="J259" i="9"/>
  <c r="I259" i="9"/>
  <c r="H259" i="9"/>
  <c r="C259" i="9"/>
  <c r="L258" i="9"/>
  <c r="K258" i="9"/>
  <c r="J258" i="9"/>
  <c r="I258" i="9"/>
  <c r="H258" i="9"/>
  <c r="C258" i="9"/>
  <c r="L257" i="9"/>
  <c r="K257" i="9"/>
  <c r="J257" i="9"/>
  <c r="I257" i="9"/>
  <c r="H257" i="9"/>
  <c r="C257" i="9"/>
  <c r="L256" i="9"/>
  <c r="K256" i="9"/>
  <c r="J256" i="9"/>
  <c r="I256" i="9"/>
  <c r="H256" i="9"/>
  <c r="C256" i="9"/>
  <c r="L255" i="9"/>
  <c r="K255" i="9"/>
  <c r="J255" i="9"/>
  <c r="I255" i="9"/>
  <c r="H255" i="9"/>
  <c r="C255" i="9"/>
  <c r="L254" i="9"/>
  <c r="K254" i="9"/>
  <c r="J254" i="9"/>
  <c r="I254" i="9"/>
  <c r="H254" i="9"/>
  <c r="C254" i="9"/>
  <c r="L253" i="9"/>
  <c r="K253" i="9"/>
  <c r="J253" i="9"/>
  <c r="I253" i="9"/>
  <c r="H253" i="9"/>
  <c r="C253" i="9"/>
  <c r="L252" i="9"/>
  <c r="K252" i="9"/>
  <c r="J252" i="9"/>
  <c r="I252" i="9"/>
  <c r="H252" i="9"/>
  <c r="C252" i="9"/>
  <c r="L251" i="9"/>
  <c r="K251" i="9"/>
  <c r="J251" i="9"/>
  <c r="I251" i="9"/>
  <c r="H251" i="9"/>
  <c r="C251" i="9"/>
  <c r="L250" i="9"/>
  <c r="K250" i="9"/>
  <c r="J250" i="9"/>
  <c r="I250" i="9"/>
  <c r="H250" i="9"/>
  <c r="C250" i="9"/>
  <c r="L249" i="9"/>
  <c r="K249" i="9"/>
  <c r="J249" i="9"/>
  <c r="I249" i="9"/>
  <c r="H249" i="9"/>
  <c r="C249" i="9"/>
  <c r="L248" i="9"/>
  <c r="K248" i="9"/>
  <c r="J248" i="9"/>
  <c r="I248" i="9"/>
  <c r="H248" i="9"/>
  <c r="C248" i="9"/>
  <c r="L247" i="9"/>
  <c r="K247" i="9"/>
  <c r="J247" i="9"/>
  <c r="I247" i="9"/>
  <c r="H247" i="9"/>
  <c r="C247" i="9"/>
  <c r="L246" i="9"/>
  <c r="K246" i="9"/>
  <c r="J246" i="9"/>
  <c r="I246" i="9"/>
  <c r="H246" i="9"/>
  <c r="C246" i="9"/>
  <c r="L245" i="9"/>
  <c r="K245" i="9"/>
  <c r="J245" i="9"/>
  <c r="I245" i="9"/>
  <c r="H245" i="9"/>
  <c r="C245" i="9"/>
  <c r="L244" i="9"/>
  <c r="K244" i="9"/>
  <c r="J244" i="9"/>
  <c r="I244" i="9"/>
  <c r="H244" i="9"/>
  <c r="C244" i="9"/>
  <c r="L243" i="9"/>
  <c r="K243" i="9"/>
  <c r="J243" i="9"/>
  <c r="I243" i="9"/>
  <c r="H243" i="9"/>
  <c r="C243" i="9"/>
  <c r="L242" i="9"/>
  <c r="K242" i="9"/>
  <c r="J242" i="9"/>
  <c r="I242" i="9"/>
  <c r="H242" i="9"/>
  <c r="C242" i="9"/>
  <c r="L241" i="9"/>
  <c r="K241" i="9"/>
  <c r="J241" i="9"/>
  <c r="I241" i="9"/>
  <c r="H241" i="9"/>
  <c r="C241" i="9"/>
  <c r="L240" i="9"/>
  <c r="K240" i="9"/>
  <c r="J240" i="9"/>
  <c r="I240" i="9"/>
  <c r="H240" i="9"/>
  <c r="C240" i="9"/>
  <c r="L239" i="9"/>
  <c r="K239" i="9"/>
  <c r="J239" i="9"/>
  <c r="I239" i="9"/>
  <c r="H239" i="9"/>
  <c r="C239" i="9"/>
  <c r="L238" i="9"/>
  <c r="K238" i="9"/>
  <c r="J238" i="9"/>
  <c r="I238" i="9"/>
  <c r="H238" i="9"/>
  <c r="C238" i="9"/>
  <c r="L237" i="9"/>
  <c r="K237" i="9"/>
  <c r="J237" i="9"/>
  <c r="I237" i="9"/>
  <c r="H237" i="9"/>
  <c r="C237" i="9"/>
  <c r="L236" i="9"/>
  <c r="K236" i="9"/>
  <c r="J236" i="9"/>
  <c r="I236" i="9"/>
  <c r="H236" i="9"/>
  <c r="C236" i="9"/>
  <c r="L235" i="9"/>
  <c r="K235" i="9"/>
  <c r="J235" i="9"/>
  <c r="I235" i="9"/>
  <c r="H235" i="9"/>
  <c r="C235" i="9"/>
  <c r="L234" i="9"/>
  <c r="K234" i="9"/>
  <c r="J234" i="9"/>
  <c r="I234" i="9"/>
  <c r="H234" i="9"/>
  <c r="C234" i="9"/>
  <c r="L233" i="9"/>
  <c r="K233" i="9"/>
  <c r="J233" i="9"/>
  <c r="I233" i="9"/>
  <c r="H233" i="9"/>
  <c r="C233" i="9"/>
  <c r="L232" i="9"/>
  <c r="K232" i="9"/>
  <c r="J232" i="9"/>
  <c r="I232" i="9"/>
  <c r="H232" i="9"/>
  <c r="C232" i="9"/>
  <c r="L231" i="9"/>
  <c r="K231" i="9"/>
  <c r="J231" i="9"/>
  <c r="I231" i="9"/>
  <c r="H231" i="9"/>
  <c r="C231" i="9"/>
  <c r="L230" i="9"/>
  <c r="K230" i="9"/>
  <c r="J230" i="9"/>
  <c r="I230" i="9"/>
  <c r="H230" i="9"/>
  <c r="C230" i="9"/>
  <c r="L229" i="9"/>
  <c r="K229" i="9"/>
  <c r="J229" i="9"/>
  <c r="I229" i="9"/>
  <c r="H229" i="9"/>
  <c r="C229" i="9"/>
  <c r="L228" i="9"/>
  <c r="K228" i="9"/>
  <c r="J228" i="9"/>
  <c r="I228" i="9"/>
  <c r="H228" i="9"/>
  <c r="C228" i="9"/>
  <c r="L227" i="9"/>
  <c r="K227" i="9"/>
  <c r="J227" i="9"/>
  <c r="I227" i="9"/>
  <c r="H227" i="9"/>
  <c r="C227" i="9"/>
  <c r="L226" i="9"/>
  <c r="K226" i="9"/>
  <c r="J226" i="9"/>
  <c r="I226" i="9"/>
  <c r="H226" i="9"/>
  <c r="C226" i="9"/>
  <c r="L225" i="9"/>
  <c r="K225" i="9"/>
  <c r="J225" i="9"/>
  <c r="I225" i="9"/>
  <c r="H225" i="9"/>
  <c r="C225" i="9"/>
  <c r="L224" i="9"/>
  <c r="K224" i="9"/>
  <c r="J224" i="9"/>
  <c r="I224" i="9"/>
  <c r="H224" i="9"/>
  <c r="C224" i="9"/>
  <c r="L223" i="9"/>
  <c r="K223" i="9"/>
  <c r="J223" i="9"/>
  <c r="I223" i="9"/>
  <c r="H223" i="9"/>
  <c r="C223" i="9"/>
  <c r="L222" i="9"/>
  <c r="K222" i="9"/>
  <c r="J222" i="9"/>
  <c r="I222" i="9"/>
  <c r="H222" i="9"/>
  <c r="C222" i="9"/>
  <c r="L221" i="9"/>
  <c r="K221" i="9"/>
  <c r="J221" i="9"/>
  <c r="I221" i="9"/>
  <c r="H221" i="9"/>
  <c r="C221" i="9"/>
  <c r="L220" i="9"/>
  <c r="K220" i="9"/>
  <c r="J220" i="9"/>
  <c r="I220" i="9"/>
  <c r="H220" i="9"/>
  <c r="C220" i="9"/>
  <c r="L219" i="9"/>
  <c r="K219" i="9"/>
  <c r="J219" i="9"/>
  <c r="I219" i="9"/>
  <c r="H219" i="9"/>
  <c r="C219" i="9"/>
  <c r="L218" i="9"/>
  <c r="K218" i="9"/>
  <c r="J218" i="9"/>
  <c r="I218" i="9"/>
  <c r="H218" i="9"/>
  <c r="C218" i="9"/>
  <c r="L217" i="9"/>
  <c r="K217" i="9"/>
  <c r="J217" i="9"/>
  <c r="I217" i="9"/>
  <c r="H217" i="9"/>
  <c r="C217" i="9"/>
  <c r="L216" i="9"/>
  <c r="K216" i="9"/>
  <c r="J216" i="9"/>
  <c r="I216" i="9"/>
  <c r="H216" i="9"/>
  <c r="C216" i="9"/>
  <c r="L215" i="9"/>
  <c r="K215" i="9"/>
  <c r="J215" i="9"/>
  <c r="I215" i="9"/>
  <c r="H215" i="9"/>
  <c r="C215" i="9"/>
  <c r="L214" i="9"/>
  <c r="K214" i="9"/>
  <c r="J214" i="9"/>
  <c r="I214" i="9"/>
  <c r="H214" i="9"/>
  <c r="C214" i="9"/>
  <c r="L213" i="9"/>
  <c r="K213" i="9"/>
  <c r="J213" i="9"/>
  <c r="I213" i="9"/>
  <c r="H213" i="9"/>
  <c r="C213" i="9"/>
  <c r="L212" i="9"/>
  <c r="K212" i="9"/>
  <c r="J212" i="9"/>
  <c r="I212" i="9"/>
  <c r="H212" i="9"/>
  <c r="C212" i="9"/>
  <c r="L211" i="9"/>
  <c r="K211" i="9"/>
  <c r="J211" i="9"/>
  <c r="I211" i="9"/>
  <c r="H211" i="9"/>
  <c r="C211" i="9"/>
  <c r="L210" i="9"/>
  <c r="K210" i="9"/>
  <c r="J210" i="9"/>
  <c r="I210" i="9"/>
  <c r="H210" i="9"/>
  <c r="C210" i="9"/>
  <c r="L209" i="9"/>
  <c r="K209" i="9"/>
  <c r="J209" i="9"/>
  <c r="I209" i="9"/>
  <c r="H209" i="9"/>
  <c r="C209" i="9"/>
  <c r="L208" i="9"/>
  <c r="K208" i="9"/>
  <c r="J208" i="9"/>
  <c r="I208" i="9"/>
  <c r="H208" i="9"/>
  <c r="C208" i="9"/>
  <c r="L207" i="9"/>
  <c r="K207" i="9"/>
  <c r="J207" i="9"/>
  <c r="I207" i="9"/>
  <c r="H207" i="9"/>
  <c r="C207" i="9"/>
  <c r="L206" i="9"/>
  <c r="K206" i="9"/>
  <c r="J206" i="9"/>
  <c r="I206" i="9"/>
  <c r="H206" i="9"/>
  <c r="C206" i="9"/>
  <c r="L205" i="9"/>
  <c r="K205" i="9"/>
  <c r="J205" i="9"/>
  <c r="I205" i="9"/>
  <c r="H205" i="9"/>
  <c r="C205" i="9"/>
  <c r="L204" i="9"/>
  <c r="K204" i="9"/>
  <c r="J204" i="9"/>
  <c r="I204" i="9"/>
  <c r="H204" i="9"/>
  <c r="C204" i="9"/>
  <c r="L203" i="9"/>
  <c r="K203" i="9"/>
  <c r="J203" i="9"/>
  <c r="I203" i="9"/>
  <c r="H203" i="9"/>
  <c r="C203" i="9"/>
  <c r="L202" i="9"/>
  <c r="K202" i="9"/>
  <c r="J202" i="9"/>
  <c r="I202" i="9"/>
  <c r="H202" i="9"/>
  <c r="C202" i="9"/>
  <c r="L201" i="9"/>
  <c r="K201" i="9"/>
  <c r="J201" i="9"/>
  <c r="I201" i="9"/>
  <c r="H201" i="9"/>
  <c r="C201" i="9"/>
  <c r="L200" i="9"/>
  <c r="K200" i="9"/>
  <c r="J200" i="9"/>
  <c r="I200" i="9"/>
  <c r="H200" i="9"/>
  <c r="C200" i="9"/>
  <c r="L199" i="9"/>
  <c r="K199" i="9"/>
  <c r="J199" i="9"/>
  <c r="I199" i="9"/>
  <c r="H199" i="9"/>
  <c r="C199" i="9"/>
  <c r="L198" i="9"/>
  <c r="K198" i="9"/>
  <c r="J198" i="9"/>
  <c r="I198" i="9"/>
  <c r="H198" i="9"/>
  <c r="C198" i="9"/>
  <c r="L197" i="9"/>
  <c r="K197" i="9"/>
  <c r="J197" i="9"/>
  <c r="I197" i="9"/>
  <c r="H197" i="9"/>
  <c r="C197" i="9"/>
  <c r="L196" i="9"/>
  <c r="K196" i="9"/>
  <c r="J196" i="9"/>
  <c r="I196" i="9"/>
  <c r="H196" i="9"/>
  <c r="C196" i="9"/>
  <c r="L195" i="9"/>
  <c r="K195" i="9"/>
  <c r="J195" i="9"/>
  <c r="I195" i="9"/>
  <c r="H195" i="9"/>
  <c r="C195" i="9"/>
  <c r="L194" i="9"/>
  <c r="K194" i="9"/>
  <c r="J194" i="9"/>
  <c r="I194" i="9"/>
  <c r="H194" i="9"/>
  <c r="C194" i="9"/>
  <c r="L193" i="9"/>
  <c r="K193" i="9"/>
  <c r="J193" i="9"/>
  <c r="I193" i="9"/>
  <c r="H193" i="9"/>
  <c r="C193" i="9"/>
  <c r="L192" i="9"/>
  <c r="K192" i="9"/>
  <c r="J192" i="9"/>
  <c r="I192" i="9"/>
  <c r="H192" i="9"/>
  <c r="C192" i="9"/>
  <c r="L191" i="9"/>
  <c r="K191" i="9"/>
  <c r="J191" i="9"/>
  <c r="I191" i="9"/>
  <c r="H191" i="9"/>
  <c r="C191" i="9"/>
  <c r="L190" i="9"/>
  <c r="K190" i="9"/>
  <c r="J190" i="9"/>
  <c r="I190" i="9"/>
  <c r="H190" i="9"/>
  <c r="C190" i="9"/>
  <c r="L189" i="9"/>
  <c r="K189" i="9"/>
  <c r="J189" i="9"/>
  <c r="I189" i="9"/>
  <c r="H189" i="9"/>
  <c r="C189" i="9"/>
  <c r="L188" i="9"/>
  <c r="K188" i="9"/>
  <c r="J188" i="9"/>
  <c r="I188" i="9"/>
  <c r="H188" i="9"/>
  <c r="C188" i="9"/>
  <c r="L187" i="9"/>
  <c r="K187" i="9"/>
  <c r="J187" i="9"/>
  <c r="I187" i="9"/>
  <c r="H187" i="9"/>
  <c r="C187" i="9"/>
  <c r="L186" i="9"/>
  <c r="K186" i="9"/>
  <c r="J186" i="9"/>
  <c r="I186" i="9"/>
  <c r="H186" i="9"/>
  <c r="C186" i="9"/>
  <c r="L185" i="9"/>
  <c r="K185" i="9"/>
  <c r="J185" i="9"/>
  <c r="I185" i="9"/>
  <c r="H185" i="9"/>
  <c r="C185" i="9"/>
  <c r="L184" i="9"/>
  <c r="K184" i="9"/>
  <c r="J184" i="9"/>
  <c r="I184" i="9"/>
  <c r="H184" i="9"/>
  <c r="C184" i="9"/>
  <c r="L183" i="9"/>
  <c r="K183" i="9"/>
  <c r="J183" i="9"/>
  <c r="I183" i="9"/>
  <c r="H183" i="9"/>
  <c r="C183" i="9"/>
  <c r="L182" i="9"/>
  <c r="K182" i="9"/>
  <c r="J182" i="9"/>
  <c r="I182" i="9"/>
  <c r="H182" i="9"/>
  <c r="C182" i="9"/>
  <c r="L181" i="9"/>
  <c r="K181" i="9"/>
  <c r="J181" i="9"/>
  <c r="I181" i="9"/>
  <c r="H181" i="9"/>
  <c r="C181" i="9"/>
  <c r="L180" i="9"/>
  <c r="K180" i="9"/>
  <c r="J180" i="9"/>
  <c r="I180" i="9"/>
  <c r="H180" i="9"/>
  <c r="C180" i="9"/>
  <c r="L179" i="9"/>
  <c r="K179" i="9"/>
  <c r="J179" i="9"/>
  <c r="I179" i="9"/>
  <c r="H179" i="9"/>
  <c r="C179" i="9"/>
  <c r="L178" i="9"/>
  <c r="K178" i="9"/>
  <c r="J178" i="9"/>
  <c r="I178" i="9"/>
  <c r="H178" i="9"/>
  <c r="C178" i="9"/>
  <c r="L177" i="9"/>
  <c r="K177" i="9"/>
  <c r="J177" i="9"/>
  <c r="I177" i="9"/>
  <c r="H177" i="9"/>
  <c r="C177" i="9"/>
  <c r="L176" i="9"/>
  <c r="K176" i="9"/>
  <c r="J176" i="9"/>
  <c r="I176" i="9"/>
  <c r="H176" i="9"/>
  <c r="C176" i="9"/>
  <c r="L175" i="9"/>
  <c r="K175" i="9"/>
  <c r="J175" i="9"/>
  <c r="I175" i="9"/>
  <c r="H175" i="9"/>
  <c r="C175" i="9"/>
  <c r="L174" i="9"/>
  <c r="K174" i="9"/>
  <c r="J174" i="9"/>
  <c r="I174" i="9"/>
  <c r="H174" i="9"/>
  <c r="C174" i="9"/>
  <c r="L173" i="9"/>
  <c r="K173" i="9"/>
  <c r="J173" i="9"/>
  <c r="I173" i="9"/>
  <c r="H173" i="9"/>
  <c r="C173" i="9"/>
  <c r="L172" i="9"/>
  <c r="K172" i="9"/>
  <c r="J172" i="9"/>
  <c r="I172" i="9"/>
  <c r="H172" i="9"/>
  <c r="C172" i="9"/>
  <c r="L171" i="9"/>
  <c r="K171" i="9"/>
  <c r="J171" i="9"/>
  <c r="I171" i="9"/>
  <c r="H171" i="9"/>
  <c r="C171" i="9"/>
  <c r="L170" i="9"/>
  <c r="K170" i="9"/>
  <c r="J170" i="9"/>
  <c r="I170" i="9"/>
  <c r="H170" i="9"/>
  <c r="C170" i="9"/>
  <c r="L169" i="9"/>
  <c r="K169" i="9"/>
  <c r="J169" i="9"/>
  <c r="I169" i="9"/>
  <c r="H169" i="9"/>
  <c r="C169" i="9"/>
  <c r="L168" i="9"/>
  <c r="K168" i="9"/>
  <c r="J168" i="9"/>
  <c r="I168" i="9"/>
  <c r="H168" i="9"/>
  <c r="C168" i="9"/>
  <c r="L167" i="9"/>
  <c r="K167" i="9"/>
  <c r="J167" i="9"/>
  <c r="I167" i="9"/>
  <c r="H167" i="9"/>
  <c r="C167" i="9"/>
  <c r="L166" i="9"/>
  <c r="K166" i="9"/>
  <c r="J166" i="9"/>
  <c r="I166" i="9"/>
  <c r="H166" i="9"/>
  <c r="C166" i="9"/>
  <c r="L165" i="9"/>
  <c r="K165" i="9"/>
  <c r="J165" i="9"/>
  <c r="I165" i="9"/>
  <c r="H165" i="9"/>
  <c r="C165" i="9"/>
  <c r="L164" i="9"/>
  <c r="K164" i="9"/>
  <c r="J164" i="9"/>
  <c r="I164" i="9"/>
  <c r="H164" i="9"/>
  <c r="C164" i="9"/>
  <c r="L163" i="9"/>
  <c r="K163" i="9"/>
  <c r="J163" i="9"/>
  <c r="I163" i="9"/>
  <c r="H163" i="9"/>
  <c r="C163" i="9"/>
  <c r="L162" i="9"/>
  <c r="K162" i="9"/>
  <c r="J162" i="9"/>
  <c r="I162" i="9"/>
  <c r="H162" i="9"/>
  <c r="C162" i="9"/>
  <c r="L161" i="9"/>
  <c r="K161" i="9"/>
  <c r="J161" i="9"/>
  <c r="I161" i="9"/>
  <c r="H161" i="9"/>
  <c r="C161" i="9"/>
  <c r="L160" i="9"/>
  <c r="K160" i="9"/>
  <c r="J160" i="9"/>
  <c r="I160" i="9"/>
  <c r="H160" i="9"/>
  <c r="C160" i="9"/>
  <c r="L159" i="9"/>
  <c r="K159" i="9"/>
  <c r="J159" i="9"/>
  <c r="I159" i="9"/>
  <c r="H159" i="9"/>
  <c r="C159" i="9"/>
  <c r="L158" i="9"/>
  <c r="K158" i="9"/>
  <c r="J158" i="9"/>
  <c r="I158" i="9"/>
  <c r="H158" i="9"/>
  <c r="C158" i="9"/>
  <c r="L157" i="9"/>
  <c r="K157" i="9"/>
  <c r="J157" i="9"/>
  <c r="I157" i="9"/>
  <c r="H157" i="9"/>
  <c r="C157" i="9"/>
  <c r="L156" i="9"/>
  <c r="K156" i="9"/>
  <c r="J156" i="9"/>
  <c r="I156" i="9"/>
  <c r="H156" i="9"/>
  <c r="C156" i="9"/>
  <c r="L155" i="9"/>
  <c r="K155" i="9"/>
  <c r="J155" i="9"/>
  <c r="I155" i="9"/>
  <c r="H155" i="9"/>
  <c r="C155" i="9"/>
  <c r="L154" i="9"/>
  <c r="K154" i="9"/>
  <c r="J154" i="9"/>
  <c r="I154" i="9"/>
  <c r="H154" i="9"/>
  <c r="C154" i="9"/>
  <c r="L153" i="9"/>
  <c r="K153" i="9"/>
  <c r="J153" i="9"/>
  <c r="I153" i="9"/>
  <c r="H153" i="9"/>
  <c r="C153" i="9"/>
  <c r="L152" i="9"/>
  <c r="K152" i="9"/>
  <c r="J152" i="9"/>
  <c r="I152" i="9"/>
  <c r="H152" i="9"/>
  <c r="C152" i="9"/>
  <c r="L151" i="9"/>
  <c r="K151" i="9"/>
  <c r="J151" i="9"/>
  <c r="I151" i="9"/>
  <c r="H151" i="9"/>
  <c r="C151" i="9"/>
  <c r="L150" i="9"/>
  <c r="K150" i="9"/>
  <c r="J150" i="9"/>
  <c r="I150" i="9"/>
  <c r="H150" i="9"/>
  <c r="C150" i="9"/>
  <c r="L149" i="9"/>
  <c r="K149" i="9"/>
  <c r="J149" i="9"/>
  <c r="I149" i="9"/>
  <c r="H149" i="9"/>
  <c r="C149" i="9"/>
  <c r="L148" i="9"/>
  <c r="K148" i="9"/>
  <c r="J148" i="9"/>
  <c r="I148" i="9"/>
  <c r="H148" i="9"/>
  <c r="C148" i="9"/>
  <c r="L147" i="9"/>
  <c r="K147" i="9"/>
  <c r="J147" i="9"/>
  <c r="I147" i="9"/>
  <c r="H147" i="9"/>
  <c r="C147" i="9"/>
  <c r="L146" i="9"/>
  <c r="K146" i="9"/>
  <c r="J146" i="9"/>
  <c r="I146" i="9"/>
  <c r="H146" i="9"/>
  <c r="C146" i="9"/>
  <c r="L145" i="9"/>
  <c r="K145" i="9"/>
  <c r="J145" i="9"/>
  <c r="I145" i="9"/>
  <c r="H145" i="9"/>
  <c r="C145" i="9"/>
  <c r="L144" i="9"/>
  <c r="K144" i="9"/>
  <c r="J144" i="9"/>
  <c r="I144" i="9"/>
  <c r="H144" i="9"/>
  <c r="C144" i="9"/>
  <c r="L143" i="9"/>
  <c r="K143" i="9"/>
  <c r="J143" i="9"/>
  <c r="I143" i="9"/>
  <c r="H143" i="9"/>
  <c r="C143" i="9"/>
  <c r="L142" i="9"/>
  <c r="K142" i="9"/>
  <c r="J142" i="9"/>
  <c r="I142" i="9"/>
  <c r="H142" i="9"/>
  <c r="C142" i="9"/>
  <c r="L141" i="9"/>
  <c r="K141" i="9"/>
  <c r="J141" i="9"/>
  <c r="I141" i="9"/>
  <c r="H141" i="9"/>
  <c r="C141" i="9"/>
  <c r="L140" i="9"/>
  <c r="K140" i="9"/>
  <c r="J140" i="9"/>
  <c r="I140" i="9"/>
  <c r="H140" i="9"/>
  <c r="C140" i="9"/>
  <c r="L139" i="9"/>
  <c r="K139" i="9"/>
  <c r="J139" i="9"/>
  <c r="I139" i="9"/>
  <c r="H139" i="9"/>
  <c r="C139" i="9"/>
  <c r="L138" i="9"/>
  <c r="K138" i="9"/>
  <c r="J138" i="9"/>
  <c r="I138" i="9"/>
  <c r="H138" i="9"/>
  <c r="C138" i="9"/>
  <c r="L137" i="9"/>
  <c r="K137" i="9"/>
  <c r="J137" i="9"/>
  <c r="I137" i="9"/>
  <c r="H137" i="9"/>
  <c r="C137" i="9"/>
  <c r="L136" i="9"/>
  <c r="K136" i="9"/>
  <c r="J136" i="9"/>
  <c r="I136" i="9"/>
  <c r="H136" i="9"/>
  <c r="C136" i="9"/>
  <c r="L135" i="9"/>
  <c r="K135" i="9"/>
  <c r="J135" i="9"/>
  <c r="I135" i="9"/>
  <c r="H135" i="9"/>
  <c r="C135" i="9"/>
  <c r="L134" i="9"/>
  <c r="K134" i="9"/>
  <c r="J134" i="9"/>
  <c r="I134" i="9"/>
  <c r="H134" i="9"/>
  <c r="C134" i="9"/>
  <c r="L133" i="9"/>
  <c r="K133" i="9"/>
  <c r="J133" i="9"/>
  <c r="I133" i="9"/>
  <c r="H133" i="9"/>
  <c r="C133" i="9"/>
  <c r="L132" i="9"/>
  <c r="K132" i="9"/>
  <c r="J132" i="9"/>
  <c r="I132" i="9"/>
  <c r="H132" i="9"/>
  <c r="C132" i="9"/>
  <c r="L131" i="9"/>
  <c r="K131" i="9"/>
  <c r="J131" i="9"/>
  <c r="I131" i="9"/>
  <c r="H131" i="9"/>
  <c r="C131" i="9"/>
  <c r="L130" i="9"/>
  <c r="K130" i="9"/>
  <c r="J130" i="9"/>
  <c r="I130" i="9"/>
  <c r="H130" i="9"/>
  <c r="C130" i="9"/>
  <c r="L129" i="9"/>
  <c r="K129" i="9"/>
  <c r="J129" i="9"/>
  <c r="I129" i="9"/>
  <c r="H129" i="9"/>
  <c r="C129" i="9"/>
  <c r="L128" i="9"/>
  <c r="K128" i="9"/>
  <c r="J128" i="9"/>
  <c r="I128" i="9"/>
  <c r="H128" i="9"/>
  <c r="C128" i="9"/>
  <c r="L127" i="9"/>
  <c r="K127" i="9"/>
  <c r="J127" i="9"/>
  <c r="I127" i="9"/>
  <c r="H127" i="9"/>
  <c r="C127" i="9"/>
  <c r="L126" i="9"/>
  <c r="K126" i="9"/>
  <c r="J126" i="9"/>
  <c r="I126" i="9"/>
  <c r="H126" i="9"/>
  <c r="C126" i="9"/>
  <c r="L125" i="9"/>
  <c r="K125" i="9"/>
  <c r="J125" i="9"/>
  <c r="I125" i="9"/>
  <c r="H125" i="9"/>
  <c r="C125" i="9"/>
  <c r="L124" i="9"/>
  <c r="K124" i="9"/>
  <c r="J124" i="9"/>
  <c r="I124" i="9"/>
  <c r="H124" i="9"/>
  <c r="C124" i="9"/>
  <c r="L123" i="9"/>
  <c r="K123" i="9"/>
  <c r="J123" i="9"/>
  <c r="I123" i="9"/>
  <c r="H123" i="9"/>
  <c r="C123" i="9"/>
  <c r="L122" i="9"/>
  <c r="K122" i="9"/>
  <c r="J122" i="9"/>
  <c r="I122" i="9"/>
  <c r="H122" i="9"/>
  <c r="C122" i="9"/>
  <c r="L121" i="9"/>
  <c r="K121" i="9"/>
  <c r="J121" i="9"/>
  <c r="I121" i="9"/>
  <c r="H121" i="9"/>
  <c r="C121" i="9"/>
  <c r="L120" i="9"/>
  <c r="K120" i="9"/>
  <c r="J120" i="9"/>
  <c r="I120" i="9"/>
  <c r="H120" i="9"/>
  <c r="C120" i="9"/>
  <c r="L119" i="9"/>
  <c r="K119" i="9"/>
  <c r="J119" i="9"/>
  <c r="I119" i="9"/>
  <c r="H119" i="9"/>
  <c r="C119" i="9"/>
  <c r="L118" i="9"/>
  <c r="K118" i="9"/>
  <c r="J118" i="9"/>
  <c r="I118" i="9"/>
  <c r="H118" i="9"/>
  <c r="C118" i="9"/>
  <c r="L117" i="9"/>
  <c r="K117" i="9"/>
  <c r="J117" i="9"/>
  <c r="I117" i="9"/>
  <c r="H117" i="9"/>
  <c r="C117" i="9"/>
  <c r="L116" i="9"/>
  <c r="K116" i="9"/>
  <c r="J116" i="9"/>
  <c r="I116" i="9"/>
  <c r="H116" i="9"/>
  <c r="C116" i="9"/>
  <c r="L115" i="9"/>
  <c r="K115" i="9"/>
  <c r="J115" i="9"/>
  <c r="I115" i="9"/>
  <c r="H115" i="9"/>
  <c r="C115" i="9"/>
  <c r="L114" i="9"/>
  <c r="K114" i="9"/>
  <c r="J114" i="9"/>
  <c r="I114" i="9"/>
  <c r="H114" i="9"/>
  <c r="C114" i="9"/>
  <c r="L113" i="9"/>
  <c r="K113" i="9"/>
  <c r="J113" i="9"/>
  <c r="I113" i="9"/>
  <c r="H113" i="9"/>
  <c r="C113" i="9"/>
  <c r="L112" i="9"/>
  <c r="K112" i="9"/>
  <c r="J112" i="9"/>
  <c r="I112" i="9"/>
  <c r="H112" i="9"/>
  <c r="C112" i="9"/>
  <c r="L111" i="9"/>
  <c r="K111" i="9"/>
  <c r="J111" i="9"/>
  <c r="I111" i="9"/>
  <c r="H111" i="9"/>
  <c r="C111" i="9"/>
  <c r="L110" i="9"/>
  <c r="K110" i="9"/>
  <c r="J110" i="9"/>
  <c r="I110" i="9"/>
  <c r="H110" i="9"/>
  <c r="C110" i="9"/>
  <c r="L109" i="9"/>
  <c r="K109" i="9"/>
  <c r="J109" i="9"/>
  <c r="I109" i="9"/>
  <c r="H109" i="9"/>
  <c r="C109" i="9"/>
  <c r="L108" i="9"/>
  <c r="K108" i="9"/>
  <c r="J108" i="9"/>
  <c r="I108" i="9"/>
  <c r="H108" i="9"/>
  <c r="C108" i="9"/>
  <c r="L107" i="9"/>
  <c r="K107" i="9"/>
  <c r="J107" i="9"/>
  <c r="I107" i="9"/>
  <c r="H107" i="9"/>
  <c r="C107" i="9"/>
  <c r="L106" i="9"/>
  <c r="K106" i="9"/>
  <c r="J106" i="9"/>
  <c r="I106" i="9"/>
  <c r="H106" i="9"/>
  <c r="C106" i="9"/>
  <c r="L105" i="9"/>
  <c r="K105" i="9"/>
  <c r="J105" i="9"/>
  <c r="I105" i="9"/>
  <c r="H105" i="9"/>
  <c r="C105" i="9"/>
  <c r="L104" i="9"/>
  <c r="K104" i="9"/>
  <c r="J104" i="9"/>
  <c r="I104" i="9"/>
  <c r="H104" i="9"/>
  <c r="C104" i="9"/>
  <c r="L103" i="9"/>
  <c r="K103" i="9"/>
  <c r="J103" i="9"/>
  <c r="I103" i="9"/>
  <c r="H103" i="9"/>
  <c r="C103" i="9"/>
  <c r="L102" i="9"/>
  <c r="K102" i="9"/>
  <c r="J102" i="9"/>
  <c r="I102" i="9"/>
  <c r="H102" i="9"/>
  <c r="C102" i="9"/>
  <c r="L101" i="9"/>
  <c r="K101" i="9"/>
  <c r="J101" i="9"/>
  <c r="I101" i="9"/>
  <c r="H101" i="9"/>
  <c r="C101" i="9"/>
  <c r="L100" i="9"/>
  <c r="K100" i="9"/>
  <c r="J100" i="9"/>
  <c r="I100" i="9"/>
  <c r="H100" i="9"/>
  <c r="C100" i="9"/>
  <c r="L99" i="9"/>
  <c r="K99" i="9"/>
  <c r="J99" i="9"/>
  <c r="I99" i="9"/>
  <c r="H99" i="9"/>
  <c r="C99" i="9"/>
  <c r="L98" i="9"/>
  <c r="K98" i="9"/>
  <c r="J98" i="9"/>
  <c r="I98" i="9"/>
  <c r="H98" i="9"/>
  <c r="C98" i="9"/>
  <c r="L97" i="9"/>
  <c r="K97" i="9"/>
  <c r="J97" i="9"/>
  <c r="I97" i="9"/>
  <c r="H97" i="9"/>
  <c r="C97" i="9"/>
  <c r="L96" i="9"/>
  <c r="K96" i="9"/>
  <c r="J96" i="9"/>
  <c r="I96" i="9"/>
  <c r="H96" i="9"/>
  <c r="C96" i="9"/>
  <c r="L95" i="9"/>
  <c r="K95" i="9"/>
  <c r="J95" i="9"/>
  <c r="I95" i="9"/>
  <c r="H95" i="9"/>
  <c r="C95" i="9"/>
  <c r="L94" i="9"/>
  <c r="K94" i="9"/>
  <c r="J94" i="9"/>
  <c r="I94" i="9"/>
  <c r="H94" i="9"/>
  <c r="C94" i="9"/>
  <c r="L93" i="9"/>
  <c r="K93" i="9"/>
  <c r="J93" i="9"/>
  <c r="I93" i="9"/>
  <c r="H93" i="9"/>
  <c r="C93" i="9"/>
  <c r="L92" i="9"/>
  <c r="K92" i="9"/>
  <c r="J92" i="9"/>
  <c r="I92" i="9"/>
  <c r="H92" i="9"/>
  <c r="C92" i="9"/>
  <c r="L91" i="9"/>
  <c r="K91" i="9"/>
  <c r="J91" i="9"/>
  <c r="I91" i="9"/>
  <c r="H91" i="9"/>
  <c r="C91" i="9"/>
  <c r="L90" i="9"/>
  <c r="K90" i="9"/>
  <c r="J90" i="9"/>
  <c r="I90" i="9"/>
  <c r="H90" i="9"/>
  <c r="C90" i="9"/>
  <c r="L89" i="9"/>
  <c r="K89" i="9"/>
  <c r="J89" i="9"/>
  <c r="I89" i="9"/>
  <c r="H89" i="9"/>
  <c r="C89" i="9"/>
  <c r="L88" i="9"/>
  <c r="K88" i="9"/>
  <c r="J88" i="9"/>
  <c r="I88" i="9"/>
  <c r="H88" i="9"/>
  <c r="C88" i="9"/>
  <c r="L87" i="9"/>
  <c r="K87" i="9"/>
  <c r="J87" i="9"/>
  <c r="I87" i="9"/>
  <c r="H87" i="9"/>
  <c r="C87" i="9"/>
  <c r="L86" i="9"/>
  <c r="K86" i="9"/>
  <c r="J86" i="9"/>
  <c r="I86" i="9"/>
  <c r="H86" i="9"/>
  <c r="C86" i="9"/>
  <c r="L85" i="9"/>
  <c r="K85" i="9"/>
  <c r="J85" i="9"/>
  <c r="I85" i="9"/>
  <c r="H85" i="9"/>
  <c r="C85" i="9"/>
  <c r="L84" i="9"/>
  <c r="K84" i="9"/>
  <c r="J84" i="9"/>
  <c r="I84" i="9"/>
  <c r="H84" i="9"/>
  <c r="C84" i="9"/>
  <c r="L83" i="9"/>
  <c r="K83" i="9"/>
  <c r="J83" i="9"/>
  <c r="I83" i="9"/>
  <c r="H83" i="9"/>
  <c r="C83" i="9"/>
  <c r="L82" i="9"/>
  <c r="K82" i="9"/>
  <c r="J82" i="9"/>
  <c r="I82" i="9"/>
  <c r="H82" i="9"/>
  <c r="C82" i="9"/>
  <c r="L81" i="9"/>
  <c r="K81" i="9"/>
  <c r="J81" i="9"/>
  <c r="I81" i="9"/>
  <c r="H81" i="9"/>
  <c r="C81" i="9"/>
  <c r="L80" i="9"/>
  <c r="K80" i="9"/>
  <c r="J80" i="9"/>
  <c r="I80" i="9"/>
  <c r="H80" i="9"/>
  <c r="C80" i="9"/>
  <c r="L79" i="9"/>
  <c r="K79" i="9"/>
  <c r="J79" i="9"/>
  <c r="I79" i="9"/>
  <c r="H79" i="9"/>
  <c r="C79" i="9"/>
  <c r="L78" i="9"/>
  <c r="K78" i="9"/>
  <c r="J78" i="9"/>
  <c r="I78" i="9"/>
  <c r="H78" i="9"/>
  <c r="C78" i="9"/>
  <c r="L77" i="9"/>
  <c r="K77" i="9"/>
  <c r="J77" i="9"/>
  <c r="I77" i="9"/>
  <c r="H77" i="9"/>
  <c r="C77" i="9"/>
  <c r="L76" i="9"/>
  <c r="K76" i="9"/>
  <c r="J76" i="9"/>
  <c r="I76" i="9"/>
  <c r="H76" i="9"/>
  <c r="C76" i="9"/>
  <c r="L75" i="9"/>
  <c r="K75" i="9"/>
  <c r="J75" i="9"/>
  <c r="I75" i="9"/>
  <c r="H75" i="9"/>
  <c r="C75" i="9"/>
  <c r="L74" i="9"/>
  <c r="K74" i="9"/>
  <c r="J74" i="9"/>
  <c r="I74" i="9"/>
  <c r="H74" i="9"/>
  <c r="C74" i="9"/>
  <c r="L73" i="9"/>
  <c r="K73" i="9"/>
  <c r="J73" i="9"/>
  <c r="I73" i="9"/>
  <c r="H73" i="9"/>
  <c r="C73" i="9"/>
  <c r="L72" i="9"/>
  <c r="K72" i="9"/>
  <c r="J72" i="9"/>
  <c r="I72" i="9"/>
  <c r="H72" i="9"/>
  <c r="C72" i="9"/>
  <c r="L71" i="9"/>
  <c r="K71" i="9"/>
  <c r="J71" i="9"/>
  <c r="I71" i="9"/>
  <c r="H71" i="9"/>
  <c r="C71" i="9"/>
  <c r="L70" i="9"/>
  <c r="K70" i="9"/>
  <c r="J70" i="9"/>
  <c r="I70" i="9"/>
  <c r="H70" i="9"/>
  <c r="C70" i="9"/>
  <c r="L69" i="9"/>
  <c r="K69" i="9"/>
  <c r="J69" i="9"/>
  <c r="I69" i="9"/>
  <c r="H69" i="9"/>
  <c r="C69" i="9"/>
  <c r="L68" i="9"/>
  <c r="K68" i="9"/>
  <c r="J68" i="9"/>
  <c r="I68" i="9"/>
  <c r="H68" i="9"/>
  <c r="C68" i="9"/>
  <c r="L67" i="9"/>
  <c r="K67" i="9"/>
  <c r="J67" i="9"/>
  <c r="I67" i="9"/>
  <c r="H67" i="9"/>
  <c r="C67" i="9"/>
  <c r="L66" i="9"/>
  <c r="K66" i="9"/>
  <c r="J66" i="9"/>
  <c r="I66" i="9"/>
  <c r="H66" i="9"/>
  <c r="C66" i="9"/>
  <c r="L65" i="9"/>
  <c r="K65" i="9"/>
  <c r="J65" i="9"/>
  <c r="I65" i="9"/>
  <c r="H65" i="9"/>
  <c r="C65" i="9"/>
  <c r="L64" i="9"/>
  <c r="K64" i="9"/>
  <c r="J64" i="9"/>
  <c r="I64" i="9"/>
  <c r="H64" i="9"/>
  <c r="C64" i="9"/>
  <c r="L63" i="9"/>
  <c r="K63" i="9"/>
  <c r="J63" i="9"/>
  <c r="I63" i="9"/>
  <c r="H63" i="9"/>
  <c r="C63" i="9"/>
  <c r="L62" i="9"/>
  <c r="K62" i="9"/>
  <c r="J62" i="9"/>
  <c r="I62" i="9"/>
  <c r="H62" i="9"/>
  <c r="C62" i="9"/>
  <c r="L61" i="9"/>
  <c r="K61" i="9"/>
  <c r="J61" i="9"/>
  <c r="I61" i="9"/>
  <c r="H61" i="9"/>
  <c r="C61" i="9"/>
  <c r="L60" i="9"/>
  <c r="K60" i="9"/>
  <c r="J60" i="9"/>
  <c r="I60" i="9"/>
  <c r="H60" i="9"/>
  <c r="C60" i="9"/>
  <c r="L59" i="9"/>
  <c r="K59" i="9"/>
  <c r="J59" i="9"/>
  <c r="I59" i="9"/>
  <c r="H59" i="9"/>
  <c r="C59" i="9"/>
  <c r="L58" i="9"/>
  <c r="K58" i="9"/>
  <c r="J58" i="9"/>
  <c r="I58" i="9"/>
  <c r="H58" i="9"/>
  <c r="C58" i="9"/>
  <c r="L57" i="9"/>
  <c r="K57" i="9"/>
  <c r="J57" i="9"/>
  <c r="I57" i="9"/>
  <c r="H57" i="9"/>
  <c r="C57" i="9"/>
  <c r="L56" i="9"/>
  <c r="K56" i="9"/>
  <c r="J56" i="9"/>
  <c r="I56" i="9"/>
  <c r="H56" i="9"/>
  <c r="C56" i="9"/>
  <c r="L55" i="9"/>
  <c r="K55" i="9"/>
  <c r="J55" i="9"/>
  <c r="I55" i="9"/>
  <c r="H55" i="9"/>
  <c r="C55" i="9"/>
  <c r="L54" i="9"/>
  <c r="K54" i="9"/>
  <c r="J54" i="9"/>
  <c r="I54" i="9"/>
  <c r="H54" i="9"/>
  <c r="C54" i="9"/>
  <c r="L53" i="9"/>
  <c r="K53" i="9"/>
  <c r="J53" i="9"/>
  <c r="I53" i="9"/>
  <c r="H53" i="9"/>
  <c r="C53" i="9"/>
  <c r="L52" i="9"/>
  <c r="K52" i="9"/>
  <c r="J52" i="9"/>
  <c r="I52" i="9"/>
  <c r="H52" i="9"/>
  <c r="C52" i="9"/>
  <c r="L51" i="9"/>
  <c r="K51" i="9"/>
  <c r="J51" i="9"/>
  <c r="I51" i="9"/>
  <c r="H51" i="9"/>
  <c r="C51" i="9"/>
  <c r="L50" i="9"/>
  <c r="K50" i="9"/>
  <c r="J50" i="9"/>
  <c r="I50" i="9"/>
  <c r="H50" i="9"/>
  <c r="C50" i="9"/>
  <c r="L49" i="9"/>
  <c r="K49" i="9"/>
  <c r="J49" i="9"/>
  <c r="I49" i="9"/>
  <c r="H49" i="9"/>
  <c r="C49" i="9"/>
  <c r="L48" i="9"/>
  <c r="K48" i="9"/>
  <c r="J48" i="9"/>
  <c r="I48" i="9"/>
  <c r="H48" i="9"/>
  <c r="C48" i="9"/>
  <c r="L47" i="9"/>
  <c r="K47" i="9"/>
  <c r="J47" i="9"/>
  <c r="I47" i="9"/>
  <c r="H47" i="9"/>
  <c r="C47" i="9"/>
  <c r="L46" i="9"/>
  <c r="K46" i="9"/>
  <c r="J46" i="9"/>
  <c r="I46" i="9"/>
  <c r="H46" i="9"/>
  <c r="C46" i="9"/>
  <c r="L45" i="9"/>
  <c r="K45" i="9"/>
  <c r="J45" i="9"/>
  <c r="I45" i="9"/>
  <c r="H45" i="9"/>
  <c r="C45" i="9"/>
  <c r="L44" i="9"/>
  <c r="K44" i="9"/>
  <c r="J44" i="9"/>
  <c r="I44" i="9"/>
  <c r="H44" i="9"/>
  <c r="C44" i="9"/>
  <c r="L43" i="9"/>
  <c r="K43" i="9"/>
  <c r="J43" i="9"/>
  <c r="I43" i="9"/>
  <c r="H43" i="9"/>
  <c r="C43" i="9"/>
  <c r="L42" i="9"/>
  <c r="K42" i="9"/>
  <c r="J42" i="9"/>
  <c r="I42" i="9"/>
  <c r="H42" i="9"/>
  <c r="C42" i="9"/>
  <c r="L41" i="9"/>
  <c r="K41" i="9"/>
  <c r="J41" i="9"/>
  <c r="I41" i="9"/>
  <c r="H41" i="9"/>
  <c r="C41" i="9"/>
  <c r="L40" i="9"/>
  <c r="K40" i="9"/>
  <c r="J40" i="9"/>
  <c r="I40" i="9"/>
  <c r="H40" i="9"/>
  <c r="C40" i="9"/>
  <c r="L39" i="9"/>
  <c r="K39" i="9"/>
  <c r="J39" i="9"/>
  <c r="I39" i="9"/>
  <c r="H39" i="9"/>
  <c r="C39" i="9"/>
  <c r="L38" i="9"/>
  <c r="K38" i="9"/>
  <c r="J38" i="9"/>
  <c r="I38" i="9"/>
  <c r="H38" i="9"/>
  <c r="C38" i="9"/>
  <c r="L37" i="9"/>
  <c r="K37" i="9"/>
  <c r="J37" i="9"/>
  <c r="I37" i="9"/>
  <c r="H37" i="9"/>
  <c r="C37" i="9"/>
  <c r="L36" i="9"/>
  <c r="K36" i="9"/>
  <c r="J36" i="9"/>
  <c r="I36" i="9"/>
  <c r="H36" i="9"/>
  <c r="C36" i="9"/>
  <c r="L35" i="9"/>
  <c r="K35" i="9"/>
  <c r="J35" i="9"/>
  <c r="I35" i="9"/>
  <c r="H35" i="9"/>
  <c r="C35" i="9"/>
  <c r="L34" i="9"/>
  <c r="K34" i="9"/>
  <c r="J34" i="9"/>
  <c r="I34" i="9"/>
  <c r="H34" i="9"/>
  <c r="C34" i="9"/>
  <c r="L33" i="9"/>
  <c r="K33" i="9"/>
  <c r="J33" i="9"/>
  <c r="I33" i="9"/>
  <c r="H33" i="9"/>
  <c r="C33" i="9"/>
  <c r="L32" i="9"/>
  <c r="K32" i="9"/>
  <c r="J32" i="9"/>
  <c r="I32" i="9"/>
  <c r="H32" i="9"/>
  <c r="C32" i="9"/>
  <c r="L31" i="9"/>
  <c r="K31" i="9"/>
  <c r="J31" i="9"/>
  <c r="I31" i="9"/>
  <c r="H31" i="9"/>
  <c r="C31" i="9"/>
  <c r="L30" i="9"/>
  <c r="K30" i="9"/>
  <c r="J30" i="9"/>
  <c r="I30" i="9"/>
  <c r="H30" i="9"/>
  <c r="C30" i="9"/>
  <c r="L29" i="9"/>
  <c r="K29" i="9"/>
  <c r="J29" i="9"/>
  <c r="I29" i="9"/>
  <c r="H29" i="9"/>
  <c r="C29" i="9"/>
  <c r="L28" i="9"/>
  <c r="K28" i="9"/>
  <c r="J28" i="9"/>
  <c r="I28" i="9"/>
  <c r="H28" i="9"/>
  <c r="C28" i="9"/>
  <c r="L27" i="9"/>
  <c r="K27" i="9"/>
  <c r="J27" i="9"/>
  <c r="I27" i="9"/>
  <c r="H27" i="9"/>
  <c r="C27" i="9"/>
  <c r="L26" i="9"/>
  <c r="K26" i="9"/>
  <c r="J26" i="9"/>
  <c r="I26" i="9"/>
  <c r="H26" i="9"/>
  <c r="C26" i="9"/>
  <c r="L25" i="9"/>
  <c r="K25" i="9"/>
  <c r="J25" i="9"/>
  <c r="I25" i="9"/>
  <c r="H25" i="9"/>
  <c r="C25" i="9"/>
  <c r="L24" i="9"/>
  <c r="K24" i="9"/>
  <c r="J24" i="9"/>
  <c r="I24" i="9"/>
  <c r="H24" i="9"/>
  <c r="C24" i="9"/>
  <c r="L23" i="9"/>
  <c r="K23" i="9"/>
  <c r="J23" i="9"/>
  <c r="I23" i="9"/>
  <c r="H23" i="9"/>
  <c r="C23" i="9"/>
  <c r="L22" i="9"/>
  <c r="K22" i="9"/>
  <c r="J22" i="9"/>
  <c r="I22" i="9"/>
  <c r="H22" i="9"/>
  <c r="C22" i="9"/>
  <c r="L21" i="9"/>
  <c r="K21" i="9"/>
  <c r="J21" i="9"/>
  <c r="I21" i="9"/>
  <c r="H21" i="9"/>
  <c r="C21" i="9"/>
  <c r="L20" i="9"/>
  <c r="K20" i="9"/>
  <c r="J20" i="9"/>
  <c r="I20" i="9"/>
  <c r="H20" i="9"/>
  <c r="C20" i="9"/>
  <c r="L19" i="9"/>
  <c r="K19" i="9"/>
  <c r="J19" i="9"/>
  <c r="I19" i="9"/>
  <c r="H19" i="9"/>
  <c r="C19" i="9"/>
  <c r="L18" i="9"/>
  <c r="K18" i="9"/>
  <c r="J18" i="9"/>
  <c r="I18" i="9"/>
  <c r="H18" i="9"/>
  <c r="C18" i="9"/>
  <c r="L17" i="9"/>
  <c r="K17" i="9"/>
  <c r="J17" i="9"/>
  <c r="I17" i="9"/>
  <c r="H17" i="9"/>
  <c r="C17" i="9"/>
  <c r="L16" i="9"/>
  <c r="K16" i="9"/>
  <c r="J16" i="9"/>
  <c r="I16" i="9"/>
  <c r="H16" i="9"/>
  <c r="C16" i="9"/>
  <c r="L15" i="9"/>
  <c r="K15" i="9"/>
  <c r="J15" i="9"/>
  <c r="I15" i="9"/>
  <c r="H15" i="9"/>
  <c r="C15" i="9"/>
  <c r="L14" i="9"/>
  <c r="K14" i="9"/>
  <c r="J14" i="9"/>
  <c r="I14" i="9"/>
  <c r="H14" i="9"/>
  <c r="C14" i="9"/>
  <c r="L13" i="9"/>
  <c r="K13" i="9"/>
  <c r="J13" i="9"/>
  <c r="I13" i="9"/>
  <c r="H13" i="9"/>
  <c r="C13" i="9"/>
  <c r="L12" i="9"/>
  <c r="K12" i="9"/>
  <c r="J12" i="9"/>
  <c r="I12" i="9"/>
  <c r="H12" i="9"/>
  <c r="C12" i="9"/>
  <c r="L11" i="9"/>
  <c r="K11" i="9"/>
  <c r="J11" i="9"/>
  <c r="I11" i="9"/>
  <c r="H11" i="9"/>
  <c r="C11" i="9"/>
  <c r="L10" i="9"/>
  <c r="K10" i="9"/>
  <c r="J10" i="9"/>
  <c r="I10" i="9"/>
  <c r="H10" i="9"/>
  <c r="C10" i="9"/>
  <c r="L9" i="9"/>
  <c r="K9" i="9"/>
  <c r="J9" i="9"/>
  <c r="I9" i="9"/>
  <c r="H9" i="9"/>
  <c r="C9" i="9"/>
  <c r="L8" i="9"/>
  <c r="K8" i="9"/>
  <c r="J8" i="9"/>
  <c r="I8" i="9"/>
  <c r="H8" i="9"/>
  <c r="C8" i="9"/>
  <c r="L7" i="9"/>
  <c r="K7" i="9"/>
  <c r="J7" i="9"/>
  <c r="I7" i="9"/>
  <c r="H7" i="9"/>
  <c r="C7" i="9"/>
  <c r="L6" i="9"/>
  <c r="K6" i="9"/>
  <c r="J6" i="9"/>
  <c r="I6" i="9"/>
  <c r="H6" i="9"/>
  <c r="C6" i="9"/>
  <c r="L5" i="9"/>
  <c r="K5" i="9"/>
  <c r="J5" i="9"/>
  <c r="I5" i="9"/>
  <c r="H5" i="9"/>
  <c r="C5" i="9"/>
  <c r="R104" i="8"/>
  <c r="Q104" i="8"/>
  <c r="P104" i="8"/>
  <c r="O104" i="8"/>
  <c r="N104" i="8"/>
  <c r="R103" i="8"/>
  <c r="Q103" i="8"/>
  <c r="P103" i="8"/>
  <c r="O103" i="8"/>
  <c r="N103" i="8"/>
  <c r="R102" i="8"/>
  <c r="Q102" i="8"/>
  <c r="P102" i="8"/>
  <c r="O102" i="8"/>
  <c r="N102" i="8"/>
  <c r="R101" i="8"/>
  <c r="Q101" i="8"/>
  <c r="P101" i="8"/>
  <c r="O101" i="8"/>
  <c r="N101" i="8"/>
  <c r="R100" i="8"/>
  <c r="Q100" i="8"/>
  <c r="P100" i="8"/>
  <c r="O100" i="8"/>
  <c r="N100" i="8"/>
  <c r="R99" i="8"/>
  <c r="Q99" i="8"/>
  <c r="P99" i="8"/>
  <c r="O99" i="8"/>
  <c r="N99" i="8"/>
  <c r="R98" i="8"/>
  <c r="Q98" i="8"/>
  <c r="P98" i="8"/>
  <c r="O98" i="8"/>
  <c r="N98" i="8"/>
  <c r="R97" i="8"/>
  <c r="Q97" i="8"/>
  <c r="P97" i="8"/>
  <c r="O97" i="8"/>
  <c r="N97" i="8"/>
  <c r="R96" i="8"/>
  <c r="Q96" i="8"/>
  <c r="P96" i="8"/>
  <c r="O96" i="8"/>
  <c r="N96" i="8"/>
  <c r="R95" i="8"/>
  <c r="Q95" i="8"/>
  <c r="P95" i="8"/>
  <c r="O95" i="8"/>
  <c r="N95" i="8"/>
  <c r="R94" i="8"/>
  <c r="Q94" i="8"/>
  <c r="P94" i="8"/>
  <c r="O94" i="8"/>
  <c r="N94" i="8"/>
  <c r="R93" i="8"/>
  <c r="Q93" i="8"/>
  <c r="P93" i="8"/>
  <c r="O93" i="8"/>
  <c r="N93" i="8"/>
  <c r="R92" i="8"/>
  <c r="Q92" i="8"/>
  <c r="P92" i="8"/>
  <c r="O92" i="8"/>
  <c r="N92" i="8"/>
  <c r="R91" i="8"/>
  <c r="Q91" i="8"/>
  <c r="P91" i="8"/>
  <c r="O91" i="8"/>
  <c r="N91" i="8"/>
  <c r="R90" i="8"/>
  <c r="Q90" i="8"/>
  <c r="P90" i="8"/>
  <c r="O90" i="8"/>
  <c r="N90" i="8"/>
  <c r="R89" i="8"/>
  <c r="Q89" i="8"/>
  <c r="P89" i="8"/>
  <c r="O89" i="8"/>
  <c r="N89" i="8"/>
  <c r="R88" i="8"/>
  <c r="Q88" i="8"/>
  <c r="P88" i="8"/>
  <c r="O88" i="8"/>
  <c r="N88" i="8"/>
  <c r="R87" i="8"/>
  <c r="Q87" i="8"/>
  <c r="P87" i="8"/>
  <c r="O87" i="8"/>
  <c r="N87" i="8"/>
  <c r="R86" i="8"/>
  <c r="Q86" i="8"/>
  <c r="P86" i="8"/>
  <c r="O86" i="8"/>
  <c r="N86" i="8"/>
  <c r="R85" i="8"/>
  <c r="Q85" i="8"/>
  <c r="P85" i="8"/>
  <c r="O85" i="8"/>
  <c r="N85" i="8"/>
  <c r="R84" i="8"/>
  <c r="Q84" i="8"/>
  <c r="P84" i="8"/>
  <c r="O84" i="8"/>
  <c r="N84" i="8"/>
  <c r="R83" i="8"/>
  <c r="Q83" i="8"/>
  <c r="P83" i="8"/>
  <c r="O83" i="8"/>
  <c r="N83" i="8"/>
  <c r="R82" i="8"/>
  <c r="Q82" i="8"/>
  <c r="P82" i="8"/>
  <c r="O82" i="8"/>
  <c r="N82" i="8"/>
  <c r="R81" i="8"/>
  <c r="Q81" i="8"/>
  <c r="P81" i="8"/>
  <c r="O81" i="8"/>
  <c r="N81" i="8"/>
  <c r="R80" i="8"/>
  <c r="Q80" i="8"/>
  <c r="P80" i="8"/>
  <c r="O80" i="8"/>
  <c r="N80" i="8"/>
  <c r="R79" i="8"/>
  <c r="Q79" i="8"/>
  <c r="P79" i="8"/>
  <c r="O79" i="8"/>
  <c r="N79" i="8"/>
  <c r="R78" i="8"/>
  <c r="Q78" i="8"/>
  <c r="P78" i="8"/>
  <c r="O78" i="8"/>
  <c r="N78" i="8"/>
  <c r="R77" i="8"/>
  <c r="Q77" i="8"/>
  <c r="P77" i="8"/>
  <c r="O77" i="8"/>
  <c r="N77" i="8"/>
  <c r="R76" i="8"/>
  <c r="Q76" i="8"/>
  <c r="P76" i="8"/>
  <c r="O76" i="8"/>
  <c r="N76" i="8"/>
  <c r="R75" i="8"/>
  <c r="Q75" i="8"/>
  <c r="P75" i="8"/>
  <c r="O75" i="8"/>
  <c r="N75" i="8"/>
  <c r="R74" i="8"/>
  <c r="Q74" i="8"/>
  <c r="P74" i="8"/>
  <c r="O74" i="8"/>
  <c r="N74" i="8"/>
  <c r="R73" i="8"/>
  <c r="Q73" i="8"/>
  <c r="P73" i="8"/>
  <c r="O73" i="8"/>
  <c r="N73" i="8"/>
  <c r="R72" i="8"/>
  <c r="Q72" i="8"/>
  <c r="P72" i="8"/>
  <c r="O72" i="8"/>
  <c r="N72" i="8"/>
  <c r="R71" i="8"/>
  <c r="Q71" i="8"/>
  <c r="P71" i="8"/>
  <c r="O71" i="8"/>
  <c r="N71" i="8"/>
  <c r="R70" i="8"/>
  <c r="Q70" i="8"/>
  <c r="P70" i="8"/>
  <c r="O70" i="8"/>
  <c r="N70" i="8"/>
  <c r="R69" i="8"/>
  <c r="Q69" i="8"/>
  <c r="P69" i="8"/>
  <c r="O69" i="8"/>
  <c r="N69" i="8"/>
  <c r="R68" i="8"/>
  <c r="Q68" i="8"/>
  <c r="P68" i="8"/>
  <c r="O68" i="8"/>
  <c r="N68" i="8"/>
  <c r="R67" i="8"/>
  <c r="Q67" i="8"/>
  <c r="P67" i="8"/>
  <c r="O67" i="8"/>
  <c r="N67" i="8"/>
  <c r="R66" i="8"/>
  <c r="Q66" i="8"/>
  <c r="P66" i="8"/>
  <c r="O66" i="8"/>
  <c r="N66" i="8"/>
  <c r="R65" i="8"/>
  <c r="Q65" i="8"/>
  <c r="P65" i="8"/>
  <c r="O65" i="8"/>
  <c r="N65" i="8"/>
  <c r="R64" i="8"/>
  <c r="Q64" i="8"/>
  <c r="P64" i="8"/>
  <c r="O64" i="8"/>
  <c r="N64" i="8"/>
  <c r="R63" i="8"/>
  <c r="Q63" i="8"/>
  <c r="P63" i="8"/>
  <c r="O63" i="8"/>
  <c r="N63" i="8"/>
  <c r="R62" i="8"/>
  <c r="Q62" i="8"/>
  <c r="P62" i="8"/>
  <c r="O62" i="8"/>
  <c r="N62" i="8"/>
  <c r="R61" i="8"/>
  <c r="Q61" i="8"/>
  <c r="P61" i="8"/>
  <c r="O61" i="8"/>
  <c r="N61" i="8"/>
  <c r="R60" i="8"/>
  <c r="Q60" i="8"/>
  <c r="P60" i="8"/>
  <c r="O60" i="8"/>
  <c r="N60" i="8"/>
  <c r="R59" i="8"/>
  <c r="Q59" i="8"/>
  <c r="P59" i="8"/>
  <c r="O59" i="8"/>
  <c r="N59" i="8"/>
  <c r="R58" i="8"/>
  <c r="Q58" i="8"/>
  <c r="P58" i="8"/>
  <c r="O58" i="8"/>
  <c r="N58" i="8"/>
  <c r="R57" i="8"/>
  <c r="Q57" i="8"/>
  <c r="P57" i="8"/>
  <c r="O57" i="8"/>
  <c r="N57" i="8"/>
  <c r="R56" i="8"/>
  <c r="Q56" i="8"/>
  <c r="P56" i="8"/>
  <c r="O56" i="8"/>
  <c r="N56" i="8"/>
  <c r="R55" i="8"/>
  <c r="Q55" i="8"/>
  <c r="P55" i="8"/>
  <c r="O55" i="8"/>
  <c r="N55" i="8"/>
  <c r="R54" i="8"/>
  <c r="Q54" i="8"/>
  <c r="P54" i="8"/>
  <c r="O54" i="8"/>
  <c r="N54" i="8"/>
  <c r="R53" i="8"/>
  <c r="Q53" i="8"/>
  <c r="P53" i="8"/>
  <c r="O53" i="8"/>
  <c r="N53" i="8"/>
  <c r="R52" i="8"/>
  <c r="Q52" i="8"/>
  <c r="P52" i="8"/>
  <c r="O52" i="8"/>
  <c r="N52" i="8"/>
  <c r="R51" i="8"/>
  <c r="Q51" i="8"/>
  <c r="P51" i="8"/>
  <c r="O51" i="8"/>
  <c r="N51" i="8"/>
  <c r="R50" i="8"/>
  <c r="Q50" i="8"/>
  <c r="P50" i="8"/>
  <c r="O50" i="8"/>
  <c r="N50" i="8"/>
  <c r="R49" i="8"/>
  <c r="Q49" i="8"/>
  <c r="P49" i="8"/>
  <c r="O49" i="8"/>
  <c r="N49" i="8"/>
  <c r="R48" i="8"/>
  <c r="Q48" i="8"/>
  <c r="P48" i="8"/>
  <c r="O48" i="8"/>
  <c r="N48" i="8"/>
  <c r="R47" i="8"/>
  <c r="Q47" i="8"/>
  <c r="P47" i="8"/>
  <c r="O47" i="8"/>
  <c r="N47" i="8"/>
  <c r="R46" i="8"/>
  <c r="Q46" i="8"/>
  <c r="P46" i="8"/>
  <c r="O46" i="8"/>
  <c r="N46" i="8"/>
  <c r="R45" i="8"/>
  <c r="Q45" i="8"/>
  <c r="P45" i="8"/>
  <c r="O45" i="8"/>
  <c r="N45" i="8"/>
  <c r="R44" i="8"/>
  <c r="Q44" i="8"/>
  <c r="P44" i="8"/>
  <c r="O44" i="8"/>
  <c r="N44" i="8"/>
  <c r="R43" i="8"/>
  <c r="Q43" i="8"/>
  <c r="P43" i="8"/>
  <c r="O43" i="8"/>
  <c r="N43" i="8"/>
  <c r="R42" i="8"/>
  <c r="Q42" i="8"/>
  <c r="P42" i="8"/>
  <c r="O42" i="8"/>
  <c r="N42" i="8"/>
  <c r="R41" i="8"/>
  <c r="Q41" i="8"/>
  <c r="P41" i="8"/>
  <c r="O41" i="8"/>
  <c r="N41" i="8"/>
  <c r="R40" i="8"/>
  <c r="Q40" i="8"/>
  <c r="P40" i="8"/>
  <c r="O40" i="8"/>
  <c r="N40" i="8"/>
  <c r="R39" i="8"/>
  <c r="Q39" i="8"/>
  <c r="P39" i="8"/>
  <c r="O39" i="8"/>
  <c r="N39" i="8"/>
  <c r="R38" i="8"/>
  <c r="Q38" i="8"/>
  <c r="P38" i="8"/>
  <c r="O38" i="8"/>
  <c r="N38" i="8"/>
  <c r="R37" i="8"/>
  <c r="Q37" i="8"/>
  <c r="P37" i="8"/>
  <c r="O37" i="8"/>
  <c r="N37" i="8"/>
  <c r="R36" i="8"/>
  <c r="Q36" i="8"/>
  <c r="P36" i="8"/>
  <c r="O36" i="8"/>
  <c r="N36" i="8"/>
  <c r="R35" i="8"/>
  <c r="Q35" i="8"/>
  <c r="P35" i="8"/>
  <c r="O35" i="8"/>
  <c r="N35" i="8"/>
  <c r="R34" i="8"/>
  <c r="Q34" i="8"/>
  <c r="P34" i="8"/>
  <c r="O34" i="8"/>
  <c r="N34" i="8"/>
  <c r="R33" i="8"/>
  <c r="Q33" i="8"/>
  <c r="P33" i="8"/>
  <c r="O33" i="8"/>
  <c r="N33" i="8"/>
  <c r="R32" i="8"/>
  <c r="Q32" i="8"/>
  <c r="P32" i="8"/>
  <c r="O32" i="8"/>
  <c r="N32" i="8"/>
  <c r="R31" i="8"/>
  <c r="Q31" i="8"/>
  <c r="P31" i="8"/>
  <c r="O31" i="8"/>
  <c r="N31" i="8"/>
  <c r="R30" i="8"/>
  <c r="Q30" i="8"/>
  <c r="P30" i="8"/>
  <c r="O30" i="8"/>
  <c r="N30" i="8"/>
  <c r="R29" i="8"/>
  <c r="Q29" i="8"/>
  <c r="P29" i="8"/>
  <c r="O29" i="8"/>
  <c r="N29" i="8"/>
  <c r="R28" i="8"/>
  <c r="Q28" i="8"/>
  <c r="P28" i="8"/>
  <c r="O28" i="8"/>
  <c r="N28" i="8"/>
  <c r="R27" i="8"/>
  <c r="Q27" i="8"/>
  <c r="P27" i="8"/>
  <c r="O27" i="8"/>
  <c r="N27" i="8"/>
  <c r="R26" i="8"/>
  <c r="Q26" i="8"/>
  <c r="P26" i="8"/>
  <c r="O26" i="8"/>
  <c r="N26" i="8"/>
  <c r="R25" i="8"/>
  <c r="Q25" i="8"/>
  <c r="P25" i="8"/>
  <c r="O25" i="8"/>
  <c r="N25" i="8"/>
  <c r="R24" i="8"/>
  <c r="Q24" i="8"/>
  <c r="P24" i="8"/>
  <c r="O24" i="8"/>
  <c r="N24" i="8"/>
  <c r="R23" i="8"/>
  <c r="Q23" i="8"/>
  <c r="P23" i="8"/>
  <c r="O23" i="8"/>
  <c r="N23" i="8"/>
  <c r="R22" i="8"/>
  <c r="Q22" i="8"/>
  <c r="P22" i="8"/>
  <c r="O22" i="8"/>
  <c r="N22" i="8"/>
  <c r="R21" i="8"/>
  <c r="Q21" i="8"/>
  <c r="P21" i="8"/>
  <c r="O21" i="8"/>
  <c r="N21" i="8"/>
  <c r="R20" i="8"/>
  <c r="Q20" i="8"/>
  <c r="P20" i="8"/>
  <c r="O20" i="8"/>
  <c r="N20" i="8"/>
  <c r="R19" i="8"/>
  <c r="Q19" i="8"/>
  <c r="P19" i="8"/>
  <c r="O19" i="8"/>
  <c r="N19" i="8"/>
  <c r="R18" i="8"/>
  <c r="Q18" i="8"/>
  <c r="P18" i="8"/>
  <c r="O18" i="8"/>
  <c r="N18" i="8"/>
  <c r="R17" i="8"/>
  <c r="Q17" i="8"/>
  <c r="P17" i="8"/>
  <c r="O17" i="8"/>
  <c r="N17" i="8"/>
  <c r="R16" i="8"/>
  <c r="Q16" i="8"/>
  <c r="P16" i="8"/>
  <c r="O16" i="8"/>
  <c r="N16" i="8"/>
  <c r="R15" i="8"/>
  <c r="Q15" i="8"/>
  <c r="P15" i="8"/>
  <c r="O15" i="8"/>
  <c r="N15" i="8"/>
  <c r="R14" i="8"/>
  <c r="Q14" i="8"/>
  <c r="P14" i="8"/>
  <c r="O14" i="8"/>
  <c r="N14" i="8"/>
  <c r="R13" i="8"/>
  <c r="Q13" i="8"/>
  <c r="P13" i="8"/>
  <c r="O13" i="8"/>
  <c r="N13" i="8"/>
  <c r="R12" i="8"/>
  <c r="Q12" i="8"/>
  <c r="O12" i="8"/>
  <c r="N12" i="8"/>
  <c r="P12" i="8" s="1"/>
  <c r="R11" i="8"/>
  <c r="Q11" i="8"/>
  <c r="P11" i="8"/>
  <c r="O11" i="8"/>
  <c r="N11" i="8"/>
  <c r="R10" i="8"/>
  <c r="Q10" i="8"/>
  <c r="P10" i="8"/>
  <c r="O10" i="8"/>
  <c r="N10" i="8"/>
  <c r="R9" i="8"/>
  <c r="Q9" i="8"/>
  <c r="P9" i="8"/>
  <c r="O9" i="8"/>
  <c r="N9" i="8"/>
  <c r="R8" i="8"/>
  <c r="Q8" i="8"/>
  <c r="O8" i="8"/>
  <c r="N8" i="8"/>
  <c r="R7" i="8"/>
  <c r="Q7" i="8"/>
  <c r="O7" i="8"/>
  <c r="P7" i="8" s="1"/>
  <c r="N7" i="8"/>
  <c r="R6" i="8"/>
  <c r="Q6" i="8"/>
  <c r="P6" i="8"/>
  <c r="O6" i="8"/>
  <c r="N6" i="8"/>
  <c r="R5" i="8"/>
  <c r="Q5" i="8"/>
  <c r="O5" i="8"/>
  <c r="N5" i="8"/>
  <c r="P5" i="8" s="1"/>
  <c r="N504" i="7"/>
  <c r="M504" i="7"/>
  <c r="N503" i="7"/>
  <c r="M503" i="7"/>
  <c r="N502" i="7"/>
  <c r="M502" i="7"/>
  <c r="N501" i="7"/>
  <c r="M501" i="7"/>
  <c r="N500" i="7"/>
  <c r="M500" i="7"/>
  <c r="N499" i="7"/>
  <c r="M499" i="7"/>
  <c r="N498" i="7"/>
  <c r="M498" i="7"/>
  <c r="N497" i="7"/>
  <c r="M497" i="7"/>
  <c r="N496" i="7"/>
  <c r="M496" i="7"/>
  <c r="N495" i="7"/>
  <c r="M495" i="7"/>
  <c r="N494" i="7"/>
  <c r="M494" i="7"/>
  <c r="N493" i="7"/>
  <c r="M493" i="7"/>
  <c r="N492" i="7"/>
  <c r="M492" i="7"/>
  <c r="N491" i="7"/>
  <c r="M491" i="7"/>
  <c r="N490" i="7"/>
  <c r="M490" i="7"/>
  <c r="N489" i="7"/>
  <c r="M489" i="7"/>
  <c r="N488" i="7"/>
  <c r="M488" i="7"/>
  <c r="N487" i="7"/>
  <c r="M487" i="7"/>
  <c r="N486" i="7"/>
  <c r="M486" i="7"/>
  <c r="N485" i="7"/>
  <c r="M485" i="7"/>
  <c r="N484" i="7"/>
  <c r="M484" i="7"/>
  <c r="N483" i="7"/>
  <c r="M483" i="7"/>
  <c r="N482" i="7"/>
  <c r="M482" i="7"/>
  <c r="N481" i="7"/>
  <c r="M481" i="7"/>
  <c r="N480" i="7"/>
  <c r="M480" i="7"/>
  <c r="N479" i="7"/>
  <c r="M479" i="7"/>
  <c r="N478" i="7"/>
  <c r="M478" i="7"/>
  <c r="N477" i="7"/>
  <c r="M477" i="7"/>
  <c r="N476" i="7"/>
  <c r="M476" i="7"/>
  <c r="N475" i="7"/>
  <c r="M475" i="7"/>
  <c r="N474" i="7"/>
  <c r="M474" i="7"/>
  <c r="N473" i="7"/>
  <c r="M473" i="7"/>
  <c r="N472" i="7"/>
  <c r="M472" i="7"/>
  <c r="N471" i="7"/>
  <c r="M471" i="7"/>
  <c r="N470" i="7"/>
  <c r="M470" i="7"/>
  <c r="N469" i="7"/>
  <c r="M469" i="7"/>
  <c r="N468" i="7"/>
  <c r="M468" i="7"/>
  <c r="N467" i="7"/>
  <c r="M467" i="7"/>
  <c r="N466" i="7"/>
  <c r="M466" i="7"/>
  <c r="N465" i="7"/>
  <c r="M465" i="7"/>
  <c r="N464" i="7"/>
  <c r="M464" i="7"/>
  <c r="N463" i="7"/>
  <c r="M463" i="7"/>
  <c r="N462" i="7"/>
  <c r="M462" i="7"/>
  <c r="N461" i="7"/>
  <c r="M461" i="7"/>
  <c r="N460" i="7"/>
  <c r="M460" i="7"/>
  <c r="N459" i="7"/>
  <c r="M459" i="7"/>
  <c r="N458" i="7"/>
  <c r="M458" i="7"/>
  <c r="N457" i="7"/>
  <c r="M457" i="7"/>
  <c r="N456" i="7"/>
  <c r="M456" i="7"/>
  <c r="N455" i="7"/>
  <c r="M455" i="7"/>
  <c r="N454" i="7"/>
  <c r="M454" i="7"/>
  <c r="N453" i="7"/>
  <c r="M453" i="7"/>
  <c r="N452" i="7"/>
  <c r="M452" i="7"/>
  <c r="N451" i="7"/>
  <c r="M451" i="7"/>
  <c r="N450" i="7"/>
  <c r="M450" i="7"/>
  <c r="N449" i="7"/>
  <c r="M449" i="7"/>
  <c r="N448" i="7"/>
  <c r="M448" i="7"/>
  <c r="N447" i="7"/>
  <c r="M447" i="7"/>
  <c r="N446" i="7"/>
  <c r="M446" i="7"/>
  <c r="N445" i="7"/>
  <c r="M445" i="7"/>
  <c r="N444" i="7"/>
  <c r="M444" i="7"/>
  <c r="N443" i="7"/>
  <c r="M443" i="7"/>
  <c r="N442" i="7"/>
  <c r="M442" i="7"/>
  <c r="N441" i="7"/>
  <c r="M441" i="7"/>
  <c r="N440" i="7"/>
  <c r="M440" i="7"/>
  <c r="N439" i="7"/>
  <c r="M439" i="7"/>
  <c r="N438" i="7"/>
  <c r="M438" i="7"/>
  <c r="N437" i="7"/>
  <c r="M437" i="7"/>
  <c r="N436" i="7"/>
  <c r="M436" i="7"/>
  <c r="N435" i="7"/>
  <c r="M435" i="7"/>
  <c r="N434" i="7"/>
  <c r="M434" i="7"/>
  <c r="N433" i="7"/>
  <c r="M433" i="7"/>
  <c r="N432" i="7"/>
  <c r="M432" i="7"/>
  <c r="N431" i="7"/>
  <c r="M431" i="7"/>
  <c r="N430" i="7"/>
  <c r="M430" i="7"/>
  <c r="N429" i="7"/>
  <c r="M429" i="7"/>
  <c r="N428" i="7"/>
  <c r="M428" i="7"/>
  <c r="N427" i="7"/>
  <c r="M427" i="7"/>
  <c r="N426" i="7"/>
  <c r="M426" i="7"/>
  <c r="N425" i="7"/>
  <c r="M425" i="7"/>
  <c r="N424" i="7"/>
  <c r="M424" i="7"/>
  <c r="N423" i="7"/>
  <c r="M423" i="7"/>
  <c r="N422" i="7"/>
  <c r="M422" i="7"/>
  <c r="N421" i="7"/>
  <c r="M421" i="7"/>
  <c r="N420" i="7"/>
  <c r="M420" i="7"/>
  <c r="N419" i="7"/>
  <c r="M419" i="7"/>
  <c r="N418" i="7"/>
  <c r="M418" i="7"/>
  <c r="N417" i="7"/>
  <c r="M417" i="7"/>
  <c r="N416" i="7"/>
  <c r="M416" i="7"/>
  <c r="N415" i="7"/>
  <c r="M415" i="7"/>
  <c r="N414" i="7"/>
  <c r="M414" i="7"/>
  <c r="N413" i="7"/>
  <c r="M413" i="7"/>
  <c r="N412" i="7"/>
  <c r="M412" i="7"/>
  <c r="N411" i="7"/>
  <c r="M411" i="7"/>
  <c r="N410" i="7"/>
  <c r="M410" i="7"/>
  <c r="N409" i="7"/>
  <c r="M409" i="7"/>
  <c r="N408" i="7"/>
  <c r="M408" i="7"/>
  <c r="N407" i="7"/>
  <c r="M407" i="7"/>
  <c r="N406" i="7"/>
  <c r="M406" i="7"/>
  <c r="N405" i="7"/>
  <c r="M405" i="7"/>
  <c r="N404" i="7"/>
  <c r="M404" i="7"/>
  <c r="N403" i="7"/>
  <c r="M403" i="7"/>
  <c r="N402" i="7"/>
  <c r="M402" i="7"/>
  <c r="N401" i="7"/>
  <c r="M401" i="7"/>
  <c r="N400" i="7"/>
  <c r="M400" i="7"/>
  <c r="N399" i="7"/>
  <c r="M399" i="7"/>
  <c r="N398" i="7"/>
  <c r="M398" i="7"/>
  <c r="N397" i="7"/>
  <c r="M397" i="7"/>
  <c r="N396" i="7"/>
  <c r="M396" i="7"/>
  <c r="N395" i="7"/>
  <c r="M395" i="7"/>
  <c r="N394" i="7"/>
  <c r="M394" i="7"/>
  <c r="N393" i="7"/>
  <c r="M393" i="7"/>
  <c r="N392" i="7"/>
  <c r="M392" i="7"/>
  <c r="N391" i="7"/>
  <c r="M391" i="7"/>
  <c r="N390" i="7"/>
  <c r="M390" i="7"/>
  <c r="N389" i="7"/>
  <c r="M389" i="7"/>
  <c r="N388" i="7"/>
  <c r="M388" i="7"/>
  <c r="N387" i="7"/>
  <c r="M387" i="7"/>
  <c r="N386" i="7"/>
  <c r="M386" i="7"/>
  <c r="N385" i="7"/>
  <c r="M385" i="7"/>
  <c r="N384" i="7"/>
  <c r="M384" i="7"/>
  <c r="N383" i="7"/>
  <c r="M383" i="7"/>
  <c r="N382" i="7"/>
  <c r="M382" i="7"/>
  <c r="N381" i="7"/>
  <c r="M381" i="7"/>
  <c r="N380" i="7"/>
  <c r="M380" i="7"/>
  <c r="N379" i="7"/>
  <c r="M379" i="7"/>
  <c r="N378" i="7"/>
  <c r="M378" i="7"/>
  <c r="N377" i="7"/>
  <c r="M377" i="7"/>
  <c r="N376" i="7"/>
  <c r="M376" i="7"/>
  <c r="N375" i="7"/>
  <c r="M375" i="7"/>
  <c r="N374" i="7"/>
  <c r="M374" i="7"/>
  <c r="N373" i="7"/>
  <c r="M373" i="7"/>
  <c r="N372" i="7"/>
  <c r="M372" i="7"/>
  <c r="N371" i="7"/>
  <c r="M371" i="7"/>
  <c r="N370" i="7"/>
  <c r="M370" i="7"/>
  <c r="N369" i="7"/>
  <c r="M369" i="7"/>
  <c r="N368" i="7"/>
  <c r="M368" i="7"/>
  <c r="N367" i="7"/>
  <c r="M367" i="7"/>
  <c r="N366" i="7"/>
  <c r="M366" i="7"/>
  <c r="N365" i="7"/>
  <c r="M365" i="7"/>
  <c r="N364" i="7"/>
  <c r="M364" i="7"/>
  <c r="N363" i="7"/>
  <c r="M363" i="7"/>
  <c r="N362" i="7"/>
  <c r="M362" i="7"/>
  <c r="N361" i="7"/>
  <c r="M361" i="7"/>
  <c r="N360" i="7"/>
  <c r="M360" i="7"/>
  <c r="N359" i="7"/>
  <c r="M359" i="7"/>
  <c r="N358" i="7"/>
  <c r="M358" i="7"/>
  <c r="N357" i="7"/>
  <c r="M357" i="7"/>
  <c r="N356" i="7"/>
  <c r="M356" i="7"/>
  <c r="N355" i="7"/>
  <c r="M355" i="7"/>
  <c r="N354" i="7"/>
  <c r="M354" i="7"/>
  <c r="N353" i="7"/>
  <c r="M353" i="7"/>
  <c r="N352" i="7"/>
  <c r="M352" i="7"/>
  <c r="N351" i="7"/>
  <c r="M351" i="7"/>
  <c r="N350" i="7"/>
  <c r="M350" i="7"/>
  <c r="N349" i="7"/>
  <c r="M349" i="7"/>
  <c r="N348" i="7"/>
  <c r="M348" i="7"/>
  <c r="N347" i="7"/>
  <c r="M347" i="7"/>
  <c r="N346" i="7"/>
  <c r="M346" i="7"/>
  <c r="N345" i="7"/>
  <c r="M345" i="7"/>
  <c r="N344" i="7"/>
  <c r="M344" i="7"/>
  <c r="N343" i="7"/>
  <c r="M343" i="7"/>
  <c r="N342" i="7"/>
  <c r="M342" i="7"/>
  <c r="N341" i="7"/>
  <c r="M341" i="7"/>
  <c r="N340" i="7"/>
  <c r="M340" i="7"/>
  <c r="N339" i="7"/>
  <c r="M339" i="7"/>
  <c r="N338" i="7"/>
  <c r="M338" i="7"/>
  <c r="N337" i="7"/>
  <c r="M337" i="7"/>
  <c r="N336" i="7"/>
  <c r="M336" i="7"/>
  <c r="N335" i="7"/>
  <c r="M335" i="7"/>
  <c r="N334" i="7"/>
  <c r="M334" i="7"/>
  <c r="N333" i="7"/>
  <c r="M333" i="7"/>
  <c r="N332" i="7"/>
  <c r="M332" i="7"/>
  <c r="N331" i="7"/>
  <c r="M331" i="7"/>
  <c r="N330" i="7"/>
  <c r="M330" i="7"/>
  <c r="N329" i="7"/>
  <c r="M329" i="7"/>
  <c r="N328" i="7"/>
  <c r="M328" i="7"/>
  <c r="N327" i="7"/>
  <c r="M327" i="7"/>
  <c r="N326" i="7"/>
  <c r="M326" i="7"/>
  <c r="N325" i="7"/>
  <c r="M325" i="7"/>
  <c r="N324" i="7"/>
  <c r="M324" i="7"/>
  <c r="N323" i="7"/>
  <c r="M323" i="7"/>
  <c r="N322" i="7"/>
  <c r="M322" i="7"/>
  <c r="N321" i="7"/>
  <c r="M321" i="7"/>
  <c r="N320" i="7"/>
  <c r="M320" i="7"/>
  <c r="N319" i="7"/>
  <c r="M319" i="7"/>
  <c r="N318" i="7"/>
  <c r="M318" i="7"/>
  <c r="N317" i="7"/>
  <c r="M317" i="7"/>
  <c r="N316" i="7"/>
  <c r="M316" i="7"/>
  <c r="N315" i="7"/>
  <c r="M315" i="7"/>
  <c r="N314" i="7"/>
  <c r="M314" i="7"/>
  <c r="N313" i="7"/>
  <c r="M313" i="7"/>
  <c r="N312" i="7"/>
  <c r="M312" i="7"/>
  <c r="N311" i="7"/>
  <c r="M311" i="7"/>
  <c r="N310" i="7"/>
  <c r="M310" i="7"/>
  <c r="N309" i="7"/>
  <c r="M309" i="7"/>
  <c r="N308" i="7"/>
  <c r="M308" i="7"/>
  <c r="N307" i="7"/>
  <c r="M307" i="7"/>
  <c r="N306" i="7"/>
  <c r="M306" i="7"/>
  <c r="N305" i="7"/>
  <c r="M305" i="7"/>
  <c r="N304" i="7"/>
  <c r="M304" i="7"/>
  <c r="N303" i="7"/>
  <c r="M303" i="7"/>
  <c r="N302" i="7"/>
  <c r="M302" i="7"/>
  <c r="N301" i="7"/>
  <c r="M301" i="7"/>
  <c r="N300" i="7"/>
  <c r="M300" i="7"/>
  <c r="N299" i="7"/>
  <c r="M299" i="7"/>
  <c r="N298" i="7"/>
  <c r="M298" i="7"/>
  <c r="N297" i="7"/>
  <c r="M297" i="7"/>
  <c r="N296" i="7"/>
  <c r="M296" i="7"/>
  <c r="N295" i="7"/>
  <c r="M295" i="7"/>
  <c r="N294" i="7"/>
  <c r="M294" i="7"/>
  <c r="N293" i="7"/>
  <c r="M293" i="7"/>
  <c r="N292" i="7"/>
  <c r="M292" i="7"/>
  <c r="N291" i="7"/>
  <c r="M291" i="7"/>
  <c r="N290" i="7"/>
  <c r="M290" i="7"/>
  <c r="N289" i="7"/>
  <c r="M289" i="7"/>
  <c r="N288" i="7"/>
  <c r="M288" i="7"/>
  <c r="N287" i="7"/>
  <c r="M287" i="7"/>
  <c r="N286" i="7"/>
  <c r="M286" i="7"/>
  <c r="N285" i="7"/>
  <c r="M285" i="7"/>
  <c r="N284" i="7"/>
  <c r="M284" i="7"/>
  <c r="N283" i="7"/>
  <c r="M283" i="7"/>
  <c r="N282" i="7"/>
  <c r="M282" i="7"/>
  <c r="N281" i="7"/>
  <c r="M281" i="7"/>
  <c r="N280" i="7"/>
  <c r="M280" i="7"/>
  <c r="N279" i="7"/>
  <c r="M279" i="7"/>
  <c r="N278" i="7"/>
  <c r="M278" i="7"/>
  <c r="N277" i="7"/>
  <c r="M277" i="7"/>
  <c r="N276" i="7"/>
  <c r="M276" i="7"/>
  <c r="N275" i="7"/>
  <c r="M275" i="7"/>
  <c r="N274" i="7"/>
  <c r="M274" i="7"/>
  <c r="N273" i="7"/>
  <c r="M273" i="7"/>
  <c r="N272" i="7"/>
  <c r="M272" i="7"/>
  <c r="N271" i="7"/>
  <c r="M271" i="7"/>
  <c r="N270" i="7"/>
  <c r="M270" i="7"/>
  <c r="N269" i="7"/>
  <c r="M269" i="7"/>
  <c r="N268" i="7"/>
  <c r="M268" i="7"/>
  <c r="N267" i="7"/>
  <c r="M267" i="7"/>
  <c r="N266" i="7"/>
  <c r="M266" i="7"/>
  <c r="N265" i="7"/>
  <c r="M265" i="7"/>
  <c r="N264" i="7"/>
  <c r="M264" i="7"/>
  <c r="N263" i="7"/>
  <c r="M263" i="7"/>
  <c r="N262" i="7"/>
  <c r="M262" i="7"/>
  <c r="N261" i="7"/>
  <c r="M261" i="7"/>
  <c r="N260" i="7"/>
  <c r="M260" i="7"/>
  <c r="N259" i="7"/>
  <c r="M259" i="7"/>
  <c r="N258" i="7"/>
  <c r="M258" i="7"/>
  <c r="N257" i="7"/>
  <c r="M257" i="7"/>
  <c r="N256" i="7"/>
  <c r="M256" i="7"/>
  <c r="N255" i="7"/>
  <c r="M255" i="7"/>
  <c r="N254" i="7"/>
  <c r="M254" i="7"/>
  <c r="N253" i="7"/>
  <c r="M253" i="7"/>
  <c r="N252" i="7"/>
  <c r="M252" i="7"/>
  <c r="N251" i="7"/>
  <c r="M251" i="7"/>
  <c r="N250" i="7"/>
  <c r="M250" i="7"/>
  <c r="N249" i="7"/>
  <c r="M249" i="7"/>
  <c r="N248" i="7"/>
  <c r="M248" i="7"/>
  <c r="N247" i="7"/>
  <c r="M247" i="7"/>
  <c r="N246" i="7"/>
  <c r="M246" i="7"/>
  <c r="N245" i="7"/>
  <c r="M245" i="7"/>
  <c r="N244" i="7"/>
  <c r="M244" i="7"/>
  <c r="N243" i="7"/>
  <c r="M243" i="7"/>
  <c r="N242" i="7"/>
  <c r="M242" i="7"/>
  <c r="N241" i="7"/>
  <c r="M241" i="7"/>
  <c r="N240" i="7"/>
  <c r="M240" i="7"/>
  <c r="N239" i="7"/>
  <c r="M239" i="7"/>
  <c r="N238" i="7"/>
  <c r="M238" i="7"/>
  <c r="N237" i="7"/>
  <c r="M237" i="7"/>
  <c r="N236" i="7"/>
  <c r="M236" i="7"/>
  <c r="N235" i="7"/>
  <c r="M235" i="7"/>
  <c r="N234" i="7"/>
  <c r="M234" i="7"/>
  <c r="N233" i="7"/>
  <c r="M233" i="7"/>
  <c r="N232" i="7"/>
  <c r="M232" i="7"/>
  <c r="N231" i="7"/>
  <c r="M231" i="7"/>
  <c r="N230" i="7"/>
  <c r="M230" i="7"/>
  <c r="N229" i="7"/>
  <c r="M229" i="7"/>
  <c r="N228" i="7"/>
  <c r="M228" i="7"/>
  <c r="N227" i="7"/>
  <c r="M227" i="7"/>
  <c r="N226" i="7"/>
  <c r="M226" i="7"/>
  <c r="N225" i="7"/>
  <c r="M225" i="7"/>
  <c r="N224" i="7"/>
  <c r="M224" i="7"/>
  <c r="N223" i="7"/>
  <c r="M223" i="7"/>
  <c r="N222" i="7"/>
  <c r="M222" i="7"/>
  <c r="N221" i="7"/>
  <c r="M221" i="7"/>
  <c r="N220" i="7"/>
  <c r="M220" i="7"/>
  <c r="N219" i="7"/>
  <c r="M219" i="7"/>
  <c r="N218" i="7"/>
  <c r="M218" i="7"/>
  <c r="N217" i="7"/>
  <c r="M217" i="7"/>
  <c r="N216" i="7"/>
  <c r="M216" i="7"/>
  <c r="N215" i="7"/>
  <c r="M215" i="7"/>
  <c r="N214" i="7"/>
  <c r="M214" i="7"/>
  <c r="N213" i="7"/>
  <c r="M213" i="7"/>
  <c r="N212" i="7"/>
  <c r="M212" i="7"/>
  <c r="N211" i="7"/>
  <c r="M211" i="7"/>
  <c r="N210" i="7"/>
  <c r="M210" i="7"/>
  <c r="N209" i="7"/>
  <c r="M209" i="7"/>
  <c r="N208" i="7"/>
  <c r="M208" i="7"/>
  <c r="N207" i="7"/>
  <c r="M207" i="7"/>
  <c r="N206" i="7"/>
  <c r="M206" i="7"/>
  <c r="N205" i="7"/>
  <c r="M205" i="7"/>
  <c r="N204" i="7"/>
  <c r="M204" i="7"/>
  <c r="N203" i="7"/>
  <c r="M203" i="7"/>
  <c r="N202" i="7"/>
  <c r="M202" i="7"/>
  <c r="N201" i="7"/>
  <c r="M201" i="7"/>
  <c r="N200" i="7"/>
  <c r="M200" i="7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M26" i="2" s="1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J165" i="4"/>
  <c r="I165" i="4"/>
  <c r="L164" i="4"/>
  <c r="K164" i="4"/>
  <c r="F164" i="4"/>
  <c r="E164" i="4"/>
  <c r="D164" i="4"/>
  <c r="G163" i="4"/>
  <c r="F163" i="4"/>
  <c r="M162" i="4"/>
  <c r="L162" i="4"/>
  <c r="A162" i="4"/>
  <c r="M161" i="4"/>
  <c r="I161" i="4"/>
  <c r="G161" i="4"/>
  <c r="F161" i="4"/>
  <c r="D161" i="4"/>
  <c r="M160" i="4"/>
  <c r="K160" i="4"/>
  <c r="J160" i="4"/>
  <c r="I160" i="4"/>
  <c r="H160" i="4"/>
  <c r="F160" i="4"/>
  <c r="D160" i="4"/>
  <c r="C160" i="4"/>
  <c r="B160" i="4"/>
  <c r="A160" i="4"/>
  <c r="D159" i="4"/>
  <c r="C159" i="4"/>
  <c r="K158" i="4"/>
  <c r="J158" i="4"/>
  <c r="I158" i="4"/>
  <c r="G158" i="4"/>
  <c r="A158" i="4"/>
  <c r="A157" i="4"/>
  <c r="F156" i="4"/>
  <c r="E156" i="4"/>
  <c r="L155" i="4"/>
  <c r="K155" i="4"/>
  <c r="A155" i="4"/>
  <c r="I153" i="4"/>
  <c r="H153" i="4"/>
  <c r="B153" i="4"/>
  <c r="C152" i="4"/>
  <c r="B152" i="4"/>
  <c r="K151" i="4"/>
  <c r="I151" i="4"/>
  <c r="H151" i="4"/>
  <c r="F151" i="4"/>
  <c r="M150" i="4"/>
  <c r="K150" i="4"/>
  <c r="J150" i="4"/>
  <c r="H150" i="4"/>
  <c r="E150" i="4"/>
  <c r="D150" i="4"/>
  <c r="C150" i="4"/>
  <c r="B150" i="4"/>
  <c r="B39" i="3"/>
  <c r="B36" i="3"/>
  <c r="B33" i="3"/>
  <c r="B32" i="3"/>
  <c r="B31" i="3"/>
  <c r="B28" i="3"/>
  <c r="B26" i="3"/>
  <c r="B25" i="3"/>
  <c r="N23" i="3"/>
  <c r="M23" i="3"/>
  <c r="K23" i="3"/>
  <c r="H23" i="3"/>
  <c r="G23" i="3"/>
  <c r="N20" i="3"/>
  <c r="N39" i="3" s="1"/>
  <c r="M20" i="3"/>
  <c r="M39" i="3" s="1"/>
  <c r="K20" i="3"/>
  <c r="K39" i="3" s="1"/>
  <c r="H20" i="3"/>
  <c r="H39" i="3" s="1"/>
  <c r="G20" i="3"/>
  <c r="F20" i="3"/>
  <c r="E20" i="3"/>
  <c r="F165" i="4" s="1"/>
  <c r="D20" i="3"/>
  <c r="C20" i="3"/>
  <c r="B20" i="3"/>
  <c r="A165" i="4" s="1"/>
  <c r="R19" i="3"/>
  <c r="R38" i="3" s="1"/>
  <c r="L19" i="3"/>
  <c r="L38" i="3" s="1"/>
  <c r="K19" i="3"/>
  <c r="K38" i="3" s="1"/>
  <c r="H19" i="3"/>
  <c r="H38" i="3" s="1"/>
  <c r="F19" i="3"/>
  <c r="E19" i="3"/>
  <c r="H164" i="4" s="1"/>
  <c r="D19" i="3"/>
  <c r="C19" i="3"/>
  <c r="B19" i="3"/>
  <c r="H18" i="3"/>
  <c r="H37" i="3" s="1"/>
  <c r="G18" i="3"/>
  <c r="F18" i="3"/>
  <c r="E18" i="3"/>
  <c r="E163" i="4" s="1"/>
  <c r="D18" i="3"/>
  <c r="C18" i="3"/>
  <c r="B18" i="3"/>
  <c r="B24" i="2" s="1"/>
  <c r="M17" i="3"/>
  <c r="M36" i="3" s="1"/>
  <c r="L17" i="3"/>
  <c r="L36" i="3" s="1"/>
  <c r="H17" i="3"/>
  <c r="H36" i="3" s="1"/>
  <c r="G17" i="3"/>
  <c r="F17" i="3"/>
  <c r="E17" i="3"/>
  <c r="I162" i="4" s="1"/>
  <c r="D17" i="3"/>
  <c r="C17" i="3"/>
  <c r="B17" i="3"/>
  <c r="R16" i="3"/>
  <c r="R35" i="3" s="1"/>
  <c r="K16" i="3"/>
  <c r="K35" i="3" s="1"/>
  <c r="H16" i="3"/>
  <c r="H35" i="3" s="1"/>
  <c r="F16" i="3"/>
  <c r="E16" i="3"/>
  <c r="H161" i="4" s="1"/>
  <c r="D16" i="3"/>
  <c r="C16" i="3"/>
  <c r="B16" i="3"/>
  <c r="O15" i="3"/>
  <c r="O34" i="3" s="1"/>
  <c r="G15" i="3"/>
  <c r="F15" i="3"/>
  <c r="E15" i="3"/>
  <c r="D15" i="3"/>
  <c r="C15" i="3"/>
  <c r="B15" i="3"/>
  <c r="B21" i="2" s="1"/>
  <c r="I21" i="2" s="1"/>
  <c r="G14" i="3"/>
  <c r="G33" i="3" s="1"/>
  <c r="F14" i="3"/>
  <c r="E14" i="3"/>
  <c r="M159" i="4" s="1"/>
  <c r="D14" i="3"/>
  <c r="C14" i="3"/>
  <c r="B14" i="3"/>
  <c r="A159" i="4" s="1"/>
  <c r="Q13" i="3"/>
  <c r="Q32" i="3" s="1"/>
  <c r="K13" i="3"/>
  <c r="K32" i="3" s="1"/>
  <c r="H13" i="3"/>
  <c r="H32" i="3" s="1"/>
  <c r="G13" i="3"/>
  <c r="G32" i="3" s="1"/>
  <c r="F13" i="3"/>
  <c r="E13" i="3"/>
  <c r="F158" i="4" s="1"/>
  <c r="D13" i="3"/>
  <c r="C13" i="3"/>
  <c r="B13" i="3"/>
  <c r="O12" i="3"/>
  <c r="O31" i="3" s="1"/>
  <c r="N12" i="3"/>
  <c r="N31" i="3" s="1"/>
  <c r="L12" i="3"/>
  <c r="L31" i="3" s="1"/>
  <c r="K12" i="3"/>
  <c r="K31" i="3" s="1"/>
  <c r="H12" i="3"/>
  <c r="H31" i="3" s="1"/>
  <c r="F12" i="3"/>
  <c r="E12" i="3"/>
  <c r="D12" i="3"/>
  <c r="C12" i="3"/>
  <c r="B12" i="3"/>
  <c r="K11" i="3"/>
  <c r="K30" i="3" s="1"/>
  <c r="J11" i="3"/>
  <c r="J30" i="3" s="1"/>
  <c r="F11" i="3"/>
  <c r="E11" i="3"/>
  <c r="I156" i="4" s="1"/>
  <c r="D11" i="3"/>
  <c r="C11" i="3"/>
  <c r="B11" i="3"/>
  <c r="A156" i="4" s="1"/>
  <c r="O10" i="3"/>
  <c r="O29" i="3" s="1"/>
  <c r="K10" i="3"/>
  <c r="K29" i="3" s="1"/>
  <c r="H10" i="3"/>
  <c r="H29" i="3" s="1"/>
  <c r="G10" i="3"/>
  <c r="G29" i="3" s="1"/>
  <c r="F10" i="3"/>
  <c r="E10" i="3"/>
  <c r="E155" i="4" s="1"/>
  <c r="D10" i="3"/>
  <c r="C10" i="3"/>
  <c r="B10" i="3"/>
  <c r="B16" i="2" s="1"/>
  <c r="O9" i="3"/>
  <c r="N9" i="3"/>
  <c r="M9" i="3"/>
  <c r="M28" i="3" s="1"/>
  <c r="L9" i="3"/>
  <c r="K9" i="3"/>
  <c r="K28" i="3" s="1"/>
  <c r="H9" i="3"/>
  <c r="H28" i="3" s="1"/>
  <c r="G9" i="3"/>
  <c r="F9" i="3"/>
  <c r="E9" i="3"/>
  <c r="M154" i="4" s="1"/>
  <c r="D9" i="3"/>
  <c r="L28" i="3" s="1"/>
  <c r="C9" i="3"/>
  <c r="B9" i="3"/>
  <c r="A154" i="4" s="1"/>
  <c r="F8" i="3"/>
  <c r="E8" i="3"/>
  <c r="G153" i="4" s="1"/>
  <c r="D8" i="3"/>
  <c r="C8" i="3"/>
  <c r="B8" i="3"/>
  <c r="B27" i="3" s="1"/>
  <c r="O7" i="3"/>
  <c r="O26" i="3" s="1"/>
  <c r="N7" i="3"/>
  <c r="N26" i="3" s="1"/>
  <c r="H7" i="3"/>
  <c r="H26" i="3" s="1"/>
  <c r="G7" i="3"/>
  <c r="G26" i="3" s="1"/>
  <c r="F7" i="3"/>
  <c r="E7" i="3"/>
  <c r="I152" i="4" s="1"/>
  <c r="D7" i="3"/>
  <c r="C7" i="3"/>
  <c r="B7" i="3"/>
  <c r="A152" i="4" s="1"/>
  <c r="O6" i="3"/>
  <c r="N6" i="3"/>
  <c r="M6" i="3"/>
  <c r="L6" i="3"/>
  <c r="K6" i="3"/>
  <c r="H6" i="3"/>
  <c r="G6" i="3"/>
  <c r="F6" i="3"/>
  <c r="E6" i="3"/>
  <c r="J151" i="4" s="1"/>
  <c r="D6" i="3"/>
  <c r="C6" i="3"/>
  <c r="B6" i="3"/>
  <c r="A151" i="4" s="1"/>
  <c r="O5" i="3"/>
  <c r="O24" i="3" s="1"/>
  <c r="K5" i="3"/>
  <c r="K24" i="3" s="1"/>
  <c r="H5" i="3"/>
  <c r="H24" i="3" s="1"/>
  <c r="F5" i="3"/>
  <c r="E5" i="3"/>
  <c r="G150" i="4" s="1"/>
  <c r="D5" i="3"/>
  <c r="C5" i="3"/>
  <c r="B5" i="3"/>
  <c r="B11" i="2" s="1"/>
  <c r="R4" i="3"/>
  <c r="R6" i="3" s="1"/>
  <c r="R25" i="3" s="1"/>
  <c r="Q4" i="3"/>
  <c r="P4" i="3"/>
  <c r="P10" i="3" s="1"/>
  <c r="P29" i="3" s="1"/>
  <c r="O4" i="3"/>
  <c r="O13" i="3" s="1"/>
  <c r="O32" i="3" s="1"/>
  <c r="N4" i="3"/>
  <c r="N10" i="3" s="1"/>
  <c r="N29" i="3" s="1"/>
  <c r="M4" i="3"/>
  <c r="M7" i="3" s="1"/>
  <c r="M26" i="3" s="1"/>
  <c r="L4" i="3"/>
  <c r="L23" i="3" s="1"/>
  <c r="K4" i="3"/>
  <c r="K17" i="3" s="1"/>
  <c r="K36" i="3" s="1"/>
  <c r="J4" i="3"/>
  <c r="I4" i="3"/>
  <c r="H4" i="3"/>
  <c r="H8" i="3" s="1"/>
  <c r="H27" i="3" s="1"/>
  <c r="G4" i="3"/>
  <c r="G5" i="3" s="1"/>
  <c r="M29" i="2"/>
  <c r="M28" i="2"/>
  <c r="M27" i="2"/>
  <c r="I26" i="2"/>
  <c r="B26" i="2"/>
  <c r="J26" i="2" s="1"/>
  <c r="C25" i="2"/>
  <c r="B25" i="2"/>
  <c r="C24" i="2"/>
  <c r="J23" i="2"/>
  <c r="I23" i="2"/>
  <c r="C23" i="2"/>
  <c r="B23" i="2"/>
  <c r="M22" i="2"/>
  <c r="C22" i="2"/>
  <c r="M21" i="2"/>
  <c r="J21" i="2"/>
  <c r="C21" i="2"/>
  <c r="B20" i="2"/>
  <c r="I20" i="2" s="1"/>
  <c r="M19" i="2"/>
  <c r="C19" i="2"/>
  <c r="B19" i="2"/>
  <c r="J19" i="2" s="1"/>
  <c r="B18" i="2"/>
  <c r="J18" i="2" s="1"/>
  <c r="M17" i="2"/>
  <c r="C17" i="2"/>
  <c r="B17" i="2"/>
  <c r="M15" i="2"/>
  <c r="M16" i="2" s="1"/>
  <c r="J15" i="2"/>
  <c r="I15" i="2"/>
  <c r="B15" i="2"/>
  <c r="M14" i="2"/>
  <c r="J14" i="2"/>
  <c r="I14" i="2"/>
  <c r="C14" i="2"/>
  <c r="B14" i="2"/>
  <c r="M13" i="2"/>
  <c r="C13" i="2"/>
  <c r="M12" i="2"/>
  <c r="C12" i="2"/>
  <c r="B12" i="2"/>
  <c r="I12" i="2" s="1"/>
  <c r="M11" i="2"/>
  <c r="C11" i="2"/>
  <c r="C4" i="2"/>
  <c r="B2" i="2"/>
  <c r="M25" i="2" l="1"/>
  <c r="M23" i="2"/>
  <c r="M24" i="2"/>
  <c r="E12" i="2"/>
  <c r="I18" i="2"/>
  <c r="Q19" i="3"/>
  <c r="Q38" i="3" s="1"/>
  <c r="Q12" i="3"/>
  <c r="Q31" i="3" s="1"/>
  <c r="Q6" i="3"/>
  <c r="Q15" i="3"/>
  <c r="Q34" i="3" s="1"/>
  <c r="Q9" i="3"/>
  <c r="Q28" i="3" s="1"/>
  <c r="Q18" i="3"/>
  <c r="Q37" i="3" s="1"/>
  <c r="Q5" i="3"/>
  <c r="Q24" i="3" s="1"/>
  <c r="Q8" i="3"/>
  <c r="Q27" i="3" s="1"/>
  <c r="Q11" i="3"/>
  <c r="Q30" i="3" s="1"/>
  <c r="Q14" i="3"/>
  <c r="Q33" i="3" s="1"/>
  <c r="Q17" i="3"/>
  <c r="Q36" i="3" s="1"/>
  <c r="Q23" i="3"/>
  <c r="Q20" i="3"/>
  <c r="Q39" i="3" s="1"/>
  <c r="Q7" i="3"/>
  <c r="Q26" i="3" s="1"/>
  <c r="Q10" i="3"/>
  <c r="Q29" i="3" s="1"/>
  <c r="J24" i="2"/>
  <c r="I24" i="2"/>
  <c r="R382" i="11"/>
  <c r="I382" i="11"/>
  <c r="H25" i="3"/>
  <c r="P16" i="3"/>
  <c r="P35" i="3" s="1"/>
  <c r="P12" i="3"/>
  <c r="P31" i="3" s="1"/>
  <c r="P19" i="3"/>
  <c r="P38" i="3" s="1"/>
  <c r="P9" i="3"/>
  <c r="P28" i="3" s="1"/>
  <c r="P15" i="3"/>
  <c r="P34" i="3" s="1"/>
  <c r="P6" i="3"/>
  <c r="P25" i="3" s="1"/>
  <c r="P18" i="3"/>
  <c r="P37" i="3" s="1"/>
  <c r="P8" i="3"/>
  <c r="P27" i="3" s="1"/>
  <c r="P11" i="3"/>
  <c r="P30" i="3" s="1"/>
  <c r="P17" i="3"/>
  <c r="P36" i="3" s="1"/>
  <c r="P23" i="3"/>
  <c r="P20" i="3"/>
  <c r="P39" i="3" s="1"/>
  <c r="P7" i="3"/>
  <c r="P26" i="3" s="1"/>
  <c r="K25" i="3"/>
  <c r="L25" i="3"/>
  <c r="N28" i="3"/>
  <c r="G25" i="3"/>
  <c r="M25" i="3"/>
  <c r="O28" i="3"/>
  <c r="K14" i="3"/>
  <c r="K33" i="3" s="1"/>
  <c r="G24" i="3"/>
  <c r="N25" i="3"/>
  <c r="Q16" i="3"/>
  <c r="Q35" i="3" s="1"/>
  <c r="G37" i="3"/>
  <c r="B22" i="2"/>
  <c r="A161" i="4"/>
  <c r="B35" i="3"/>
  <c r="O25" i="3"/>
  <c r="I205" i="11"/>
  <c r="A164" i="4"/>
  <c r="B38" i="3"/>
  <c r="E16" i="2"/>
  <c r="I11" i="3"/>
  <c r="I30" i="3" s="1"/>
  <c r="I10" i="3"/>
  <c r="I29" i="3" s="1"/>
  <c r="I14" i="3"/>
  <c r="I33" i="3" s="1"/>
  <c r="I17" i="3"/>
  <c r="I36" i="3" s="1"/>
  <c r="I23" i="3"/>
  <c r="D14" i="2"/>
  <c r="D25" i="2"/>
  <c r="I20" i="3"/>
  <c r="I39" i="3" s="1"/>
  <c r="I7" i="3"/>
  <c r="I26" i="3" s="1"/>
  <c r="I13" i="3"/>
  <c r="I32" i="3" s="1"/>
  <c r="I16" i="3"/>
  <c r="I35" i="3" s="1"/>
  <c r="I19" i="3"/>
  <c r="I38" i="3" s="1"/>
  <c r="I6" i="3"/>
  <c r="I25" i="3" s="1"/>
  <c r="I9" i="3"/>
  <c r="I28" i="3" s="1"/>
  <c r="E18" i="2"/>
  <c r="I12" i="3"/>
  <c r="I31" i="3" s="1"/>
  <c r="I15" i="3"/>
  <c r="I34" i="3" s="1"/>
  <c r="I18" i="3"/>
  <c r="I37" i="3" s="1"/>
  <c r="I5" i="3"/>
  <c r="I24" i="3" s="1"/>
  <c r="I8" i="3"/>
  <c r="I27" i="3" s="1"/>
  <c r="J16" i="2"/>
  <c r="I16" i="2"/>
  <c r="D13" i="2"/>
  <c r="J14" i="3"/>
  <c r="J33" i="3" s="1"/>
  <c r="J10" i="3"/>
  <c r="J29" i="3" s="1"/>
  <c r="J17" i="3"/>
  <c r="J36" i="3" s="1"/>
  <c r="J13" i="3"/>
  <c r="J32" i="3" s="1"/>
  <c r="J23" i="3"/>
  <c r="J20" i="3"/>
  <c r="J39" i="3" s="1"/>
  <c r="J7" i="3"/>
  <c r="J26" i="3" s="1"/>
  <c r="J16" i="3"/>
  <c r="J35" i="3" s="1"/>
  <c r="J19" i="3"/>
  <c r="J38" i="3" s="1"/>
  <c r="J6" i="3"/>
  <c r="J25" i="3" s="1"/>
  <c r="J9" i="3"/>
  <c r="J28" i="3" s="1"/>
  <c r="J12" i="3"/>
  <c r="J31" i="3" s="1"/>
  <c r="J15" i="3"/>
  <c r="J34" i="3" s="1"/>
  <c r="J18" i="3"/>
  <c r="J37" i="3" s="1"/>
  <c r="J5" i="3"/>
  <c r="J24" i="3" s="1"/>
  <c r="J8" i="3"/>
  <c r="J27" i="3" s="1"/>
  <c r="J11" i="2"/>
  <c r="I11" i="2"/>
  <c r="P5" i="3"/>
  <c r="P24" i="3" s="1"/>
  <c r="J17" i="2"/>
  <c r="I17" i="2"/>
  <c r="C157" i="4"/>
  <c r="L157" i="4"/>
  <c r="I157" i="4"/>
  <c r="H157" i="4"/>
  <c r="G157" i="4"/>
  <c r="F157" i="4"/>
  <c r="E157" i="4"/>
  <c r="D157" i="4"/>
  <c r="B157" i="4"/>
  <c r="M157" i="4"/>
  <c r="C18" i="2"/>
  <c r="G34" i="3"/>
  <c r="J157" i="4"/>
  <c r="D17" i="2"/>
  <c r="D21" i="2"/>
  <c r="J25" i="2"/>
  <c r="I25" i="2"/>
  <c r="J154" i="4"/>
  <c r="C154" i="4"/>
  <c r="L154" i="4"/>
  <c r="K154" i="4"/>
  <c r="I154" i="4"/>
  <c r="H154" i="4"/>
  <c r="G154" i="4"/>
  <c r="F154" i="4"/>
  <c r="E154" i="4"/>
  <c r="D154" i="4"/>
  <c r="B154" i="4"/>
  <c r="C15" i="2"/>
  <c r="P13" i="3"/>
  <c r="P32" i="3" s="1"/>
  <c r="K157" i="4"/>
  <c r="E13" i="2"/>
  <c r="I19" i="2"/>
  <c r="E21" i="2"/>
  <c r="C26" i="2"/>
  <c r="K8" i="3"/>
  <c r="K27" i="3" s="1"/>
  <c r="L11" i="3"/>
  <c r="L30" i="3" s="1"/>
  <c r="G12" i="3"/>
  <c r="R13" i="3"/>
  <c r="R32" i="3" s="1"/>
  <c r="M14" i="3"/>
  <c r="M33" i="3" s="1"/>
  <c r="N17" i="3"/>
  <c r="N36" i="3" s="1"/>
  <c r="O20" i="3"/>
  <c r="O39" i="3" s="1"/>
  <c r="O23" i="3"/>
  <c r="L150" i="4"/>
  <c r="E152" i="4"/>
  <c r="J153" i="4"/>
  <c r="B155" i="4"/>
  <c r="G156" i="4"/>
  <c r="E159" i="4"/>
  <c r="C162" i="4"/>
  <c r="H163" i="4"/>
  <c r="M164" i="4"/>
  <c r="L8" i="3"/>
  <c r="L27" i="3" s="1"/>
  <c r="R10" i="3"/>
  <c r="R29" i="3" s="1"/>
  <c r="M11" i="3"/>
  <c r="M30" i="3" s="1"/>
  <c r="N14" i="3"/>
  <c r="N33" i="3" s="1"/>
  <c r="O17" i="3"/>
  <c r="O36" i="3" s="1"/>
  <c r="F152" i="4"/>
  <c r="K153" i="4"/>
  <c r="C155" i="4"/>
  <c r="H156" i="4"/>
  <c r="F159" i="4"/>
  <c r="D162" i="4"/>
  <c r="I163" i="4"/>
  <c r="R7" i="3"/>
  <c r="R26" i="3" s="1"/>
  <c r="M8" i="3"/>
  <c r="M27" i="3" s="1"/>
  <c r="N11" i="3"/>
  <c r="N30" i="3" s="1"/>
  <c r="O14" i="3"/>
  <c r="O33" i="3" s="1"/>
  <c r="K18" i="3"/>
  <c r="K37" i="3" s="1"/>
  <c r="B30" i="3"/>
  <c r="G39" i="3"/>
  <c r="B151" i="4"/>
  <c r="G152" i="4"/>
  <c r="L153" i="4"/>
  <c r="D155" i="4"/>
  <c r="J156" i="4"/>
  <c r="B158" i="4"/>
  <c r="G159" i="4"/>
  <c r="E162" i="4"/>
  <c r="J163" i="4"/>
  <c r="B165" i="4"/>
  <c r="R289" i="11"/>
  <c r="I289" i="11"/>
  <c r="L5" i="3"/>
  <c r="L24" i="3" s="1"/>
  <c r="N8" i="3"/>
  <c r="N27" i="3" s="1"/>
  <c r="O11" i="3"/>
  <c r="O30" i="3" s="1"/>
  <c r="K15" i="3"/>
  <c r="K34" i="3" s="1"/>
  <c r="L18" i="3"/>
  <c r="L37" i="3" s="1"/>
  <c r="G19" i="3"/>
  <c r="G38" i="3" s="1"/>
  <c r="R20" i="3"/>
  <c r="R39" i="3" s="1"/>
  <c r="R23" i="3"/>
  <c r="C151" i="4"/>
  <c r="H152" i="4"/>
  <c r="M153" i="4"/>
  <c r="K156" i="4"/>
  <c r="C158" i="4"/>
  <c r="H159" i="4"/>
  <c r="F162" i="4"/>
  <c r="K163" i="4"/>
  <c r="C165" i="4"/>
  <c r="R225" i="11"/>
  <c r="I225" i="11"/>
  <c r="R353" i="11"/>
  <c r="I353" i="11"/>
  <c r="M5" i="3"/>
  <c r="M24" i="3" s="1"/>
  <c r="E15" i="2"/>
  <c r="C20" i="2"/>
  <c r="N5" i="3"/>
  <c r="N24" i="3" s="1"/>
  <c r="O8" i="3"/>
  <c r="O27" i="3" s="1"/>
  <c r="M155" i="4"/>
  <c r="F155" i="4"/>
  <c r="L15" i="3"/>
  <c r="L34" i="3" s="1"/>
  <c r="G16" i="3"/>
  <c r="R17" i="3"/>
  <c r="R36" i="3" s="1"/>
  <c r="M18" i="3"/>
  <c r="M37" i="3" s="1"/>
  <c r="B24" i="3"/>
  <c r="D151" i="4"/>
  <c r="G155" i="4"/>
  <c r="L156" i="4"/>
  <c r="D158" i="4"/>
  <c r="J159" i="4"/>
  <c r="B161" i="4"/>
  <c r="G162" i="4"/>
  <c r="L163" i="4"/>
  <c r="E165" i="4"/>
  <c r="D152" i="4"/>
  <c r="M152" i="4"/>
  <c r="R14" i="3"/>
  <c r="R33" i="3" s="1"/>
  <c r="M15" i="3"/>
  <c r="M34" i="3" s="1"/>
  <c r="N18" i="3"/>
  <c r="N37" i="3" s="1"/>
  <c r="B29" i="3"/>
  <c r="E151" i="4"/>
  <c r="J152" i="4"/>
  <c r="H155" i="4"/>
  <c r="M156" i="4"/>
  <c r="E158" i="4"/>
  <c r="K159" i="4"/>
  <c r="C161" i="4"/>
  <c r="H162" i="4"/>
  <c r="M163" i="4"/>
  <c r="R304" i="11"/>
  <c r="I304" i="11"/>
  <c r="R11" i="3"/>
  <c r="R30" i="3" s="1"/>
  <c r="N15" i="3"/>
  <c r="N34" i="3" s="1"/>
  <c r="O18" i="3"/>
  <c r="O37" i="3" s="1"/>
  <c r="K165" i="4"/>
  <c r="D165" i="4"/>
  <c r="B34" i="3"/>
  <c r="A150" i="4"/>
  <c r="K152" i="4"/>
  <c r="I155" i="4"/>
  <c r="L159" i="4"/>
  <c r="B164" i="4"/>
  <c r="G165" i="4"/>
  <c r="R240" i="11"/>
  <c r="I240" i="11"/>
  <c r="I284" i="11"/>
  <c r="R8" i="3"/>
  <c r="R27" i="3" s="1"/>
  <c r="B162" i="4"/>
  <c r="K162" i="4"/>
  <c r="G151" i="4"/>
  <c r="L152" i="4"/>
  <c r="J155" i="4"/>
  <c r="H158" i="4"/>
  <c r="E161" i="4"/>
  <c r="J162" i="4"/>
  <c r="C164" i="4"/>
  <c r="H165" i="4"/>
  <c r="P8" i="8"/>
  <c r="L14" i="3" s="1"/>
  <c r="R176" i="11"/>
  <c r="I176" i="11"/>
  <c r="R318" i="11"/>
  <c r="I318" i="11"/>
  <c r="A153" i="4"/>
  <c r="R254" i="11"/>
  <c r="I254" i="11"/>
  <c r="R5" i="3"/>
  <c r="R24" i="3" s="1"/>
  <c r="R190" i="11"/>
  <c r="I190" i="11"/>
  <c r="R299" i="11"/>
  <c r="I299" i="11"/>
  <c r="R15" i="3"/>
  <c r="R34" i="3" s="1"/>
  <c r="M16" i="3"/>
  <c r="M35" i="3" s="1"/>
  <c r="C153" i="4"/>
  <c r="A163" i="4"/>
  <c r="R235" i="11"/>
  <c r="I235" i="11"/>
  <c r="R274" i="11"/>
  <c r="I274" i="11"/>
  <c r="I279" i="11"/>
  <c r="R338" i="11"/>
  <c r="I338" i="11"/>
  <c r="R402" i="11"/>
  <c r="I402" i="11"/>
  <c r="G36" i="3"/>
  <c r="N19" i="3"/>
  <c r="N38" i="3" s="1"/>
  <c r="B37" i="3"/>
  <c r="L165" i="4"/>
  <c r="D11" i="2"/>
  <c r="J12" i="2"/>
  <c r="J20" i="2"/>
  <c r="K7" i="3"/>
  <c r="K26" i="3" s="1"/>
  <c r="L10" i="3"/>
  <c r="L29" i="3" s="1"/>
  <c r="G11" i="3"/>
  <c r="R12" i="3"/>
  <c r="R31" i="3" s="1"/>
  <c r="M13" i="3"/>
  <c r="M32" i="3" s="1"/>
  <c r="H14" i="3"/>
  <c r="H33" i="3" s="1"/>
  <c r="N16" i="3"/>
  <c r="N35" i="3" s="1"/>
  <c r="O19" i="3"/>
  <c r="E25" i="2" s="1"/>
  <c r="F150" i="4"/>
  <c r="L151" i="4"/>
  <c r="D153" i="4"/>
  <c r="B156" i="4"/>
  <c r="L158" i="4"/>
  <c r="J161" i="4"/>
  <c r="B163" i="4"/>
  <c r="G164" i="4"/>
  <c r="M165" i="4"/>
  <c r="R171" i="11"/>
  <c r="I171" i="11"/>
  <c r="R210" i="11"/>
  <c r="I210" i="11"/>
  <c r="I215" i="11"/>
  <c r="R363" i="11"/>
  <c r="I363" i="11"/>
  <c r="I159" i="4"/>
  <c r="B159" i="4"/>
  <c r="L16" i="3"/>
  <c r="L35" i="3" s="1"/>
  <c r="R18" i="3"/>
  <c r="R37" i="3" s="1"/>
  <c r="M19" i="3"/>
  <c r="M38" i="3" s="1"/>
  <c r="G28" i="3"/>
  <c r="L7" i="3"/>
  <c r="L26" i="3" s="1"/>
  <c r="G8" i="3"/>
  <c r="R9" i="3"/>
  <c r="R28" i="3" s="1"/>
  <c r="M10" i="3"/>
  <c r="M29" i="3" s="1"/>
  <c r="N13" i="3"/>
  <c r="N32" i="3" s="1"/>
  <c r="O16" i="3"/>
  <c r="O35" i="3" s="1"/>
  <c r="E153" i="4"/>
  <c r="C156" i="4"/>
  <c r="C163" i="4"/>
  <c r="I397" i="11"/>
  <c r="L13" i="3"/>
  <c r="L32" i="3" s="1"/>
  <c r="E11" i="2"/>
  <c r="C16" i="2"/>
  <c r="E19" i="2"/>
  <c r="M151" i="4"/>
  <c r="M158" i="4"/>
  <c r="K161" i="4"/>
  <c r="I164" i="4"/>
  <c r="B13" i="2"/>
  <c r="D16" i="2"/>
  <c r="L160" i="4"/>
  <c r="E160" i="4"/>
  <c r="L20" i="3"/>
  <c r="L39" i="3" s="1"/>
  <c r="I150" i="4"/>
  <c r="F153" i="4"/>
  <c r="D156" i="4"/>
  <c r="G160" i="4"/>
  <c r="L161" i="4"/>
  <c r="D163" i="4"/>
  <c r="J164" i="4"/>
  <c r="I333" i="11"/>
  <c r="R166" i="11"/>
  <c r="I166" i="11"/>
  <c r="R230" i="11"/>
  <c r="I230" i="11"/>
  <c r="R294" i="11"/>
  <c r="I294" i="11"/>
  <c r="R358" i="11"/>
  <c r="I358" i="11"/>
  <c r="I6" i="11"/>
  <c r="I10" i="11"/>
  <c r="I14" i="11"/>
  <c r="I18" i="11"/>
  <c r="I22" i="11"/>
  <c r="I26" i="11"/>
  <c r="I30" i="11"/>
  <c r="I34" i="11"/>
  <c r="I38" i="11"/>
  <c r="I42" i="11"/>
  <c r="I46" i="11"/>
  <c r="I50" i="11"/>
  <c r="I54" i="11"/>
  <c r="I58" i="11"/>
  <c r="I62" i="11"/>
  <c r="I66" i="11"/>
  <c r="I70" i="11"/>
  <c r="I74" i="11"/>
  <c r="I78" i="11"/>
  <c r="I82" i="11"/>
  <c r="I86" i="11"/>
  <c r="I90" i="11"/>
  <c r="I94" i="11"/>
  <c r="I98" i="11"/>
  <c r="I102" i="11"/>
  <c r="I106" i="11"/>
  <c r="I110" i="11"/>
  <c r="I114" i="11"/>
  <c r="I118" i="11"/>
  <c r="I122" i="11"/>
  <c r="I126" i="11"/>
  <c r="I130" i="11"/>
  <c r="I134" i="11"/>
  <c r="I138" i="11"/>
  <c r="I142" i="11"/>
  <c r="I146" i="11"/>
  <c r="I150" i="11"/>
  <c r="I154" i="11"/>
  <c r="I158" i="11"/>
  <c r="I162" i="11"/>
  <c r="I181" i="11"/>
  <c r="R186" i="11"/>
  <c r="I186" i="11"/>
  <c r="I191" i="11"/>
  <c r="I196" i="11"/>
  <c r="R211" i="11"/>
  <c r="I245" i="11"/>
  <c r="R250" i="11"/>
  <c r="I250" i="11"/>
  <c r="I255" i="11"/>
  <c r="I260" i="11"/>
  <c r="R275" i="11"/>
  <c r="I309" i="11"/>
  <c r="R314" i="11"/>
  <c r="I314" i="11"/>
  <c r="I319" i="11"/>
  <c r="I324" i="11"/>
  <c r="R339" i="11"/>
  <c r="I373" i="11"/>
  <c r="R378" i="11"/>
  <c r="I378" i="11"/>
  <c r="I383" i="11"/>
  <c r="R403" i="11"/>
  <c r="R206" i="11"/>
  <c r="I206" i="11"/>
  <c r="R270" i="11"/>
  <c r="I270" i="11"/>
  <c r="R334" i="11"/>
  <c r="I334" i="11"/>
  <c r="R398" i="11"/>
  <c r="I398" i="11"/>
  <c r="I167" i="11"/>
  <c r="I172" i="11"/>
  <c r="R187" i="11"/>
  <c r="I221" i="11"/>
  <c r="R226" i="11"/>
  <c r="I226" i="11"/>
  <c r="I231" i="11"/>
  <c r="I236" i="11"/>
  <c r="R251" i="11"/>
  <c r="I285" i="11"/>
  <c r="R290" i="11"/>
  <c r="I290" i="11"/>
  <c r="I295" i="11"/>
  <c r="I300" i="11"/>
  <c r="R315" i="11"/>
  <c r="I349" i="11"/>
  <c r="R354" i="11"/>
  <c r="I354" i="11"/>
  <c r="I359" i="11"/>
  <c r="R379" i="11"/>
  <c r="R418" i="11"/>
  <c r="I418" i="11"/>
  <c r="I177" i="11"/>
  <c r="R182" i="11"/>
  <c r="I182" i="11"/>
  <c r="I187" i="11"/>
  <c r="I192" i="11"/>
  <c r="I241" i="11"/>
  <c r="R246" i="11"/>
  <c r="I246" i="11"/>
  <c r="I251" i="11"/>
  <c r="I256" i="11"/>
  <c r="I305" i="11"/>
  <c r="R310" i="11"/>
  <c r="I310" i="11"/>
  <c r="I315" i="11"/>
  <c r="I320" i="11"/>
  <c r="I369" i="11"/>
  <c r="R374" i="11"/>
  <c r="I374" i="11"/>
  <c r="I379" i="11"/>
  <c r="R202" i="11"/>
  <c r="I202" i="11"/>
  <c r="R266" i="11"/>
  <c r="I266" i="11"/>
  <c r="R330" i="11"/>
  <c r="I330" i="11"/>
  <c r="R394" i="11"/>
  <c r="I394" i="11"/>
  <c r="I168" i="11"/>
  <c r="R183" i="11"/>
  <c r="I217" i="11"/>
  <c r="R222" i="11"/>
  <c r="I222" i="11"/>
  <c r="I227" i="11"/>
  <c r="I232" i="11"/>
  <c r="R247" i="11"/>
  <c r="I281" i="11"/>
  <c r="R286" i="11"/>
  <c r="I286" i="11"/>
  <c r="I291" i="11"/>
  <c r="I296" i="11"/>
  <c r="R311" i="11"/>
  <c r="I345" i="11"/>
  <c r="R350" i="11"/>
  <c r="I350" i="11"/>
  <c r="I355" i="11"/>
  <c r="R375" i="11"/>
  <c r="I409" i="11"/>
  <c r="R414" i="11"/>
  <c r="I414" i="11"/>
  <c r="R178" i="11"/>
  <c r="I178" i="11"/>
  <c r="R203" i="11"/>
  <c r="R242" i="11"/>
  <c r="I242" i="11"/>
  <c r="R267" i="11"/>
  <c r="R306" i="11"/>
  <c r="I306" i="11"/>
  <c r="R331" i="11"/>
  <c r="R370" i="11"/>
  <c r="I370" i="11"/>
  <c r="R395" i="11"/>
  <c r="I193" i="11"/>
  <c r="R198" i="11"/>
  <c r="I198" i="11"/>
  <c r="I203" i="11"/>
  <c r="I208" i="11"/>
  <c r="I257" i="11"/>
  <c r="R262" i="11"/>
  <c r="I262" i="11"/>
  <c r="I267" i="11"/>
  <c r="I272" i="11"/>
  <c r="I321" i="11"/>
  <c r="R326" i="11"/>
  <c r="I326" i="11"/>
  <c r="I331" i="11"/>
  <c r="I385" i="11"/>
  <c r="R390" i="11"/>
  <c r="I390" i="11"/>
  <c r="R179" i="11"/>
  <c r="R218" i="11"/>
  <c r="I218" i="11"/>
  <c r="R282" i="11"/>
  <c r="I282" i="11"/>
  <c r="R346" i="11"/>
  <c r="I346" i="11"/>
  <c r="R410" i="11"/>
  <c r="I410" i="11"/>
  <c r="I169" i="11"/>
  <c r="R174" i="11"/>
  <c r="I174" i="11"/>
  <c r="I179" i="11"/>
  <c r="I184" i="11"/>
  <c r="R199" i="11"/>
  <c r="I233" i="11"/>
  <c r="R238" i="11"/>
  <c r="I238" i="11"/>
  <c r="I243" i="11"/>
  <c r="I248" i="11"/>
  <c r="R263" i="11"/>
  <c r="I297" i="11"/>
  <c r="R302" i="11"/>
  <c r="I302" i="11"/>
  <c r="I307" i="11"/>
  <c r="I312" i="11"/>
  <c r="R327" i="11"/>
  <c r="I361" i="11"/>
  <c r="R366" i="11"/>
  <c r="I366" i="11"/>
  <c r="I371" i="11"/>
  <c r="R391" i="11"/>
  <c r="R194" i="11"/>
  <c r="I194" i="11"/>
  <c r="R258" i="11"/>
  <c r="I258" i="11"/>
  <c r="R322" i="11"/>
  <c r="I322" i="11"/>
  <c r="R386" i="11"/>
  <c r="I386" i="11"/>
  <c r="R175" i="11"/>
  <c r="R214" i="11"/>
  <c r="I214" i="11"/>
  <c r="I219" i="11"/>
  <c r="R239" i="11"/>
  <c r="R278" i="11"/>
  <c r="I278" i="11"/>
  <c r="I283" i="11"/>
  <c r="R303" i="11"/>
  <c r="R342" i="11"/>
  <c r="I342" i="11"/>
  <c r="I347" i="11"/>
  <c r="R367" i="11"/>
  <c r="R406" i="11"/>
  <c r="I406" i="11"/>
  <c r="R170" i="11"/>
  <c r="I170" i="11"/>
  <c r="I175" i="11"/>
  <c r="R195" i="11"/>
  <c r="R234" i="11"/>
  <c r="I234" i="11"/>
  <c r="I239" i="11"/>
  <c r="R259" i="11"/>
  <c r="R298" i="11"/>
  <c r="I298" i="11"/>
  <c r="I303" i="11"/>
  <c r="R323" i="11"/>
  <c r="R362" i="11"/>
  <c r="I362" i="11"/>
  <c r="I367" i="11"/>
  <c r="R387" i="11"/>
  <c r="I422" i="11"/>
  <c r="I426" i="11"/>
  <c r="I430" i="11"/>
  <c r="I434" i="11"/>
  <c r="I438" i="11"/>
  <c r="I442" i="11"/>
  <c r="I446" i="11"/>
  <c r="I450" i="11"/>
  <c r="I454" i="11"/>
  <c r="I458" i="11"/>
  <c r="I462" i="11"/>
  <c r="I466" i="11"/>
  <c r="I470" i="11"/>
  <c r="I474" i="11"/>
  <c r="I478" i="11"/>
  <c r="I482" i="11"/>
  <c r="I486" i="11"/>
  <c r="I490" i="11"/>
  <c r="D15" i="2" l="1"/>
  <c r="V13" i="3"/>
  <c r="D18" i="2"/>
  <c r="H43" i="3"/>
  <c r="E23" i="2"/>
  <c r="V10" i="3"/>
  <c r="S13" i="3"/>
  <c r="T13" i="3" s="1"/>
  <c r="K42" i="3"/>
  <c r="K43" i="3"/>
  <c r="U10" i="3"/>
  <c r="U13" i="3"/>
  <c r="E14" i="2"/>
  <c r="F14" i="2" s="1"/>
  <c r="G14" i="2" s="1"/>
  <c r="V7" i="3"/>
  <c r="L33" i="3"/>
  <c r="M18" i="2"/>
  <c r="F25" i="2"/>
  <c r="G25" i="2" s="1"/>
  <c r="H25" i="2"/>
  <c r="S20" i="3"/>
  <c r="T20" i="3" s="1"/>
  <c r="R43" i="3"/>
  <c r="R41" i="3"/>
  <c r="R42" i="3"/>
  <c r="H41" i="3"/>
  <c r="S12" i="3"/>
  <c r="T12" i="3" s="1"/>
  <c r="G31" i="3"/>
  <c r="D24" i="2"/>
  <c r="H42" i="3"/>
  <c r="H14" i="2"/>
  <c r="F18" i="2"/>
  <c r="G18" i="2" s="1"/>
  <c r="H18" i="2"/>
  <c r="Q41" i="3"/>
  <c r="O38" i="3"/>
  <c r="O41" i="3" s="1"/>
  <c r="S19" i="3"/>
  <c r="T19" i="3" s="1"/>
  <c r="G35" i="3"/>
  <c r="S16" i="3"/>
  <c r="T16" i="3" s="1"/>
  <c r="U15" i="3"/>
  <c r="V15" i="3"/>
  <c r="H16" i="2"/>
  <c r="F16" i="2"/>
  <c r="G16" i="2" s="1"/>
  <c r="S10" i="3"/>
  <c r="T10" i="3" s="1"/>
  <c r="S15" i="3"/>
  <c r="T15" i="3" s="1"/>
  <c r="E24" i="2"/>
  <c r="D26" i="2"/>
  <c r="E17" i="2"/>
  <c r="F17" i="2" s="1"/>
  <c r="G17" i="2" s="1"/>
  <c r="L43" i="3"/>
  <c r="L42" i="3"/>
  <c r="L41" i="3"/>
  <c r="I13" i="2"/>
  <c r="J13" i="2"/>
  <c r="S11" i="3"/>
  <c r="T11" i="3" s="1"/>
  <c r="G30" i="3"/>
  <c r="J22" i="2"/>
  <c r="I22" i="2"/>
  <c r="G27" i="3"/>
  <c r="S8" i="3"/>
  <c r="T8" i="3" s="1"/>
  <c r="E26" i="2"/>
  <c r="D22" i="2"/>
  <c r="S18" i="3"/>
  <c r="T18" i="3" s="1"/>
  <c r="D12" i="2"/>
  <c r="V20" i="3"/>
  <c r="U20" i="3"/>
  <c r="N42" i="3"/>
  <c r="N43" i="3"/>
  <c r="N41" i="3"/>
  <c r="V18" i="3"/>
  <c r="U18" i="3"/>
  <c r="Q25" i="3"/>
  <c r="V6" i="3" s="1"/>
  <c r="S6" i="3"/>
  <c r="T6" i="3" s="1"/>
  <c r="E22" i="2"/>
  <c r="K41" i="3"/>
  <c r="K44" i="3" s="1"/>
  <c r="D19" i="2"/>
  <c r="V17" i="3"/>
  <c r="U17" i="3"/>
  <c r="V9" i="3"/>
  <c r="U9" i="3"/>
  <c r="S17" i="3"/>
  <c r="T17" i="3" s="1"/>
  <c r="E20" i="2"/>
  <c r="V5" i="3"/>
  <c r="U5" i="3"/>
  <c r="M41" i="3"/>
  <c r="M42" i="3"/>
  <c r="M43" i="3"/>
  <c r="S5" i="3"/>
  <c r="T5" i="3" s="1"/>
  <c r="S9" i="3"/>
  <c r="T9" i="3" s="1"/>
  <c r="I42" i="3"/>
  <c r="I43" i="3"/>
  <c r="I41" i="3"/>
  <c r="J42" i="3"/>
  <c r="J43" i="3"/>
  <c r="J41" i="3"/>
  <c r="H13" i="2"/>
  <c r="F13" i="2"/>
  <c r="G13" i="2" s="1"/>
  <c r="D23" i="2"/>
  <c r="H21" i="2"/>
  <c r="F21" i="2"/>
  <c r="G21" i="2" s="1"/>
  <c r="S7" i="3"/>
  <c r="T7" i="3" s="1"/>
  <c r="U7" i="3"/>
  <c r="P14" i="3"/>
  <c r="F11" i="2"/>
  <c r="G11" i="2" s="1"/>
  <c r="H11" i="2"/>
  <c r="F15" i="2"/>
  <c r="G15" i="2" s="1"/>
  <c r="H15" i="2"/>
  <c r="H17" i="2"/>
  <c r="Q42" i="3" l="1"/>
  <c r="Q43" i="3"/>
  <c r="G41" i="3"/>
  <c r="M44" i="3"/>
  <c r="G42" i="3"/>
  <c r="N44" i="3"/>
  <c r="U6" i="3"/>
  <c r="L44" i="3"/>
  <c r="Q44" i="3"/>
  <c r="J44" i="3"/>
  <c r="H44" i="3"/>
  <c r="H23" i="2"/>
  <c r="F23" i="2"/>
  <c r="G23" i="2" s="1"/>
  <c r="U19" i="3"/>
  <c r="V19" i="3"/>
  <c r="I44" i="3"/>
  <c r="H12" i="2"/>
  <c r="F12" i="2"/>
  <c r="G12" i="2" s="1"/>
  <c r="F26" i="2"/>
  <c r="G26" i="2" s="1"/>
  <c r="H26" i="2"/>
  <c r="R44" i="3"/>
  <c r="O43" i="3"/>
  <c r="H22" i="2"/>
  <c r="F22" i="2"/>
  <c r="G22" i="2" s="1"/>
  <c r="F19" i="2"/>
  <c r="G19" i="2" s="1"/>
  <c r="H19" i="2"/>
  <c r="U8" i="3"/>
  <c r="V8" i="3"/>
  <c r="P33" i="3"/>
  <c r="D20" i="2"/>
  <c r="O42" i="3"/>
  <c r="V11" i="3"/>
  <c r="U11" i="3"/>
  <c r="H24" i="2"/>
  <c r="F24" i="2"/>
  <c r="G24" i="2" s="1"/>
  <c r="S14" i="3"/>
  <c r="T14" i="3" s="1"/>
  <c r="G43" i="3"/>
  <c r="V16" i="3"/>
  <c r="U16" i="3"/>
  <c r="V12" i="3"/>
  <c r="U12" i="3"/>
  <c r="G44" i="3" l="1"/>
  <c r="O44" i="3"/>
  <c r="H20" i="2"/>
  <c r="E7" i="2" s="1"/>
  <c r="F20" i="2"/>
  <c r="G20" i="2" s="1"/>
  <c r="I7" i="2"/>
  <c r="V14" i="3"/>
  <c r="U14" i="3"/>
  <c r="P43" i="3"/>
  <c r="P41" i="3"/>
  <c r="P42" i="3"/>
  <c r="C7" i="2"/>
  <c r="P44" i="3" l="1"/>
  <c r="G7" i="2"/>
  <c r="B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100-000001000000}">
      <text>
        <r>
          <rPr>
            <sz val="10"/>
            <rFont val="Arial"/>
            <family val="2"/>
          </rPr>
          <t>Pick any month from the list to review it (defaults to the current reporting month).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1200-000001000000}">
      <text>
        <r>
          <rPr>
            <sz val="10"/>
            <rFont val="Arial"/>
            <family val="2"/>
          </rPr>
          <t>Months AFTER this date are left blank in KPI_Tracking. Defaults to the current month; overwrite with a fixed date to freeze a reporting period.</t>
        </r>
      </text>
    </comment>
    <comment ref="B7" authorId="0" shapeId="0" xr:uid="{00000000-0006-0000-1200-000002000000}">
      <text>
        <r>
          <rPr>
            <sz val="10"/>
            <rFont val="Arial"/>
            <family val="2"/>
          </rPr>
          <t>A completed project is 'within budget' if Final cost &lt;= BAC x (1 + tolerance).</t>
        </r>
      </text>
    </comment>
  </commentList>
</comments>
</file>

<file path=xl/sharedStrings.xml><?xml version="1.0" encoding="utf-8"?>
<sst xmlns="http://schemas.openxmlformats.org/spreadsheetml/2006/main" count="2334" uniqueCount="854">
  <si>
    <t>Project Management KPI Tracker – User Guide</t>
  </si>
  <si>
    <t>Covers all 16 KPIs: target setting → data capture → automatic calculation → RAG monitoring → corrective actions → verified improvement.</t>
  </si>
  <si>
    <t>HOW IT WORKS – MONTHLY CYCLE</t>
  </si>
  <si>
    <t>1. Set targets</t>
  </si>
  <si>
    <t>KPI_Targets: set Target, Amber limit, Direction and Owner for each KPI. Any later change → one row in Target_Revisions (date, old/new, reason, approver).</t>
  </si>
  <si>
    <t>2. Capture data</t>
  </si>
  <si>
    <t>Fill the green-tab logs during the month (Projects, Cost_Schedule, Change_Log, Risk_Log, Issue_Log, Stakeholder_Survey, Resources, Milestones, Quality_Log, Benefits_Log, CI_Log). Only type in YELLOW cells; grey cells calculate.</t>
  </si>
  <si>
    <t>3. Review</t>
  </si>
  <si>
    <t>KPI_Tracking calculates every KPI per month and colours it GREEN / AMBER / RED. Dashboard shows the selected month, trend vs previous month and the portfolio snapshot. Trends shows all 16 charts.</t>
  </si>
  <si>
    <t>4. Act</t>
  </si>
  <si>
    <t>For every AMBER/RED KPI open a row in Action_Log: value before, root cause, action, owner, due date. Due status flags OVERDUE automatically.</t>
  </si>
  <si>
    <t>5. Verify the change</t>
  </si>
  <si>
    <t>When implemented, enter the date and the KPI value after. 'Result' shows Improved / No change / Worse (direction-aware). Process improvements go to CI_Log with 'Benefit verified'.</t>
  </si>
  <si>
    <t>6. Close the month</t>
  </si>
  <si>
    <t>Settings › Current reporting month defaults to today's month. Overwrite it with a fixed date to freeze a reported period.</t>
  </si>
  <si>
    <t>SHEET MAP</t>
  </si>
  <si>
    <t>Dashboard</t>
  </si>
  <si>
    <t>One-page view: RAG tiles, 16 KPI table (target, actual, previous, trend, status, actions), portfolio snapshot, 7 charts.</t>
  </si>
  <si>
    <t>KPI_Tracking</t>
  </si>
  <si>
    <t>Engine: monthly actuals (12 months) for all 16 KPIs, latest value, RAG grid, count of GREEN/AMBER/RED per month.</t>
  </si>
  <si>
    <t>Trends</t>
  </si>
  <si>
    <t>16 charts – bars = actual, dashed red line = target.</t>
  </si>
  <si>
    <t>KPI_Targets</t>
  </si>
  <si>
    <t>Definitions, calculation method, unit, direction, target, amber limit, owner, watch-outs.</t>
  </si>
  <si>
    <t>Target_Revisions</t>
  </si>
  <si>
    <t>Audit trail of target changes.</t>
  </si>
  <si>
    <t>Action_Log</t>
  </si>
  <si>
    <t>Corrective actions / implemented changes with before–after effectiveness check.</t>
  </si>
  <si>
    <t>Projects</t>
  </si>
  <si>
    <t>Register → On-Time Delivery (#4) and Project Success Rate (#10).</t>
  </si>
  <si>
    <t>Cost_Schedule</t>
  </si>
  <si>
    <t>Monthly earned value per project → Schedule Variance (#1), Cost Variance (#2), Budget Utilization (#3).</t>
  </si>
  <si>
    <t>Change_Log</t>
  </si>
  <si>
    <t>Change requests → Scope Change Frequency (#5) and CR Approval Time (#13).</t>
  </si>
  <si>
    <t>Risk_Log</t>
  </si>
  <si>
    <t>Risk register → Risk Mitigation Effectiveness (#6).</t>
  </si>
  <si>
    <t>Issue_Log</t>
  </si>
  <si>
    <t>Issues → Issue Resolution Time (#7).</t>
  </si>
  <si>
    <t>Stakeholder_Survey</t>
  </si>
  <si>
    <t>Survey scores → Stakeholder Satisfaction (#8).</t>
  </si>
  <si>
    <t>Resources</t>
  </si>
  <si>
    <t>Hours and output per team → Resource Utilization (#9) and Team Productivity Index (#14).</t>
  </si>
  <si>
    <t>Milestones</t>
  </si>
  <si>
    <t>Baseline vs actual → Milestone Completion Rate (#11).</t>
  </si>
  <si>
    <t>Quality_Log</t>
  </si>
  <si>
    <t>Inspections → Project Quality Index (#12).</t>
  </si>
  <si>
    <t>Benefits_Log</t>
  </si>
  <si>
    <t>Planned vs realised benefits → Benefits Realization (#15).</t>
  </si>
  <si>
    <t>CI_Log</t>
  </si>
  <si>
    <t>Improvement initiatives → Continuous Improvement (#16).</t>
  </si>
  <si>
    <t>Settings</t>
  </si>
  <si>
    <t>Year start, current month, budget tolerance, and all drop-down lists.</t>
  </si>
  <si>
    <t>COLOUR CODE</t>
  </si>
  <si>
    <t>Yellow cell / blue text</t>
  </si>
  <si>
    <t>Input – type here.</t>
  </si>
  <si>
    <t>Grey cell / black text</t>
  </si>
  <si>
    <t>Formula – do not overwrite.</t>
  </si>
  <si>
    <t>Green text</t>
  </si>
  <si>
    <t>Value pulled from another sheet (e.g. targets in KPI_Tracking).</t>
  </si>
  <si>
    <t>GREEN / AMBER / RED</t>
  </si>
  <si>
    <t>Higher-is-better KPI: GREEN ≥ target, AMBER ≥ amber limit, else RED. Lower-is-better KPI: GREEN ≤ target, AMBER ≤ amber limit, else RED.</t>
  </si>
  <si>
    <t>BEFORE YOU USE IT FOR REAL</t>
  </si>
  <si>
    <t>Sample data</t>
  </si>
  <si>
    <t>All logs contain realistic sample data (Jan–Oct 2026) so you can see the dashboard working. Select the yellow cells in each log and press Delete – keep the grey formula columns.</t>
  </si>
  <si>
    <t>Dates</t>
  </si>
  <si>
    <t>Months in Cost_Schedule and Resources must be the 1st of the month. All logs accept ~500 rows (Projects 100).</t>
  </si>
  <si>
    <t>Missing data</t>
  </si>
  <si>
    <t>If a log has no entry for a month, that KPI shows blank (not zero) and is counted as NO DATA on the Dashboard.</t>
  </si>
  <si>
    <t>Charts</t>
  </si>
  <si>
    <t>Blank months show no bar. Add rows inside the existing ranges – formulas already cover them.</t>
  </si>
  <si>
    <t>KPI DESIGN CHALLENGES – read once</t>
  </si>
  <si>
    <t>Overlaps</t>
  </si>
  <si>
    <t>Budget Utilization alone is misleading: 100% of budget spent on 70% of the work looks 'perfect'. Always read it with Cost Variance (#2) – that is why both are calculated from the same EVM data.</t>
  </si>
  <si>
    <t>Schedule variance</t>
  </si>
  <si>
    <t>The picture says 'timelines'. Date-only variance hides partial progress; this workbook uses earned value (SV%) and keeps milestone dates in #11 and project finish dates in #4.</t>
  </si>
  <si>
    <t>Small samples</t>
  </si>
  <si>
    <t>On-Time Delivery and Success Rate run YTD because only a few projects finish per month. One late project can move the % by 20+ points – look at the count, not only the %.</t>
  </si>
  <si>
    <t>Utilisation</t>
  </si>
  <si>
    <t>Higher is not always better. Sustained &gt;95% resource utilisation means no slack for breakdowns or learning; treat it as a warning, not a win.</t>
  </si>
  <si>
    <t>Productivity</t>
  </si>
  <si>
    <t>A 'Team Productivity Index' is only meaningful if each team defines one stable output unit (m drilled, t moved, WOs closed). Changing the unit mid-year breaks the trend.</t>
  </si>
  <si>
    <t>Continuous improvement</t>
  </si>
  <si>
    <t>Counting initiatives measures activity, not improvement. Use 'Benefit verified' in CI_Log and the before/after values in Action_Log to prove impact.</t>
  </si>
  <si>
    <t>Targets</t>
  </si>
  <si>
    <t>Set targets from your own baseline (last 6–12 months) before stretching them, and log every change – moving targets silently destroys trend credibility.</t>
  </si>
  <si>
    <t>PROJECT MANAGEMENT KPI DASHBOARD</t>
  </si>
  <si>
    <t>Reporting month ▶</t>
  </si>
  <si>
    <t>← select a month from the drop-down</t>
  </si>
  <si>
    <t>KPI status this month</t>
  </si>
  <si>
    <t>GREEN</t>
  </si>
  <si>
    <t>AMBER</t>
  </si>
  <si>
    <t>RED</t>
  </si>
  <si>
    <t>NO DATA</t>
  </si>
  <si>
    <t>KPI</t>
  </si>
  <si>
    <t>Target</t>
  </si>
  <si>
    <t>Actual</t>
  </si>
  <si>
    <t>Prev. month</t>
  </si>
  <si>
    <t>Change</t>
  </si>
  <si>
    <t>Trend</t>
  </si>
  <si>
    <t>Status</t>
  </si>
  <si>
    <t>Open actions</t>
  </si>
  <si>
    <t>Actions done</t>
  </si>
  <si>
    <t>PORTFOLIO SNAPSHOT (live)</t>
  </si>
  <si>
    <t>Projects registered</t>
  </si>
  <si>
    <t>Active projects</t>
  </si>
  <si>
    <t>Completed projects</t>
  </si>
  <si>
    <t>Total budget (BAC)</t>
  </si>
  <si>
    <t>Total forecast cost (EAC)</t>
  </si>
  <si>
    <t>Forecast over(−)/under(+) budget</t>
  </si>
  <si>
    <t>Open risks</t>
  </si>
  <si>
    <t>…of which HIGH</t>
  </si>
  <si>
    <t>Open issues</t>
  </si>
  <si>
    <t>Issues open &gt; 14 days</t>
  </si>
  <si>
    <t>Change requests pending</t>
  </si>
  <si>
    <t>Approved CR cost impact (YTD)</t>
  </si>
  <si>
    <t>Overdue milestones</t>
  </si>
  <si>
    <t>Corrective actions open</t>
  </si>
  <si>
    <t>…of which OVERDUE</t>
  </si>
  <si>
    <t>Actions that improved the KPI</t>
  </si>
  <si>
    <t>CI initiatives implemented (YTD)</t>
  </si>
  <si>
    <t>…with benefit verified</t>
  </si>
  <si>
    <t>Target revisions logged</t>
  </si>
  <si>
    <t>TRENDS – key KPIs (all 16 charts on the Trends sheet)</t>
  </si>
  <si>
    <t>KPI Tracking – Monthly Actual vs Target</t>
  </si>
  <si>
    <t>Fully automatic: actuals are calculated from the logs. Months after the current reporting month (Settings) stay blank. Targets come from KPI_Targets.</t>
  </si>
  <si>
    <t>#</t>
  </si>
  <si>
    <t>Unit</t>
  </si>
  <si>
    <t>Direction</t>
  </si>
  <si>
    <t>Amber limit</t>
  </si>
  <si>
    <t>Latest actual</t>
  </si>
  <si>
    <t>Latest status</t>
  </si>
  <si>
    <t>Months GREEN</t>
  </si>
  <si>
    <t>Months RED</t>
  </si>
  <si>
    <t>Monthly RAG status (automatic)</t>
  </si>
  <si>
    <t>KPIs GREEN</t>
  </si>
  <si>
    <t>KPIs AMBER</t>
  </si>
  <si>
    <t>KPIs RED</t>
  </si>
  <si>
    <t>% KPIs on target</t>
  </si>
  <si>
    <t>KPI Trend Charts</t>
  </si>
  <si>
    <t>Bars = monthly actual · Line = target. Charts update automatically from KPI_Tracking.</t>
  </si>
  <si>
    <t>Rows below hold the target line series used by the charts – do not delete.</t>
  </si>
  <si>
    <t>Target series (chart helper – do not delete)</t>
  </si>
  <si>
    <t>KPI Targets &amp; Definitions</t>
  </si>
  <si>
    <t>Set the TARGET and AMBER LIMIT per KPI (yellow). Direction: Higher = bigger is better, Lower = smaller is better. Any change → log it in Target_Revisions.</t>
  </si>
  <si>
    <t>What it measures</t>
  </si>
  <si>
    <t>Calculation used in this workbook</t>
  </si>
  <si>
    <t>Target (Green)</t>
  </si>
  <si>
    <t>Frequency</t>
  </si>
  <si>
    <t>Data source sheet</t>
  </si>
  <si>
    <t>Basis</t>
  </si>
  <si>
    <t>Owner</t>
  </si>
  <si>
    <t>Notes / watch-outs</t>
  </si>
  <si>
    <t>Project Schedule Variance (SV%)</t>
  </si>
  <si>
    <t>Deviation between planned and actual project progress/timeline.</t>
  </si>
  <si>
    <t>(EV − PV) ÷ PV for the month, all projects. Negative = behind schedule. SPI = EV ÷ PV shown in Cost_Schedule.</t>
  </si>
  <si>
    <t>%</t>
  </si>
  <si>
    <t>Higher</t>
  </si>
  <si>
    <t>Monthly</t>
  </si>
  <si>
    <t>Month</t>
  </si>
  <si>
    <t>A. Camara</t>
  </si>
  <si>
    <t>Earned-value based – measures work done vs plan, not just dates.</t>
  </si>
  <si>
    <t>Project Cost Variance (CV%)</t>
  </si>
  <si>
    <t>Difference between planned (earned) and actual project costs.</t>
  </si>
  <si>
    <t>(EV − AC) ÷ EV for the month. Negative = over cost. CPI = EV ÷ AC shown in Cost_Schedule.</t>
  </si>
  <si>
    <t>M. Diallo</t>
  </si>
  <si>
    <t>Compares cost against value earned – the honest cost KPI.</t>
  </si>
  <si>
    <t>Budget Utilization</t>
  </si>
  <si>
    <t>How efficiently approved budgets are being consumed.</t>
  </si>
  <si>
    <t>Actual spend (AC) ÷ approved period budget.</t>
  </si>
  <si>
    <t>Lower</t>
  </si>
  <si>
    <t>S. Keita</t>
  </si>
  <si>
    <t>Read with CV%: 100% spend on 70% of work is NOT good. Big under-spend usually means slippage.</t>
  </si>
  <si>
    <t>On-Time Project Delivery</t>
  </si>
  <si>
    <t>% of projects delivered within schedule.</t>
  </si>
  <si>
    <t>Completed projects with Actual finish ≤ Baseline finish ÷ Completed projects (YTD).</t>
  </si>
  <si>
    <t>YTD</t>
  </si>
  <si>
    <t>F. Bah</t>
  </si>
  <si>
    <t>Small sample sizes swing this – check the count of completed projects.</t>
  </si>
  <si>
    <t>Scope Change Frequency</t>
  </si>
  <si>
    <t>How often project scope changes occur.</t>
  </si>
  <si>
    <t>Scope change requests submitted in month ÷ active projects in month.</t>
  </si>
  <si>
    <t>CRs / project</t>
  </si>
  <si>
    <t>Change_Log + Projects</t>
  </si>
  <si>
    <t>I. Sylla</t>
  </si>
  <si>
    <t>Normalised per active project so a bigger portfolio isn't penalised.</t>
  </si>
  <si>
    <t>Risk Mitigation Effectiveness</t>
  </si>
  <si>
    <t>How well project risks are managed and reduced.</t>
  </si>
  <si>
    <t>Risks closed YTD that did NOT materialise ÷ all risks closed YTD.</t>
  </si>
  <si>
    <t>K. Conde</t>
  </si>
  <si>
    <t>Residual score columns in Risk_Log show the reduction achieved per risk.</t>
  </si>
  <si>
    <t>Issue Resolution Time</t>
  </si>
  <si>
    <t>How quickly project issues are resolved.</t>
  </si>
  <si>
    <t>Average days from Date raised to Date resolved, issues resolved in month.</t>
  </si>
  <si>
    <t>days</t>
  </si>
  <si>
    <t>O. Traore</t>
  </si>
  <si>
    <t>Ageing of still-open issues is visible in Issue_Log (days open).</t>
  </si>
  <si>
    <t>Stakeholder Satisfaction</t>
  </si>
  <si>
    <t>Stakeholder perception of project outcomes.</t>
  </si>
  <si>
    <t>Average overall survey score (1–5) of surveys dated in month.</t>
  </si>
  <si>
    <t>score /5</t>
  </si>
  <si>
    <t>Monthly / per survey</t>
  </si>
  <si>
    <t>B. Toure</t>
  </si>
  <si>
    <t>Overall = average of 4 criteria. Track response count too – 2 surveys is not a trend.</t>
  </si>
  <si>
    <t>Resource Utilization Rate</t>
  </si>
  <si>
    <t>Efficiency of project resource allocation.</t>
  </si>
  <si>
    <t>Hours allocated to project work ÷ hours available, all teams.</t>
  </si>
  <si>
    <t>Above ~95% for long periods = burnout/no slack. Watch it, don't just maximise it.</t>
  </si>
  <si>
    <t>Project Success Rate</t>
  </si>
  <si>
    <t>% of projects meeting scope, cost and schedule goals.</t>
  </si>
  <si>
    <t>Completed projects that are On time AND Within budget AND Scope delivered ÷ completed projects (YTD).</t>
  </si>
  <si>
    <t>All three criteria must be met – stricter than On-Time Delivery.</t>
  </si>
  <si>
    <t>Milestone Completion Rate</t>
  </si>
  <si>
    <t>Timely completion of key project milestones.</t>
  </si>
  <si>
    <t>Milestones due in month completed on/before baseline date ÷ milestones due in month.</t>
  </si>
  <si>
    <t>Use baseline dates – re-baselining hides slippage.</t>
  </si>
  <si>
    <t>Project Quality Index</t>
  </si>
  <si>
    <t>Quality of project deliverables.</t>
  </si>
  <si>
    <t>Deliverables accepted first time (no rework) ÷ deliverables inspected in month.</t>
  </si>
  <si>
    <t>First-pass yield. Defects &amp; rework hours are logged for root-cause analysis.</t>
  </si>
  <si>
    <t>Change Request Approval Time</t>
  </si>
  <si>
    <t>How quickly change requests are reviewed and decided.</t>
  </si>
  <si>
    <t>Average days from Date submitted to Decision date, CRs decided in month.</t>
  </si>
  <si>
    <t>Pending CRs are counted on the Dashboard – a fast average can hide a stuck backlog.</t>
  </si>
  <si>
    <t>Team Productivity Index</t>
  </si>
  <si>
    <t>Efficiency and output of project teams.</t>
  </si>
  <si>
    <t>Average of (actual output ÷ planned output) across teams in month.</t>
  </si>
  <si>
    <t>index</t>
  </si>
  <si>
    <t>Each team defines its own output unit (m drilled, t moved, drawings…). 100% = plan achieved.</t>
  </si>
  <si>
    <t>Benefits Realization</t>
  </si>
  <si>
    <t>Whether project objectives and expected benefits are achieved.</t>
  </si>
  <si>
    <t>Cumulative realised benefit value ÷ cumulative planned benefit value, benefits measured in month.</t>
  </si>
  <si>
    <t>Monthly / quarterly</t>
  </si>
  <si>
    <t>Benefits often land after handover – keep measuring after project closure.</t>
  </si>
  <si>
    <t>Continuous Improvement Initiatives</t>
  </si>
  <si>
    <t>Ongoing improvements in project delivery processes.</t>
  </si>
  <si>
    <t>Number of improvement initiatives implemented in month.</t>
  </si>
  <si>
    <t>count</t>
  </si>
  <si>
    <t>Count is the activity; 'Benefit verified' in CI_Log shows whether it actually worked.</t>
  </si>
  <si>
    <t>RAG rule – Direction = Higher: GREEN if Actual ≥ Target · AMBER if Actual ≥ Amber limit · else RED.</t>
  </si>
  <si>
    <t>RAG rule – Direction = Lower:  GREEN if Actual ≤ Target · AMBER if Actual ≤ Amber limit · else RED.</t>
  </si>
  <si>
    <t>So for 'Higher' KPIs the amber limit sits BELOW the target; for 'Lower' KPIs it sits ABOVE the target.</t>
  </si>
  <si>
    <t>Target Revision Log</t>
  </si>
  <si>
    <t>Every change to a target or amber limit, with the reason and approver – the audit trail for target setting.</t>
  </si>
  <si>
    <t>Rev #</t>
  </si>
  <si>
    <t>Date</t>
  </si>
  <si>
    <t>Old target</t>
  </si>
  <si>
    <t>New target</t>
  </si>
  <si>
    <t>Old amber</t>
  </si>
  <si>
    <t>New amber</t>
  </si>
  <si>
    <t>Reason for change</t>
  </si>
  <si>
    <t>Proposed by</t>
  </si>
  <si>
    <t>Approved by</t>
  </si>
  <si>
    <t>Annual target setting – raised after 2025 actual of 88%.</t>
  </si>
  <si>
    <t>Issue triage process introduced (CI-003); faster target now achievable.</t>
  </si>
  <si>
    <t>Corrective Action &amp; Change Implementation Log</t>
  </si>
  <si>
    <t>When a KPI goes AMBER/RED: record the root cause, the action, who/when, and the KPI value before and after. Result is calculated automatically.</t>
  </si>
  <si>
    <t>Enter KPI values as decimals for % KPIs (e.g. 0.82 = 82%).</t>
  </si>
  <si>
    <t>Action ID</t>
  </si>
  <si>
    <t>Date raised</t>
  </si>
  <si>
    <t>KPI concerned</t>
  </si>
  <si>
    <t>Project ID (optional)</t>
  </si>
  <si>
    <t>KPI value before</t>
  </si>
  <si>
    <t>Problem / root cause</t>
  </si>
  <si>
    <t>Corrective action / change</t>
  </si>
  <si>
    <t>Due date</t>
  </si>
  <si>
    <t>Date implemented</t>
  </si>
  <si>
    <t>KPI value after</t>
  </si>
  <si>
    <t>Result</t>
  </si>
  <si>
    <t>Due status</t>
  </si>
  <si>
    <t>Remarks</t>
  </si>
  <si>
    <t>A-001</t>
  </si>
  <si>
    <t>P01</t>
  </si>
  <si>
    <t>Pushback behind plan – one excavator down 3 weeks</t>
  </si>
  <si>
    <t>Hire-in excavator + double-shift loading</t>
  </si>
  <si>
    <t>Implemented</t>
  </si>
  <si>
    <t>A-002</t>
  </si>
  <si>
    <t>Issues waiting for weekly meeting to be actioned</t>
  </si>
  <si>
    <t>Daily issue triage at pre-start (CI-003)</t>
  </si>
  <si>
    <t>A-003</t>
  </si>
  <si>
    <t>CRs sit with sponsor without deadline</t>
  </si>
  <si>
    <t>48h review SLA + standard CR form (CI-002)</t>
  </si>
  <si>
    <t>A-004</t>
  </si>
  <si>
    <t>P05</t>
  </si>
  <si>
    <t>Steel price escalation not in budget</t>
  </si>
  <si>
    <t>Re-tender steel package; apply rise-and-fall</t>
  </si>
  <si>
    <t>A-005</t>
  </si>
  <si>
    <t>Concrete pours rejected – slump &amp; cover</t>
  </si>
  <si>
    <t>Pre-pour QA checklist and supplier briefing</t>
  </si>
  <si>
    <t>A-006</t>
  </si>
  <si>
    <t>Client adding scope informally on site</t>
  </si>
  <si>
    <t>Scope freeze gate + all requests via CR form</t>
  </si>
  <si>
    <t>A-007</t>
  </si>
  <si>
    <t>P07</t>
  </si>
  <si>
    <t>Pump delivery late – milestones slipping</t>
  </si>
  <si>
    <t>Expedite with supplier, re-sequence install</t>
  </si>
  <si>
    <t>A-008</t>
  </si>
  <si>
    <t>Drill rig waiting on survey pickups</t>
  </si>
  <si>
    <t>Dedicated surveyor for D&amp;B on day shift</t>
  </si>
  <si>
    <t>In progress</t>
  </si>
  <si>
    <t>A-009</t>
  </si>
  <si>
    <t>Overtime on dewatering install</t>
  </si>
  <si>
    <t>Review crew size and roster</t>
  </si>
  <si>
    <t>Open</t>
  </si>
  <si>
    <t>A-010</t>
  </si>
  <si>
    <t>Maintenance team low booked hours</t>
  </si>
  <si>
    <t>Assign planned work orders to idle hours</t>
  </si>
  <si>
    <t>Project Register</t>
  </si>
  <si>
    <t>One row per project. Status, baseline vs actual finish and final cost drive On-Time Delivery and Project Success Rate.</t>
  </si>
  <si>
    <t>Project ID</t>
  </si>
  <si>
    <t>Project name</t>
  </si>
  <si>
    <t>Area / client</t>
  </si>
  <si>
    <t>Project manager</t>
  </si>
  <si>
    <t>Sponsor</t>
  </si>
  <si>
    <t>Start date</t>
  </si>
  <si>
    <t>Baseline finish</t>
  </si>
  <si>
    <t>Forecast / actual finish</t>
  </si>
  <si>
    <t>Budget at completion (BAC)</t>
  </si>
  <si>
    <t>Forecast / final cost (EAC)</t>
  </si>
  <si>
    <t>Scope fully delivered?</t>
  </si>
  <si>
    <t>Deliverables accepted?</t>
  </si>
  <si>
    <t>On time?</t>
  </si>
  <si>
    <t>Within budget?</t>
  </si>
  <si>
    <t>Successful?</t>
  </si>
  <si>
    <t>Days late (+) / early (−)</t>
  </si>
  <si>
    <t>Cost variance at completion</t>
  </si>
  <si>
    <t>Pit 2 Stage 3 Pushback</t>
  </si>
  <si>
    <t>Mining</t>
  </si>
  <si>
    <t>Completed</t>
  </si>
  <si>
    <t>Yes</t>
  </si>
  <si>
    <t>P02</t>
  </si>
  <si>
    <t>Main Haul Road Upgrade</t>
  </si>
  <si>
    <t>Infrastructure</t>
  </si>
  <si>
    <t>P03</t>
  </si>
  <si>
    <t>Haul Truck Mid-life Rebuilds</t>
  </si>
  <si>
    <t>Maintenance</t>
  </si>
  <si>
    <t>P04</t>
  </si>
  <si>
    <t>Blast Fragmentation Optimisation</t>
  </si>
  <si>
    <t>Drill &amp; Blast</t>
  </si>
  <si>
    <t>No</t>
  </si>
  <si>
    <t>Workshop Extension</t>
  </si>
  <si>
    <t>Active</t>
  </si>
  <si>
    <t>P06</t>
  </si>
  <si>
    <t>ERP Maintenance Module Roll-out</t>
  </si>
  <si>
    <t>Systems</t>
  </si>
  <si>
    <t>Pit Dewatering System Upgrade</t>
  </si>
  <si>
    <t>P08</t>
  </si>
  <si>
    <t>Camp Accommodation Expansion</t>
  </si>
  <si>
    <t>Cost &amp; Schedule (Earned Value) – monthly per project</t>
  </si>
  <si>
    <t>Enter one row per project per month. Month = 1st of the month. Values in your currency. PV = budgeted cost of work planned, EV = budgeted cost of work done, AC = actual cost.</t>
  </si>
  <si>
    <t>Approved budget (period)</t>
  </si>
  <si>
    <t>Planned value (PV)</t>
  </si>
  <si>
    <t>Earned value (EV)</t>
  </si>
  <si>
    <t>Actual cost (AC)</t>
  </si>
  <si>
    <t>Schedule var. SV = EV−PV</t>
  </si>
  <si>
    <t>Cost var. CV = EV−AC</t>
  </si>
  <si>
    <t>SPI = EV/PV</t>
  </si>
  <si>
    <t>CPI = EV/AC</t>
  </si>
  <si>
    <t>Budget used = AC/Budget</t>
  </si>
  <si>
    <t>Comment</t>
  </si>
  <si>
    <t>Change Request Log</t>
  </si>
  <si>
    <t>Every change request (scope, schedule, cost…). Scope CRs drive Scope Change Frequency; submitted→decision days drive CR Approval Time.</t>
  </si>
  <si>
    <t>CR ID</t>
  </si>
  <si>
    <t>Date submitted</t>
  </si>
  <si>
    <t>Description of change</t>
  </si>
  <si>
    <t>Change type</t>
  </si>
  <si>
    <t>Requested by</t>
  </si>
  <si>
    <t>Cost impact</t>
  </si>
  <si>
    <t>Schedule impact (days)</t>
  </si>
  <si>
    <t>Decision</t>
  </si>
  <si>
    <t>Decision date</t>
  </si>
  <si>
    <t>Approval time (days)</t>
  </si>
  <si>
    <t>Implemented?</t>
  </si>
  <si>
    <t>Implementation date</t>
  </si>
  <si>
    <t>CR-001</t>
  </si>
  <si>
    <t>Upgrade concrete spec</t>
  </si>
  <si>
    <t>Quality</t>
  </si>
  <si>
    <t>Rejected</t>
  </si>
  <si>
    <t>CR-002</t>
  </si>
  <si>
    <t>Fuel price escalation</t>
  </si>
  <si>
    <t>Cost</t>
  </si>
  <si>
    <t>CR-003</t>
  </si>
  <si>
    <t>Additional steel cost</t>
  </si>
  <si>
    <t>Approved</t>
  </si>
  <si>
    <t>CR-004</t>
  </si>
  <si>
    <t>Add reporting dashboard to ERP</t>
  </si>
  <si>
    <t>Scope</t>
  </si>
  <si>
    <t>CR-005</t>
  </si>
  <si>
    <t>CR-006</t>
  </si>
  <si>
    <t>Extra drainage culverts</t>
  </si>
  <si>
    <t>CR-007</t>
  </si>
  <si>
    <t>Delay due to rainy season</t>
  </si>
  <si>
    <t>Schedule</t>
  </si>
  <si>
    <t>CR-008</t>
  </si>
  <si>
    <t>Additional bay in workshop</t>
  </si>
  <si>
    <t>CR-009</t>
  </si>
  <si>
    <t>CR-010</t>
  </si>
  <si>
    <t>Pending</t>
  </si>
  <si>
    <t>CR-011</t>
  </si>
  <si>
    <t>CR-012</t>
  </si>
  <si>
    <t>Add ramp widening at bench 4</t>
  </si>
  <si>
    <t>CR-013</t>
  </si>
  <si>
    <t>Resequence works around blasting</t>
  </si>
  <si>
    <t>CR-014</t>
  </si>
  <si>
    <t>CR-015</t>
  </si>
  <si>
    <t>CR-016</t>
  </si>
  <si>
    <t>CR-017</t>
  </si>
  <si>
    <t>CR-018</t>
  </si>
  <si>
    <t>CR-019</t>
  </si>
  <si>
    <t>CR-020</t>
  </si>
  <si>
    <t>Extend pushback to east wall</t>
  </si>
  <si>
    <t>CR-021</t>
  </si>
  <si>
    <t>CR-022</t>
  </si>
  <si>
    <t>CR-023</t>
  </si>
  <si>
    <t>Add second excavator crew</t>
  </si>
  <si>
    <t>Resource</t>
  </si>
  <si>
    <t>CR-024</t>
  </si>
  <si>
    <t>CR-025</t>
  </si>
  <si>
    <t>CR-026</t>
  </si>
  <si>
    <t>Risk Register</t>
  </si>
  <si>
    <t>Score = Probability × Impact (1–5 each). Closing a risk: enter Closure date and whether it Materialised. Residual score shows the reduction achieved.</t>
  </si>
  <si>
    <t>Risk ID</t>
  </si>
  <si>
    <t>Date identified</t>
  </si>
  <si>
    <t>Risk description</t>
  </si>
  <si>
    <t>Category</t>
  </si>
  <si>
    <t>Probability (1-5)</t>
  </si>
  <si>
    <t>Impact (1-5)</t>
  </si>
  <si>
    <t>Inherent score</t>
  </si>
  <si>
    <t>Rating</t>
  </si>
  <si>
    <t>Mitigation action</t>
  </si>
  <si>
    <t>Closure date</t>
  </si>
  <si>
    <t>Materialised?</t>
  </si>
  <si>
    <t>Residual P (1-5)</t>
  </si>
  <si>
    <t>Residual I (1-5)</t>
  </si>
  <si>
    <t>Residual score</t>
  </si>
  <si>
    <t>Reduction %</t>
  </si>
  <si>
    <t>R-001</t>
  </si>
  <si>
    <t>Fuel price increase</t>
  </si>
  <si>
    <t>Commercial</t>
  </si>
  <si>
    <t>Rise-and-fall clause in contract</t>
  </si>
  <si>
    <t>Closed</t>
  </si>
  <si>
    <t>R-002</t>
  </si>
  <si>
    <t>Late delivery of rebuild kits</t>
  </si>
  <si>
    <t>Supply chain</t>
  </si>
  <si>
    <t>Order 8 weeks early, second supplier</t>
  </si>
  <si>
    <t>R-003</t>
  </si>
  <si>
    <t>ERP data migration errors</t>
  </si>
  <si>
    <t>Technical</t>
  </si>
  <si>
    <t>Trial migration and reconciliation</t>
  </si>
  <si>
    <t>R-004</t>
  </si>
  <si>
    <t>Pit wall instability on east wall</t>
  </si>
  <si>
    <t>Geotech monitoring radar + reduced bench height</t>
  </si>
  <si>
    <t>R-005</t>
  </si>
  <si>
    <t>Flyrock incident near haul road</t>
  </si>
  <si>
    <t>Safety</t>
  </si>
  <si>
    <t>Blast exclusion zone review, stemming QA</t>
  </si>
  <si>
    <t>R-006</t>
  </si>
  <si>
    <t>Community road blockage</t>
  </si>
  <si>
    <t>Community</t>
  </si>
  <si>
    <t>Weekly liaison meetings with village committee</t>
  </si>
  <si>
    <t>Occurred</t>
  </si>
  <si>
    <t>R-007</t>
  </si>
  <si>
    <t>Mitigated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</si>
  <si>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</si>
  <si>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</si>
  <si>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</si>
  <si>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</si>
  <si>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</si>
  <si>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</si>
  <si>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</si>
  <si>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</si>
  <si>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</si>
  <si>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</si>
  <si>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</si>
  <si>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</si>
  <si>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Key engineer resignation</t>
  </si>
  <si>
    <t>Cross-training and handover notes</t>
  </si>
  <si>
    <t>R-020</t>
  </si>
  <si>
    <t>R-021</t>
  </si>
  <si>
    <t>R-022</t>
  </si>
  <si>
    <t>R-023</t>
  </si>
  <si>
    <t>R-024</t>
  </si>
  <si>
    <t>R-025</t>
  </si>
  <si>
    <t>Heavy rain flooding pit floor</t>
  </si>
  <si>
    <t>Environmental</t>
  </si>
  <si>
    <t>Upgrade pumps, sump preparation before season</t>
  </si>
  <si>
    <t>R-026</t>
  </si>
  <si>
    <t>R-027</t>
  </si>
  <si>
    <t>R-028</t>
  </si>
  <si>
    <t>Issue Log</t>
  </si>
  <si>
    <t>Issues = problems happening now (risks that occurred, defects, blockers). Resolution days feed Issue Resolution Time.</t>
  </si>
  <si>
    <t>Issue ID</t>
  </si>
  <si>
    <t>Issue description</t>
  </si>
  <si>
    <t>Priority</t>
  </si>
  <si>
    <t>Date resolved</t>
  </si>
  <si>
    <t>Days to resolve</t>
  </si>
  <si>
    <t>Days open (if open)</t>
  </si>
  <si>
    <t>Root cause</t>
  </si>
  <si>
    <t>I-001</t>
  </si>
  <si>
    <t>Dust complaint from village</t>
  </si>
  <si>
    <t>Low</t>
  </si>
  <si>
    <t>Resolved</t>
  </si>
  <si>
    <t>Water cart breakdown</t>
  </si>
  <si>
    <t>I-002</t>
  </si>
  <si>
    <t>Excavator breakdown – no spare boom cylinder</t>
  </si>
  <si>
    <t>Critical</t>
  </si>
  <si>
    <t>Spares stock-out</t>
  </si>
  <si>
    <t>I-003</t>
  </si>
  <si>
    <t>ERP user access not granted</t>
  </si>
  <si>
    <t>High</t>
  </si>
  <si>
    <t>IT approval workflow</t>
  </si>
  <si>
    <t>I-004</t>
  </si>
  <si>
    <t>I-005</t>
  </si>
  <si>
    <t>I-006</t>
  </si>
  <si>
    <t>Concrete batch failed slump test</t>
  </si>
  <si>
    <t>Supplier QC</t>
  </si>
  <si>
    <t>I-007</t>
  </si>
  <si>
    <t>Pump discharge line leaking</t>
  </si>
  <si>
    <t>Poor installation</t>
  </si>
  <si>
    <t>I-008</t>
  </si>
  <si>
    <t>I-009</t>
  </si>
  <si>
    <t>I-010</t>
  </si>
  <si>
    <t>Survey pickup missing for bench 3</t>
  </si>
  <si>
    <t>Surveyor rostered off</t>
  </si>
  <si>
    <t>I-011</t>
  </si>
  <si>
    <t>I-012</t>
  </si>
  <si>
    <t>I-013</t>
  </si>
  <si>
    <t>I-014</t>
  </si>
  <si>
    <t>I-015</t>
  </si>
  <si>
    <t>Medium</t>
  </si>
  <si>
    <t>I-016</t>
  </si>
  <si>
    <t>I-017</t>
  </si>
  <si>
    <t>I-018</t>
  </si>
  <si>
    <t>Contractor invoice disputed</t>
  </si>
  <si>
    <t>Unclear rates</t>
  </si>
  <si>
    <t>I-019</t>
  </si>
  <si>
    <t>I-020</t>
  </si>
  <si>
    <t>I-021</t>
  </si>
  <si>
    <t>I-022</t>
  </si>
  <si>
    <t>I-023</t>
  </si>
  <si>
    <t>I-024</t>
  </si>
  <si>
    <t>Blast delayed – explosives truck late</t>
  </si>
  <si>
    <t>Logistics</t>
  </si>
  <si>
    <t>I-025</t>
  </si>
  <si>
    <t>I-026</t>
  </si>
  <si>
    <t>I-027</t>
  </si>
  <si>
    <t>I-028</t>
  </si>
  <si>
    <t>I-029</t>
  </si>
  <si>
    <t>I-030</t>
  </si>
  <si>
    <t>I-031</t>
  </si>
  <si>
    <t>I-032</t>
  </si>
  <si>
    <t>I-033</t>
  </si>
  <si>
    <t>I-034</t>
  </si>
  <si>
    <t>I-035</t>
  </si>
  <si>
    <t>I-036</t>
  </si>
  <si>
    <t>I-037</t>
  </si>
  <si>
    <t>I-038</t>
  </si>
  <si>
    <t>I-039</t>
  </si>
  <si>
    <t>I-040</t>
  </si>
  <si>
    <t>Stakeholder Satisfaction Survey</t>
  </si>
  <si>
    <t>Score each criterion 1 (very poor) to 5 (excellent). Overall = average of the four criteria.</t>
  </si>
  <si>
    <t>Survey date</t>
  </si>
  <si>
    <t>Stakeholder name</t>
  </si>
  <si>
    <t>Stakeholder group</t>
  </si>
  <si>
    <t>Communication</t>
  </si>
  <si>
    <t>Delivery vs plan</t>
  </si>
  <si>
    <t>Quality of outputs</t>
  </si>
  <si>
    <t>Responsiveness</t>
  </si>
  <si>
    <t>Overall score</t>
  </si>
  <si>
    <t>Comments</t>
  </si>
  <si>
    <t>Stakeholder 1</t>
  </si>
  <si>
    <t>Subcontractor</t>
  </si>
  <si>
    <t>Stakeholder 2</t>
  </si>
  <si>
    <t>Internal – Management</t>
  </si>
  <si>
    <t>Stakeholder 3</t>
  </si>
  <si>
    <t>Stakeholder 4</t>
  </si>
  <si>
    <t>Client – Owner's team</t>
  </si>
  <si>
    <t>Stakeholder 5</t>
  </si>
  <si>
    <t>Client – Mine Manager</t>
  </si>
  <si>
    <t>Stakeholder 6</t>
  </si>
  <si>
    <t>Stakeholder 7</t>
  </si>
  <si>
    <t>Stakeholder 8</t>
  </si>
  <si>
    <t>Stakeholder 9</t>
  </si>
  <si>
    <t>Stakeholder 10</t>
  </si>
  <si>
    <t>Stakeholder 11</t>
  </si>
  <si>
    <t>Stakeholder 12</t>
  </si>
  <si>
    <t>Stakeholder 13</t>
  </si>
  <si>
    <t>Stakeholder 14</t>
  </si>
  <si>
    <t>Stakeholder 15</t>
  </si>
  <si>
    <t>Stakeholder 16</t>
  </si>
  <si>
    <t>Stakeholder 17</t>
  </si>
  <si>
    <t>Stakeholder 18</t>
  </si>
  <si>
    <t>Stakeholder 19</t>
  </si>
  <si>
    <t>Stakeholder 20</t>
  </si>
  <si>
    <t>Stakeholder 21</t>
  </si>
  <si>
    <t>Stakeholder 22</t>
  </si>
  <si>
    <t>Stakeholder 23</t>
  </si>
  <si>
    <t>Stakeholder 24</t>
  </si>
  <si>
    <t>Stakeholder 25</t>
  </si>
  <si>
    <t>Stakeholder 26</t>
  </si>
  <si>
    <t>Stakeholder 27</t>
  </si>
  <si>
    <t>Stakeholder 28</t>
  </si>
  <si>
    <t>Stakeholder 29</t>
  </si>
  <si>
    <t>Stakeholder 30</t>
  </si>
  <si>
    <t>Stakeholder 31</t>
  </si>
  <si>
    <t>Stakeholder 32</t>
  </si>
  <si>
    <t>Stakeholder 33</t>
  </si>
  <si>
    <t>Stakeholder 34</t>
  </si>
  <si>
    <t>Stakeholder 35</t>
  </si>
  <si>
    <t>Stakeholder 36</t>
  </si>
  <si>
    <t>Resource Utilisation &amp; Team Productivity – monthly per team</t>
  </si>
  <si>
    <t>Available = paid/rostered hours. Allocated = hours booked to project work. Output unit is team-specific (e.g. m drilled, t moved).</t>
  </si>
  <si>
    <t>Team / resource</t>
  </si>
  <si>
    <t>Discipline</t>
  </si>
  <si>
    <t>Available hours</t>
  </si>
  <si>
    <t>Allocated project hours</t>
  </si>
  <si>
    <t>Output unit</t>
  </si>
  <si>
    <t>Planned output</t>
  </si>
  <si>
    <t>Actual output</t>
  </si>
  <si>
    <t>Productivity (actual/plan)</t>
  </si>
  <si>
    <t>Drill &amp; Blast crew</t>
  </si>
  <si>
    <t>m drilled</t>
  </si>
  <si>
    <t>Load &amp; Haul crew</t>
  </si>
  <si>
    <t>kt moved</t>
  </si>
  <si>
    <t>Maintenance team</t>
  </si>
  <si>
    <t>work orders</t>
  </si>
  <si>
    <t>Projects &amp; Engineering</t>
  </si>
  <si>
    <t>Engineering</t>
  </si>
  <si>
    <t>deliverables</t>
  </si>
  <si>
    <t>Milestone Tracker</t>
  </si>
  <si>
    <t>Keep the BASELINE due date fixed. Enter the actual completion date when done. On time? compares the two.</t>
  </si>
  <si>
    <t>Milestone ID</t>
  </si>
  <si>
    <t>Milestone</t>
  </si>
  <si>
    <t>Baseline due date</t>
  </si>
  <si>
    <t>Actual / forecast completion</t>
  </si>
  <si>
    <t>M-001</t>
  </si>
  <si>
    <t>Go-live</t>
  </si>
  <si>
    <t>M-002</t>
  </si>
  <si>
    <t>Procurement complete</t>
  </si>
  <si>
    <t>M-003</t>
  </si>
  <si>
    <t>Commissioning</t>
  </si>
  <si>
    <t>M-004</t>
  </si>
  <si>
    <t>M-005</t>
  </si>
  <si>
    <t>M-006</t>
  </si>
  <si>
    <t>Mobilisation complete</t>
  </si>
  <si>
    <t>M-007</t>
  </si>
  <si>
    <t>Trial blast completed</t>
  </si>
  <si>
    <t>M-008</t>
  </si>
  <si>
    <t>M-009</t>
  </si>
  <si>
    <t>M-010</t>
  </si>
  <si>
    <t>M-011</t>
  </si>
  <si>
    <t>Design approved</t>
  </si>
  <si>
    <t>M-012</t>
  </si>
  <si>
    <t>M-013</t>
  </si>
  <si>
    <t>50% construction</t>
  </si>
  <si>
    <t>M-014</t>
  </si>
  <si>
    <t>M-015</t>
  </si>
  <si>
    <t>M-016</t>
  </si>
  <si>
    <t>M-017</t>
  </si>
  <si>
    <t>M-018</t>
  </si>
  <si>
    <t>M-019</t>
  </si>
  <si>
    <t>M-020</t>
  </si>
  <si>
    <t>Handover</t>
  </si>
  <si>
    <t>M-021</t>
  </si>
  <si>
    <t>M-022</t>
  </si>
  <si>
    <t>M-023</t>
  </si>
  <si>
    <t>M-024</t>
  </si>
  <si>
    <t>M-025</t>
  </si>
  <si>
    <t>M-026</t>
  </si>
  <si>
    <t>M-027</t>
  </si>
  <si>
    <t>M-028</t>
  </si>
  <si>
    <t>M-029</t>
  </si>
  <si>
    <t>M-030</t>
  </si>
  <si>
    <t>M-031</t>
  </si>
  <si>
    <t>M-032</t>
  </si>
  <si>
    <t>M-033</t>
  </si>
  <si>
    <t>M-034</t>
  </si>
  <si>
    <t>M-035</t>
  </si>
  <si>
    <t>M-036</t>
  </si>
  <si>
    <t>M-037</t>
  </si>
  <si>
    <t>M-038</t>
  </si>
  <si>
    <t>M-039</t>
  </si>
  <si>
    <t>M-040</t>
  </si>
  <si>
    <t>M-041</t>
  </si>
  <si>
    <t>M-042</t>
  </si>
  <si>
    <t>M-043</t>
  </si>
  <si>
    <t>M-044</t>
  </si>
  <si>
    <t>M-045</t>
  </si>
  <si>
    <t>M-046</t>
  </si>
  <si>
    <t>Quality – Deliverable Inspection Log</t>
  </si>
  <si>
    <t>One row per deliverable inspection. 'Accepted first time' = passed with no rework.</t>
  </si>
  <si>
    <t>Inspection ID</t>
  </si>
  <si>
    <t>Deliverable</t>
  </si>
  <si>
    <t>Inspection date</t>
  </si>
  <si>
    <t>Inspector</t>
  </si>
  <si>
    <t>Defects found</t>
  </si>
  <si>
    <t>Accepted first time?</t>
  </si>
  <si>
    <t>Rework hours</t>
  </si>
  <si>
    <t>Rework cost</t>
  </si>
  <si>
    <t>Defect description / root cause</t>
  </si>
  <si>
    <t>Q-001</t>
  </si>
  <si>
    <t>Road section compaction test</t>
  </si>
  <si>
    <t>Q-002</t>
  </si>
  <si>
    <t>Concrete foundation pour</t>
  </si>
  <si>
    <t>Q-003</t>
  </si>
  <si>
    <t>Bench survey as-built</t>
  </si>
  <si>
    <t>Q-004</t>
  </si>
  <si>
    <t>Blast design pack</t>
  </si>
  <si>
    <t>Q-005</t>
  </si>
  <si>
    <t>Q-006</t>
  </si>
  <si>
    <t>Q-007</t>
  </si>
  <si>
    <t>Q-008</t>
  </si>
  <si>
    <t>Q-009</t>
  </si>
  <si>
    <t>Pump station install</t>
  </si>
  <si>
    <t>Q-010</t>
  </si>
  <si>
    <t>Rebuilt truck acceptance</t>
  </si>
  <si>
    <t>Q-011</t>
  </si>
  <si>
    <t>Q-012</t>
  </si>
  <si>
    <t>Q-013</t>
  </si>
  <si>
    <t>ERP module UAT</t>
  </si>
  <si>
    <t>Q-014</t>
  </si>
  <si>
    <t>Accommodation block handover</t>
  </si>
  <si>
    <t>Q-015</t>
  </si>
  <si>
    <t>Q-016</t>
  </si>
  <si>
    <t>Q-017</t>
  </si>
  <si>
    <t>Q-018</t>
  </si>
  <si>
    <t>Q-019</t>
  </si>
  <si>
    <t>Q-020</t>
  </si>
  <si>
    <t>Q-021</t>
  </si>
  <si>
    <t>Q-022</t>
  </si>
  <si>
    <t>Q-023</t>
  </si>
  <si>
    <t>Q-024</t>
  </si>
  <si>
    <t>Q-025</t>
  </si>
  <si>
    <t>Workmanship</t>
  </si>
  <si>
    <t>Q-026</t>
  </si>
  <si>
    <t>Q-027</t>
  </si>
  <si>
    <t>Wrong material spec</t>
  </si>
  <si>
    <t>Q-028</t>
  </si>
  <si>
    <t>Q-029</t>
  </si>
  <si>
    <t>Q-030</t>
  </si>
  <si>
    <t>Q-031</t>
  </si>
  <si>
    <t>Q-032</t>
  </si>
  <si>
    <t>Q-033</t>
  </si>
  <si>
    <t>Q-034</t>
  </si>
  <si>
    <t>Out of tolerance</t>
  </si>
  <si>
    <t>Q-035</t>
  </si>
  <si>
    <t>Q-036</t>
  </si>
  <si>
    <t>Q-037</t>
  </si>
  <si>
    <t>Q-038</t>
  </si>
  <si>
    <t>Q-039</t>
  </si>
  <si>
    <t>Q-040</t>
  </si>
  <si>
    <t>Q-041</t>
  </si>
  <si>
    <t>Q-042</t>
  </si>
  <si>
    <t>Q-043</t>
  </si>
  <si>
    <t>Q-044</t>
  </si>
  <si>
    <t>Missing documentation</t>
  </si>
  <si>
    <t>Q-045</t>
  </si>
  <si>
    <t>Q-046</t>
  </si>
  <si>
    <t>Q-047</t>
  </si>
  <si>
    <t>Q-048</t>
  </si>
  <si>
    <t>Benefits Realisation Log</t>
  </si>
  <si>
    <t>Re-measure each benefit periodically (monthly/quarterly). Planned and realised values are CUMULATIVE to the measurement date, in the same unit.</t>
  </si>
  <si>
    <t>Benefit ID</t>
  </si>
  <si>
    <t>Benefit description</t>
  </si>
  <si>
    <t>Measure / unit</t>
  </si>
  <si>
    <t>Measurement date</t>
  </si>
  <si>
    <t>Planned value (cumulative)</t>
  </si>
  <si>
    <t>Realised value (cumulative)</t>
  </si>
  <si>
    <t>Realisation %</t>
  </si>
  <si>
    <t>Benefit owner</t>
  </si>
  <si>
    <t>B01</t>
  </si>
  <si>
    <t>Haul cycle time reduction – fuel saving</t>
  </si>
  <si>
    <t>USD saved</t>
  </si>
  <si>
    <t>B02</t>
  </si>
  <si>
    <t>Reduced secondary breaking cost</t>
  </si>
  <si>
    <t>B03</t>
  </si>
  <si>
    <t>Truck availability uplift – extra tonnes</t>
  </si>
  <si>
    <t>B04</t>
  </si>
  <si>
    <t>Reduced bussing cost (on-site beds)</t>
  </si>
  <si>
    <t>Improvements to HOW projects are delivered. Count implemented per month = KPI; 'Benefit verified' checks they actually worked.</t>
  </si>
  <si>
    <t>CI ID</t>
  </si>
  <si>
    <t>Date proposed</t>
  </si>
  <si>
    <t>Initiative</t>
  </si>
  <si>
    <t>KPI targeted</t>
  </si>
  <si>
    <t>Expected benefit</t>
  </si>
  <si>
    <t>Benefit verified?</t>
  </si>
  <si>
    <t>Verified result</t>
  </si>
  <si>
    <t>CI-001</t>
  </si>
  <si>
    <t>Weekly look-ahead planning meeting</t>
  </si>
  <si>
    <t>Milestones hit on time</t>
  </si>
  <si>
    <t>See monthly KPI trend</t>
  </si>
  <si>
    <t>CI-002</t>
  </si>
  <si>
    <t>Standard CR form with 48h review SLA</t>
  </si>
  <si>
    <t>CR decided within 5 days</t>
  </si>
  <si>
    <t>CI-003</t>
  </si>
  <si>
    <t>Daily issue triage at pre-start</t>
  </si>
  <si>
    <t>Issues closed in &lt; 7 days</t>
  </si>
  <si>
    <t>CI-004</t>
  </si>
  <si>
    <t>EVM reporting template for all projects</t>
  </si>
  <si>
    <t>Early schedule-slip detection</t>
  </si>
  <si>
    <t>CI-005</t>
  </si>
  <si>
    <t>Pre-pour QA checklist</t>
  </si>
  <si>
    <t>Fewer concrete rejections</t>
  </si>
  <si>
    <t>CI-006</t>
  </si>
  <si>
    <t>Monthly stakeholder pulse survey</t>
  </si>
  <si>
    <t>Earlier complaint detection</t>
  </si>
  <si>
    <t>CI-007</t>
  </si>
  <si>
    <t>Critical spares min/max review</t>
  </si>
  <si>
    <t>Less idle crew time</t>
  </si>
  <si>
    <t>CI-008</t>
  </si>
  <si>
    <t>Risk review in monthly meeting</t>
  </si>
  <si>
    <t>Fewer risks materialising</t>
  </si>
  <si>
    <t>CI-009</t>
  </si>
  <si>
    <t>Post-project lessons-learned workshop</t>
  </si>
  <si>
    <t>Repeat mistakes avoided</t>
  </si>
  <si>
    <t>CI-010</t>
  </si>
  <si>
    <t>Scope freeze gate before execution</t>
  </si>
  <si>
    <t>Fewer scope changes</t>
  </si>
  <si>
    <t>CI-011</t>
  </si>
  <si>
    <t>Blast design peer review</t>
  </si>
  <si>
    <t>Fewer redrills</t>
  </si>
  <si>
    <t>CI-012</t>
  </si>
  <si>
    <t>Benefits owner sign-off at closure</t>
  </si>
  <si>
    <t>Benefits tracked after handover</t>
  </si>
  <si>
    <t>CI-013</t>
  </si>
  <si>
    <t>Shift handover app</t>
  </si>
  <si>
    <t>Proposed</t>
  </si>
  <si>
    <t>Productivity +3%</t>
  </si>
  <si>
    <t>CI-014</t>
  </si>
  <si>
    <t>Supplier performance scorecard</t>
  </si>
  <si>
    <t>Lower overspend</t>
  </si>
  <si>
    <t>Settings &amp; Lists</t>
  </si>
  <si>
    <t>Yellow cells are editable. Lists feed the drop-downs in every log.</t>
  </si>
  <si>
    <t>Project Status</t>
  </si>
  <si>
    <t>Yes/No</t>
  </si>
  <si>
    <t>Change Type</t>
  </si>
  <si>
    <t>CR Decision</t>
  </si>
  <si>
    <t>Risk Status</t>
  </si>
  <si>
    <t>Risk Category</t>
  </si>
  <si>
    <t>Issue Status</t>
  </si>
  <si>
    <t>Milestone Status</t>
  </si>
  <si>
    <t>Action Status</t>
  </si>
  <si>
    <t>CI Status</t>
  </si>
  <si>
    <t>Owners</t>
  </si>
  <si>
    <t>Organisation / portfolio name</t>
  </si>
  <si>
    <t>Mining Services – Project Portfolio</t>
  </si>
  <si>
    <t>Not started</t>
  </si>
  <si>
    <t>Reporting year start (1st of month)</t>
  </si>
  <si>
    <t>Current reporting month (1st of month)</t>
  </si>
  <si>
    <t>On hold</t>
  </si>
  <si>
    <t>Budget tolerance for 'within budget'</t>
  </si>
  <si>
    <t>Cancelled</t>
  </si>
  <si>
    <t>Prepared by</t>
  </si>
  <si>
    <t>Project Controls</t>
  </si>
  <si>
    <t>Tip: add owners/categories below the existing items in a list column (Owners accepts up to row 30).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</si>
</sst>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\-yyyy"/>
    <numFmt numFmtId="165" formatCode="0.0%"/>
    <numFmt numFmtId="166" formatCode="\+0.0%;\-0.0%;0.0%"/>
    <numFmt numFmtId="167" formatCode="0.0&quot; d&quot;"/>
    <numFmt numFmtId="169" formatCode="0;\-0;0"/>
    <numFmt numFmtId="170" formatCode="#,##0;[Red]\(#,##0\);\-"/>
    <numFmt numFmtId="171" formatCode="dd\-mmm\-yyyy"/>
  </numFmts>
  <fonts count="35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0"/>
      <color rgb="FF595959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1"/>
      <color rgb="FF595959"/>
      <name val="Arial"/>
      <charset val="1"/>
    </font>
    <font>
      <b/>
      <sz val="11"/>
      <name val="Arial"/>
      <charset val="1"/>
    </font>
    <font>
      <b/>
      <sz val="12"/>
      <color rgb="FF0000FF"/>
      <name val="Arial"/>
      <charset val="1"/>
    </font>
    <font>
      <i/>
      <sz val="9"/>
      <color rgb="FF7F7F7F"/>
      <name val="Arial"/>
      <charset val="1"/>
    </font>
    <font>
      <b/>
      <sz val="10"/>
      <color rgb="FF006100"/>
      <name val="Arial"/>
      <charset val="1"/>
    </font>
    <font>
      <b/>
      <sz val="10"/>
      <color rgb="FF9C5700"/>
      <name val="Arial"/>
      <charset val="1"/>
    </font>
    <font>
      <b/>
      <sz val="10"/>
      <color rgb="FF9C0006"/>
      <name val="Arial"/>
      <charset val="1"/>
    </font>
    <font>
      <b/>
      <sz val="10"/>
      <color rgb="FF404040"/>
      <name val="Arial"/>
      <charset val="1"/>
    </font>
    <font>
      <i/>
      <sz val="10"/>
      <name val="Arial"/>
      <charset val="1"/>
    </font>
    <font>
      <b/>
      <sz val="22"/>
      <color rgb="FF006100"/>
      <name val="Arial"/>
      <charset val="1"/>
    </font>
    <font>
      <b/>
      <sz val="22"/>
      <color rgb="FF9C5700"/>
      <name val="Arial"/>
      <charset val="1"/>
    </font>
    <font>
      <b/>
      <sz val="22"/>
      <color rgb="FF9C0006"/>
      <name val="Arial"/>
      <charset val="1"/>
    </font>
    <font>
      <b/>
      <sz val="22"/>
      <color rgb="FF404040"/>
      <name val="Arial"/>
      <charset val="1"/>
    </font>
    <font>
      <b/>
      <sz val="11"/>
      <color rgb="FFFFFFFF"/>
      <name val="Arial"/>
      <charset val="1"/>
    </font>
    <font>
      <b/>
      <sz val="11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name val="Arial"/>
      <family val="2"/>
    </font>
    <font>
      <b/>
      <sz val="16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b/>
      <sz val="12"/>
      <color rgb="FF1F3864"/>
      <name val="Arial"/>
      <charset val="1"/>
    </font>
    <font>
      <b/>
      <sz val="8"/>
      <name val="Arial"/>
      <charset val="1"/>
    </font>
    <font>
      <i/>
      <sz val="8"/>
      <color rgb="FF7F7F7F"/>
      <name val="Arial"/>
      <charset val="1"/>
    </font>
    <font>
      <sz val="8"/>
      <color rgb="FF7F7F7F"/>
      <name val="Arial"/>
      <charset val="1"/>
    </font>
    <font>
      <sz val="10"/>
      <color rgb="FF0000FF"/>
      <name val="Arial"/>
      <charset val="1"/>
    </font>
    <font>
      <i/>
      <sz val="10"/>
      <color rgb="FF404040"/>
      <name val="Arial"/>
      <charset val="1"/>
    </font>
    <font>
      <i/>
      <sz val="9"/>
      <color rgb="FFC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9DB"/>
        <bgColor rgb="FFF9F9F9"/>
      </patternFill>
    </fill>
    <fill>
      <patternFill patternType="solid">
        <fgColor rgb="FFF2F2F2"/>
        <bgColor rgb="FFEDEDED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9DB"/>
      </patternFill>
    </fill>
    <fill>
      <patternFill patternType="solid">
        <fgColor rgb="FFFFC7CE"/>
        <bgColor rgb="FFD9D9D9"/>
      </patternFill>
    </fill>
    <fill>
      <patternFill patternType="solid">
        <fgColor rgb="FFEDEDED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8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0" borderId="0" xfId="0" applyFont="1"/>
    <xf numFmtId="0" fontId="7" fillId="0" borderId="0" xfId="0" applyFont="1"/>
    <xf numFmtId="164" fontId="8" fillId="3" borderId="1" xfId="0" applyNumberFormat="1" applyFont="1" applyFill="1" applyBorder="1" applyAlignment="1">
      <alignment horizontal="center"/>
    </xf>
    <xf numFmtId="0" fontId="9" fillId="0" borderId="0" xfId="0" applyFont="1"/>
    <xf numFmtId="0" fontId="14" fillId="0" borderId="0" xfId="0" applyFont="1"/>
    <xf numFmtId="0" fontId="19" fillId="2" borderId="1" xfId="0" applyFont="1" applyFill="1" applyBorder="1" applyAlignment="1">
      <alignment horizontal="center" wrapText="1"/>
    </xf>
    <xf numFmtId="0" fontId="20" fillId="0" borderId="0" xfId="0" applyFont="1"/>
    <xf numFmtId="0" fontId="21" fillId="0" borderId="1" xfId="0" applyFont="1" applyBorder="1"/>
    <xf numFmtId="165" fontId="22" fillId="0" borderId="1" xfId="0" applyNumberFormat="1" applyFont="1" applyBorder="1" applyAlignment="1">
      <alignment horizontal="center" vertical="center" wrapText="1"/>
    </xf>
    <xf numFmtId="165" fontId="21" fillId="0" borderId="1" xfId="0" applyNumberFormat="1" applyFont="1" applyBorder="1" applyAlignment="1">
      <alignment horizontal="center" vertical="center" wrapText="1"/>
    </xf>
    <xf numFmtId="166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/>
    <xf numFmtId="1" fontId="21" fillId="0" borderId="1" xfId="0" applyNumberFormat="1" applyFont="1" applyBorder="1" applyAlignment="1">
      <alignment horizontal="right" vertical="center" wrapText="1"/>
    </xf>
    <xf numFmtId="3" fontId="21" fillId="0" borderId="1" xfId="0" applyNumberFormat="1" applyFont="1" applyBorder="1" applyAlignment="1">
      <alignment horizontal="right" vertical="center" wrapText="1"/>
    </xf>
    <xf numFmtId="2" fontId="22" fillId="0" borderId="1" xfId="0" applyNumberFormat="1" applyFon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38" fontId="21" fillId="0" borderId="1" xfId="0" applyNumberFormat="1" applyFont="1" applyBorder="1" applyAlignment="1">
      <alignment horizontal="right" vertical="center" wrapText="1"/>
    </xf>
    <xf numFmtId="167" fontId="22" fillId="0" borderId="1" xfId="0" applyNumberFormat="1" applyFont="1" applyBorder="1" applyAlignment="1">
      <alignment horizontal="center" vertical="center" wrapText="1"/>
    </xf>
    <xf numFmtId="167" fontId="21" fillId="0" borderId="1" xfId="0" applyNumberFormat="1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9" fontId="21" fillId="0" borderId="1" xfId="0" applyNumberFormat="1" applyFont="1" applyBorder="1" applyAlignment="1">
      <alignment horizontal="right" vertical="center" wrapText="1"/>
    </xf>
    <xf numFmtId="0" fontId="24" fillId="0" borderId="0" xfId="0" applyFont="1"/>
    <xf numFmtId="0" fontId="25" fillId="0" borderId="0" xfId="0" applyFont="1"/>
    <xf numFmtId="0" fontId="26" fillId="2" borderId="1" xfId="0" applyFont="1" applyFill="1" applyBorder="1" applyAlignment="1">
      <alignment horizontal="center" vertical="center" wrapText="1"/>
    </xf>
    <xf numFmtId="17" fontId="26" fillId="2" borderId="1" xfId="0" applyNumberFormat="1" applyFont="1" applyFill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center" vertical="center" wrapText="1"/>
    </xf>
    <xf numFmtId="2" fontId="27" fillId="0" borderId="1" xfId="0" applyNumberFormat="1" applyFont="1" applyBorder="1" applyAlignment="1">
      <alignment horizontal="center" vertical="center" wrapText="1"/>
    </xf>
    <xf numFmtId="167" fontId="27" fillId="0" borderId="1" xfId="0" applyNumberFormat="1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center" wrapText="1"/>
    </xf>
    <xf numFmtId="0" fontId="28" fillId="0" borderId="0" xfId="0" applyFont="1"/>
    <xf numFmtId="0" fontId="19" fillId="2" borderId="0" xfId="0" applyFont="1" applyFill="1"/>
    <xf numFmtId="17" fontId="19" fillId="2" borderId="0" xfId="0" applyNumberFormat="1" applyFont="1" applyFill="1" applyAlignment="1">
      <alignment horizontal="center"/>
    </xf>
    <xf numFmtId="0" fontId="29" fillId="0" borderId="1" xfId="0" applyFont="1" applyBorder="1" applyAlignment="1">
      <alignment horizontal="center" vertical="center" wrapText="1"/>
    </xf>
    <xf numFmtId="9" fontId="22" fillId="0" borderId="1" xfId="0" applyNumberFormat="1" applyFont="1" applyBorder="1" applyAlignment="1">
      <alignment horizontal="center" vertical="center" wrapText="1"/>
    </xf>
    <xf numFmtId="0" fontId="30" fillId="0" borderId="0" xfId="0" applyFont="1"/>
    <xf numFmtId="165" fontId="31" fillId="0" borderId="1" xfId="0" applyNumberFormat="1" applyFont="1" applyBorder="1"/>
    <xf numFmtId="2" fontId="31" fillId="0" borderId="1" xfId="0" applyNumberFormat="1" applyFont="1" applyBorder="1"/>
    <xf numFmtId="167" fontId="31" fillId="0" borderId="1" xfId="0" applyNumberFormat="1" applyFont="1" applyBorder="1"/>
    <xf numFmtId="1" fontId="31" fillId="0" borderId="1" xfId="0" applyNumberFormat="1" applyFont="1" applyBorder="1"/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32" fillId="3" borderId="1" xfId="0" applyFont="1" applyFill="1" applyBorder="1" applyAlignment="1">
      <alignment horizontal="center" vertical="center" wrapText="1"/>
    </xf>
    <xf numFmtId="165" fontId="32" fillId="3" borderId="1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vertical="center" wrapText="1"/>
    </xf>
    <xf numFmtId="2" fontId="32" fillId="3" borderId="1" xfId="0" applyNumberFormat="1" applyFont="1" applyFill="1" applyBorder="1" applyAlignment="1">
      <alignment horizontal="center" vertical="center" wrapText="1"/>
    </xf>
    <xf numFmtId="167" fontId="32" fillId="3" borderId="1" xfId="0" applyNumberFormat="1" applyFont="1" applyFill="1" applyBorder="1" applyAlignment="1">
      <alignment horizontal="center" vertical="center" wrapText="1"/>
    </xf>
    <xf numFmtId="1" fontId="32" fillId="3" borderId="1" xfId="0" applyNumberFormat="1" applyFont="1" applyFill="1" applyBorder="1" applyAlignment="1">
      <alignment horizontal="center" vertical="center" wrapText="1"/>
    </xf>
    <xf numFmtId="0" fontId="33" fillId="0" borderId="0" xfId="0" applyFont="1"/>
    <xf numFmtId="0" fontId="22" fillId="4" borderId="1" xfId="0" applyFont="1" applyFill="1" applyBorder="1"/>
    <xf numFmtId="15" fontId="32" fillId="3" borderId="1" xfId="0" applyNumberFormat="1" applyFont="1" applyFill="1" applyBorder="1"/>
    <xf numFmtId="0" fontId="32" fillId="3" borderId="1" xfId="0" applyFont="1" applyFill="1" applyBorder="1"/>
    <xf numFmtId="165" fontId="32" fillId="3" borderId="1" xfId="0" applyNumberFormat="1" applyFont="1" applyFill="1" applyBorder="1"/>
    <xf numFmtId="167" fontId="32" fillId="3" borderId="1" xfId="0" applyNumberFormat="1" applyFont="1" applyFill="1" applyBorder="1"/>
    <xf numFmtId="0" fontId="34" fillId="0" borderId="0" xfId="0" applyFont="1"/>
    <xf numFmtId="3" fontId="32" fillId="3" borderId="1" xfId="0" applyNumberFormat="1" applyFont="1" applyFill="1" applyBorder="1"/>
    <xf numFmtId="169" fontId="22" fillId="4" borderId="1" xfId="0" applyNumberFormat="1" applyFont="1" applyFill="1" applyBorder="1"/>
    <xf numFmtId="170" fontId="22" fillId="4" borderId="1" xfId="0" applyNumberFormat="1" applyFont="1" applyFill="1" applyBorder="1"/>
    <xf numFmtId="17" fontId="32" fillId="3" borderId="1" xfId="0" applyNumberFormat="1" applyFont="1" applyFill="1" applyBorder="1"/>
    <xf numFmtId="2" fontId="22" fillId="4" borderId="1" xfId="0" applyNumberFormat="1" applyFont="1" applyFill="1" applyBorder="1"/>
    <xf numFmtId="165" fontId="22" fillId="4" borderId="1" xfId="0" applyNumberFormat="1" applyFont="1" applyFill="1" applyBorder="1"/>
    <xf numFmtId="170" fontId="32" fillId="3" borderId="1" xfId="0" applyNumberFormat="1" applyFont="1" applyFill="1" applyBorder="1"/>
    <xf numFmtId="1" fontId="22" fillId="4" borderId="1" xfId="0" applyNumberFormat="1" applyFont="1" applyFill="1" applyBorder="1"/>
    <xf numFmtId="9" fontId="22" fillId="4" borderId="1" xfId="0" applyNumberFormat="1" applyFont="1" applyFill="1" applyBorder="1"/>
    <xf numFmtId="1" fontId="32" fillId="3" borderId="1" xfId="0" applyNumberFormat="1" applyFont="1" applyFill="1" applyBorder="1"/>
    <xf numFmtId="171" fontId="32" fillId="3" borderId="1" xfId="0" applyNumberFormat="1" applyFont="1" applyFill="1" applyBorder="1"/>
    <xf numFmtId="164" fontId="22" fillId="3" borderId="1" xfId="0" applyNumberFormat="1" applyFont="1" applyFill="1" applyBorder="1"/>
    <xf numFmtId="9" fontId="32" fillId="3" borderId="1" xfId="0" applyNumberFormat="1" applyFont="1" applyFill="1" applyBorder="1"/>
    <xf numFmtId="0" fontId="22" fillId="0" borderId="0" xfId="0" applyFont="1"/>
  </cellXfs>
  <cellStyles count="1">
    <cellStyle name="Normal" xfId="0" builtinId="0"/>
  </cellStyles>
  <dxfs count="30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C00000"/>
      </font>
    </dxf>
    <dxf>
      <font>
        <b/>
        <color rgb="FF0061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9DB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F9F9F9"/>
      <rgbColor rgb="FFFF99CC"/>
      <rgbColor rgb="FFCC99FF"/>
      <rgbColor rgb="FFFFC7CE"/>
      <rgbColor rgb="FF2E75B6"/>
      <rgbColor rgb="FF33CCCC"/>
      <rgbColor rgb="FF99CC00"/>
      <rgbColor rgb="FFFFC000"/>
      <rgbColor rgb="FFFF9900"/>
      <rgbColor rgb="FFC55A11"/>
      <rgbColor rgb="FF595959"/>
      <rgbColor rgb="FF878787"/>
      <rgbColor rgb="FF1F3864"/>
      <rgbColor rgb="FF70AD47"/>
      <rgbColor rgb="FF006100"/>
      <rgbColor rgb="FF333300"/>
      <rgbColor rgb="FF9C57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KPIs by status – month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GREEN</c:v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KPI_Tracking!$G$41:$R$41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5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0-4CA5-BD3A-CA425D097C4B}"/>
            </c:ext>
          </c:extLst>
        </c:ser>
        <c:ser>
          <c:idx val="1"/>
          <c:order val="1"/>
          <c:tx>
            <c:v>AMBER</c:v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KPI_Tracking!$G$42:$R$42</c:f>
              <c:numCache>
                <c:formatCode>General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6</c:v>
                </c:pt>
                <c:pt idx="7">
                  <c:v>9</c:v>
                </c:pt>
                <c:pt idx="8">
                  <c:v>8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0-4CA5-BD3A-CA425D097C4B}"/>
            </c:ext>
          </c:extLst>
        </c:ser>
        <c:ser>
          <c:idx val="2"/>
          <c:order val="2"/>
          <c:tx>
            <c:v>RED</c:v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KPI_Tracking!$G$43:$R$43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0-4CA5-BD3A-CA425D097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33373"/>
        <c:axId val="26783263"/>
      </c:barChart>
      <c:dateAx>
        <c:axId val="703337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6783263"/>
        <c:crosses val="autoZero"/>
        <c:auto val="1"/>
        <c:lblOffset val="100"/>
        <c:baseTimeUnit val="months"/>
      </c:dateAx>
      <c:valAx>
        <c:axId val="26783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0333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1. Project Schedule Variance (SV%)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KPI_Tracking!$G$5:$R$5</c:f>
              <c:numCache>
                <c:formatCode>0.0%</c:formatCode>
                <c:ptCount val="12"/>
                <c:pt idx="0">
                  <c:v>-5.3607373662464243E-2</c:v>
                </c:pt>
                <c:pt idx="1">
                  <c:v>-3.2187818986049679E-2</c:v>
                </c:pt>
                <c:pt idx="2">
                  <c:v>-4.6944948578342409E-2</c:v>
                </c:pt>
                <c:pt idx="3">
                  <c:v>-3.159981343283582E-2</c:v>
                </c:pt>
                <c:pt idx="4">
                  <c:v>-4.0722517156545381E-2</c:v>
                </c:pt>
                <c:pt idx="5">
                  <c:v>-5.6735278791037E-2</c:v>
                </c:pt>
                <c:pt idx="6">
                  <c:v>-5.3169038055687928E-2</c:v>
                </c:pt>
                <c:pt idx="7">
                  <c:v>-3.8984383777103698E-2</c:v>
                </c:pt>
                <c:pt idx="8">
                  <c:v>-3.4266327396098389E-2</c:v>
                </c:pt>
                <c:pt idx="9">
                  <c:v>-6.7027027027027022E-2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7-41E4-A947-FBF4C3031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319866"/>
        <c:axId val="46500171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Trends!$B$150:$M$150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07-41E4-A947-FBF4C3031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8319866"/>
        <c:axId val="46500171"/>
      </c:lineChart>
      <c:dateAx>
        <c:axId val="2831986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6500171"/>
        <c:crosses val="autoZero"/>
        <c:auto val="1"/>
        <c:lblOffset val="100"/>
        <c:baseTimeUnit val="months"/>
      </c:dateAx>
      <c:valAx>
        <c:axId val="46500171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83198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2. Project Cost Variance (CV%)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KPI_Tracking!$G$6:$R$6</c:f>
              <c:numCache>
                <c:formatCode>0.0%</c:formatCode>
                <c:ptCount val="12"/>
                <c:pt idx="0">
                  <c:v>-2.4291951192208665E-2</c:v>
                </c:pt>
                <c:pt idx="1">
                  <c:v>-8.8595134298973428E-3</c:v>
                </c:pt>
                <c:pt idx="2">
                  <c:v>-1.7963691760822648E-2</c:v>
                </c:pt>
                <c:pt idx="3">
                  <c:v>-2.667068031306442E-2</c:v>
                </c:pt>
                <c:pt idx="4">
                  <c:v>-4.069649726665317E-2</c:v>
                </c:pt>
                <c:pt idx="5">
                  <c:v>-3.4804226227470481E-2</c:v>
                </c:pt>
                <c:pt idx="6">
                  <c:v>-4.4434857635893013E-2</c:v>
                </c:pt>
                <c:pt idx="7">
                  <c:v>-6.0790273556231003E-3</c:v>
                </c:pt>
                <c:pt idx="8">
                  <c:v>-1.6687159669769892E-2</c:v>
                </c:pt>
                <c:pt idx="9">
                  <c:v>-3.7369640787949014E-2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E-4896-AEE1-592E5D7F8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16356"/>
        <c:axId val="74371502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Trends!$B$151:$M$151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4E-4896-AEE1-592E5D7F8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7516356"/>
        <c:axId val="74371502"/>
      </c:lineChart>
      <c:dateAx>
        <c:axId val="7751635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371502"/>
        <c:crosses val="autoZero"/>
        <c:auto val="1"/>
        <c:lblOffset val="100"/>
        <c:baseTimeUnit val="months"/>
      </c:dateAx>
      <c:valAx>
        <c:axId val="74371502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75163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10. Project Success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KPI_Tracking!$G$14:$R$14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  <c:pt idx="6">
                  <c:v>0.33333333333333331</c:v>
                </c:pt>
                <c:pt idx="7">
                  <c:v>0.5</c:v>
                </c:pt>
                <c:pt idx="8">
                  <c:v>0.6</c:v>
                </c:pt>
                <c:pt idx="9">
                  <c:v>0.6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2-40FD-8A4D-14CDAFCE0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834695"/>
        <c:axId val="18515531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Trends!$B$159:$M$159</c:f>
              <c:numCache>
                <c:formatCode>0.0%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C2-40FD-8A4D-14CDAFCE0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8834695"/>
        <c:axId val="18515531"/>
      </c:lineChart>
      <c:dateAx>
        <c:axId val="3883469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8515531"/>
        <c:crosses val="autoZero"/>
        <c:auto val="1"/>
        <c:lblOffset val="100"/>
        <c:baseTimeUnit val="months"/>
      </c:dateAx>
      <c:valAx>
        <c:axId val="18515531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88346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11. Milestone Completion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KPI_Tracking!$G$15:$R$15</c:f>
              <c:numCache>
                <c:formatCode>0.0%</c:formatCode>
                <c:ptCount val="12"/>
                <c:pt idx="0">
                  <c:v>0.4</c:v>
                </c:pt>
                <c:pt idx="1">
                  <c:v>0.6</c:v>
                </c:pt>
                <c:pt idx="2">
                  <c:v>1</c:v>
                </c:pt>
                <c:pt idx="3">
                  <c:v>0.8</c:v>
                </c:pt>
                <c:pt idx="4">
                  <c:v>0.4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0.25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3-4755-9582-99E7EA940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83704"/>
        <c:axId val="53416930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Trends!$B$160:$M$160</c:f>
              <c:numCache>
                <c:formatCode>0.0%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03-4755-9582-99E7EA940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0283704"/>
        <c:axId val="53416930"/>
      </c:lineChart>
      <c:dateAx>
        <c:axId val="6028370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3416930"/>
        <c:crosses val="autoZero"/>
        <c:auto val="1"/>
        <c:lblOffset val="100"/>
        <c:baseTimeUnit val="months"/>
      </c:dateAx>
      <c:valAx>
        <c:axId val="53416930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02837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3. Budget Utilization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KPI_Tracking!$G$7:$R$7</c:f>
              <c:numCache>
                <c:formatCode>0.0%</c:formatCode>
                <c:ptCount val="12"/>
                <c:pt idx="0">
                  <c:v>0.93177189409368633</c:v>
                </c:pt>
                <c:pt idx="1">
                  <c:v>0.94394736842105265</c:v>
                </c:pt>
                <c:pt idx="2">
                  <c:v>0.9444640753828033</c:v>
                </c:pt>
                <c:pt idx="3">
                  <c:v>0.97724928366762176</c:v>
                </c:pt>
                <c:pt idx="4">
                  <c:v>0.97409981048641814</c:v>
                </c:pt>
                <c:pt idx="5">
                  <c:v>0.94662034112444726</c:v>
                </c:pt>
                <c:pt idx="6">
                  <c:v>0.96007931262392598</c:v>
                </c:pt>
                <c:pt idx="7">
                  <c:v>0.94260679079956189</c:v>
                </c:pt>
                <c:pt idx="8">
                  <c:v>0.94420880913539973</c:v>
                </c:pt>
                <c:pt idx="9">
                  <c:v>0.9549333333333333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0-45BC-8919-F52D25A57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3379"/>
        <c:axId val="56738134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Trends!$B$152:$M$152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E0-45BC-8919-F52D25A57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353379"/>
        <c:axId val="56738134"/>
      </c:lineChart>
      <c:dateAx>
        <c:axId val="7353379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6738134"/>
        <c:crosses val="autoZero"/>
        <c:auto val="1"/>
        <c:lblOffset val="100"/>
        <c:baseTimeUnit val="months"/>
      </c:dateAx>
      <c:valAx>
        <c:axId val="56738134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3533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8. Stakeholder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KPI_Tracking!$G$12:$R$12</c:f>
              <c:numCache>
                <c:formatCode>0.00</c:formatCode>
                <c:ptCount val="12"/>
                <c:pt idx="0">
                  <c:v>3.3125</c:v>
                </c:pt>
                <c:pt idx="1">
                  <c:v>3.3125</c:v>
                </c:pt>
                <c:pt idx="2">
                  <c:v>3.625</c:v>
                </c:pt>
                <c:pt idx="3">
                  <c:v>3.5</c:v>
                </c:pt>
                <c:pt idx="4">
                  <c:v>3.875</c:v>
                </c:pt>
                <c:pt idx="5">
                  <c:v>3.6875</c:v>
                </c:pt>
                <c:pt idx="6">
                  <c:v>3.9166666666666665</c:v>
                </c:pt>
                <c:pt idx="7">
                  <c:v>4.166666666666667</c:v>
                </c:pt>
                <c:pt idx="8">
                  <c:v>4.333333333333333</c:v>
                </c:pt>
                <c:pt idx="9">
                  <c:v>3.9166666666666665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C-4E8F-A97D-82D10DEE6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681582"/>
        <c:axId val="91057976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Trends!$B$157:$M$157</c:f>
              <c:numCache>
                <c:formatCode>0.00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C-4E8F-A97D-82D10DEE6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681582"/>
        <c:axId val="91057976"/>
      </c:lineChart>
      <c:dateAx>
        <c:axId val="9768158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1057976"/>
        <c:crosses val="autoZero"/>
        <c:auto val="1"/>
        <c:lblOffset val="100"/>
        <c:baseTimeUnit val="months"/>
      </c:dateAx>
      <c:valAx>
        <c:axId val="91057976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76815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1. Project Schedule Variance (SV%)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KPI_Tracking!$G$5:$R$5</c:f>
              <c:numCache>
                <c:formatCode>0.0%</c:formatCode>
                <c:ptCount val="12"/>
                <c:pt idx="0">
                  <c:v>-5.3607373662464243E-2</c:v>
                </c:pt>
                <c:pt idx="1">
                  <c:v>-3.2187818986049679E-2</c:v>
                </c:pt>
                <c:pt idx="2">
                  <c:v>-4.6944948578342409E-2</c:v>
                </c:pt>
                <c:pt idx="3">
                  <c:v>-3.159981343283582E-2</c:v>
                </c:pt>
                <c:pt idx="4">
                  <c:v>-4.0722517156545381E-2</c:v>
                </c:pt>
                <c:pt idx="5">
                  <c:v>-5.6735278791037E-2</c:v>
                </c:pt>
                <c:pt idx="6">
                  <c:v>-5.3169038055687928E-2</c:v>
                </c:pt>
                <c:pt idx="7">
                  <c:v>-3.8984383777103698E-2</c:v>
                </c:pt>
                <c:pt idx="8">
                  <c:v>-3.4266327396098389E-2</c:v>
                </c:pt>
                <c:pt idx="9">
                  <c:v>-6.7027027027027022E-2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5-4B58-AD75-83C5A976C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74431"/>
        <c:axId val="91224574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Trends!$B$150:$M$150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35-4B58-AD75-83C5A976C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74431"/>
        <c:axId val="91224574"/>
      </c:lineChart>
      <c:dateAx>
        <c:axId val="4374431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1224574"/>
        <c:crosses val="autoZero"/>
        <c:auto val="1"/>
        <c:lblOffset val="100"/>
        <c:baseTimeUnit val="months"/>
      </c:dateAx>
      <c:valAx>
        <c:axId val="91224574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3744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2. Project Cost Variance (CV%)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KPI_Tracking!$G$6:$R$6</c:f>
              <c:numCache>
                <c:formatCode>0.0%</c:formatCode>
                <c:ptCount val="12"/>
                <c:pt idx="0">
                  <c:v>-2.4291951192208665E-2</c:v>
                </c:pt>
                <c:pt idx="1">
                  <c:v>-8.8595134298973428E-3</c:v>
                </c:pt>
                <c:pt idx="2">
                  <c:v>-1.7963691760822648E-2</c:v>
                </c:pt>
                <c:pt idx="3">
                  <c:v>-2.667068031306442E-2</c:v>
                </c:pt>
                <c:pt idx="4">
                  <c:v>-4.069649726665317E-2</c:v>
                </c:pt>
                <c:pt idx="5">
                  <c:v>-3.4804226227470481E-2</c:v>
                </c:pt>
                <c:pt idx="6">
                  <c:v>-4.4434857635893013E-2</c:v>
                </c:pt>
                <c:pt idx="7">
                  <c:v>-6.0790273556231003E-3</c:v>
                </c:pt>
                <c:pt idx="8">
                  <c:v>-1.6687159669769892E-2</c:v>
                </c:pt>
                <c:pt idx="9">
                  <c:v>-3.7369640787949014E-2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6-455C-A769-FFD03ABF5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812832"/>
        <c:axId val="17000466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Trends!$B$151:$M$151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6-455C-A769-FFD03ABF5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5812832"/>
        <c:axId val="17000466"/>
      </c:lineChart>
      <c:dateAx>
        <c:axId val="35812832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7000466"/>
        <c:crosses val="autoZero"/>
        <c:auto val="1"/>
        <c:lblOffset val="100"/>
        <c:baseTimeUnit val="months"/>
      </c:dateAx>
      <c:valAx>
        <c:axId val="17000466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58128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3. Budget Utilization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KPI_Tracking!$G$7:$R$7</c:f>
              <c:numCache>
                <c:formatCode>0.0%</c:formatCode>
                <c:ptCount val="12"/>
                <c:pt idx="0">
                  <c:v>0.93177189409368633</c:v>
                </c:pt>
                <c:pt idx="1">
                  <c:v>0.94394736842105265</c:v>
                </c:pt>
                <c:pt idx="2">
                  <c:v>0.9444640753828033</c:v>
                </c:pt>
                <c:pt idx="3">
                  <c:v>0.97724928366762176</c:v>
                </c:pt>
                <c:pt idx="4">
                  <c:v>0.97409981048641814</c:v>
                </c:pt>
                <c:pt idx="5">
                  <c:v>0.94662034112444726</c:v>
                </c:pt>
                <c:pt idx="6">
                  <c:v>0.96007931262392598</c:v>
                </c:pt>
                <c:pt idx="7">
                  <c:v>0.94260679079956189</c:v>
                </c:pt>
                <c:pt idx="8">
                  <c:v>0.94420880913539973</c:v>
                </c:pt>
                <c:pt idx="9">
                  <c:v>0.9549333333333333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0-4B33-92C1-EA33FD559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3028"/>
        <c:axId val="45358251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Trends!$B$152:$M$152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B33-92C1-EA33FD559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63028"/>
        <c:axId val="45358251"/>
      </c:lineChart>
      <c:dateAx>
        <c:axId val="66302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5358251"/>
        <c:crosses val="autoZero"/>
        <c:auto val="1"/>
        <c:lblOffset val="100"/>
        <c:baseTimeUnit val="months"/>
      </c:dateAx>
      <c:valAx>
        <c:axId val="45358251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630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4. On-Time Project Delivery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KPI_Tracking!$G$8:$R$8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  <c:pt idx="6">
                  <c:v>0.33333333333333331</c:v>
                </c:pt>
                <c:pt idx="7">
                  <c:v>0.5</c:v>
                </c:pt>
                <c:pt idx="8">
                  <c:v>0.6</c:v>
                </c:pt>
                <c:pt idx="9">
                  <c:v>0.6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1-449B-8AF1-29657414D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763364"/>
        <c:axId val="67429964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Trends!$B$153:$M$153</c:f>
              <c:numCache>
                <c:formatCode>0.0%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F1-449B-8AF1-29657414D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6763364"/>
        <c:axId val="67429964"/>
      </c:lineChart>
      <c:dateAx>
        <c:axId val="7676336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7429964"/>
        <c:crosses val="autoZero"/>
        <c:auto val="1"/>
        <c:lblOffset val="100"/>
        <c:baseTimeUnit val="months"/>
      </c:dateAx>
      <c:valAx>
        <c:axId val="67429964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67633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5. Scope Change Frequency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KPI_Tracking!$G$9:$R$9</c:f>
              <c:numCache>
                <c:formatCode>0.00</c:formatCode>
                <c:ptCount val="12"/>
                <c:pt idx="0">
                  <c:v>1</c:v>
                </c:pt>
                <c:pt idx="1">
                  <c:v>0.4</c:v>
                </c:pt>
                <c:pt idx="2">
                  <c:v>0</c:v>
                </c:pt>
                <c:pt idx="3">
                  <c:v>0.2857142857142857</c:v>
                </c:pt>
                <c:pt idx="4">
                  <c:v>0.42857142857142855</c:v>
                </c:pt>
                <c:pt idx="5">
                  <c:v>0.14285714285714285</c:v>
                </c:pt>
                <c:pt idx="6">
                  <c:v>0.16666666666666666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6-4C39-9CF7-67BEC3174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439426"/>
        <c:axId val="30552922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Trends!$B$154:$M$154</c:f>
              <c:numCache>
                <c:formatCode>0.00</c:formatCode>
                <c:ptCount val="1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6-4C39-9CF7-67BEC3174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439426"/>
        <c:axId val="30552922"/>
      </c:lineChart>
      <c:dateAx>
        <c:axId val="6243942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0552922"/>
        <c:crosses val="autoZero"/>
        <c:auto val="1"/>
        <c:lblOffset val="100"/>
        <c:baseTimeUnit val="months"/>
      </c:dateAx>
      <c:valAx>
        <c:axId val="30552922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24394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6. Risk Mitigation Effectiveness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KPI_Tracking!$G$10:$R$10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0.77777777777777779</c:v>
                </c:pt>
                <c:pt idx="6">
                  <c:v>0.8</c:v>
                </c:pt>
                <c:pt idx="7">
                  <c:v>0.8</c:v>
                </c:pt>
                <c:pt idx="8">
                  <c:v>0.76923076923076927</c:v>
                </c:pt>
                <c:pt idx="9">
                  <c:v>0.8125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9-4382-9236-A99CF0C5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413683"/>
        <c:axId val="26410752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Trends!$B$155:$M$155</c:f>
              <c:numCache>
                <c:formatCode>0.0%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19-4382-9236-A99CF0C5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8413683"/>
        <c:axId val="26410752"/>
      </c:lineChart>
      <c:dateAx>
        <c:axId val="9841368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6410752"/>
        <c:crosses val="autoZero"/>
        <c:auto val="1"/>
        <c:lblOffset val="100"/>
        <c:baseTimeUnit val="months"/>
      </c:dateAx>
      <c:valAx>
        <c:axId val="26410752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84136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7. Issue Resolution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KPI_Tracking!$G$11:$R$11</c:f>
              <c:numCache>
                <c:formatCode>0.0" d"</c:formatCode>
                <c:ptCount val="12"/>
                <c:pt idx="0">
                  <c:v>9.25</c:v>
                </c:pt>
                <c:pt idx="1">
                  <c:v>15</c:v>
                </c:pt>
                <c:pt idx="2">
                  <c:v>9.5714285714285712</c:v>
                </c:pt>
                <c:pt idx="3">
                  <c:v>4.333333333333333</c:v>
                </c:pt>
                <c:pt idx="4">
                  <c:v>8</c:v>
                </c:pt>
                <c:pt idx="5">
                  <c:v>4.4285714285714288</c:v>
                </c:pt>
                <c:pt idx="6">
                  <c:v>10.428571428571429</c:v>
                </c:pt>
                <c:pt idx="7">
                  <c:v>7.4</c:v>
                </c:pt>
                <c:pt idx="8">
                  <c:v>13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D-486A-81E8-EAA319D42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18470"/>
        <c:axId val="11289365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Trends!$B$156:$M$156</c:f>
              <c:numCache>
                <c:formatCode>0.0" d"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7D-486A-81E8-EAA319D42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618470"/>
        <c:axId val="11289365"/>
      </c:lineChart>
      <c:dateAx>
        <c:axId val="761847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1289365"/>
        <c:crosses val="autoZero"/>
        <c:auto val="1"/>
        <c:lblOffset val="100"/>
        <c:baseTimeUnit val="months"/>
      </c:dateAx>
      <c:valAx>
        <c:axId val="1128936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6184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8. Stakeholder Satisfaction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KPI_Tracking!$G$12:$R$12</c:f>
              <c:numCache>
                <c:formatCode>0.00</c:formatCode>
                <c:ptCount val="12"/>
                <c:pt idx="0">
                  <c:v>3.3125</c:v>
                </c:pt>
                <c:pt idx="1">
                  <c:v>3.3125</c:v>
                </c:pt>
                <c:pt idx="2">
                  <c:v>3.625</c:v>
                </c:pt>
                <c:pt idx="3">
                  <c:v>3.5</c:v>
                </c:pt>
                <c:pt idx="4">
                  <c:v>3.875</c:v>
                </c:pt>
                <c:pt idx="5">
                  <c:v>3.6875</c:v>
                </c:pt>
                <c:pt idx="6">
                  <c:v>3.9166666666666665</c:v>
                </c:pt>
                <c:pt idx="7">
                  <c:v>4.166666666666667</c:v>
                </c:pt>
                <c:pt idx="8">
                  <c:v>4.333333333333333</c:v>
                </c:pt>
                <c:pt idx="9">
                  <c:v>3.9166666666666665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D-4A30-A64E-ACCA2FDA0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84141"/>
        <c:axId val="4176972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Trends!$B$157:$M$157</c:f>
              <c:numCache>
                <c:formatCode>0.00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5D-4A30-A64E-ACCA2FDA0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0284141"/>
        <c:axId val="4176972"/>
      </c:lineChart>
      <c:dateAx>
        <c:axId val="20284141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176972"/>
        <c:crosses val="autoZero"/>
        <c:auto val="1"/>
        <c:lblOffset val="100"/>
        <c:baseTimeUnit val="months"/>
      </c:dateAx>
      <c:valAx>
        <c:axId val="4176972"/>
        <c:scaling>
          <c:orientation val="minMax"/>
        </c:scaling>
        <c:delete val="0"/>
        <c:axPos val="l"/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02841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9. Resource Utilization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KPI_Tracking!$G$13:$R$13</c:f>
              <c:numCache>
                <c:formatCode>0.0%</c:formatCode>
                <c:ptCount val="12"/>
                <c:pt idx="0">
                  <c:v>0.84760638297872337</c:v>
                </c:pt>
                <c:pt idx="1">
                  <c:v>0.84244505494505495</c:v>
                </c:pt>
                <c:pt idx="2">
                  <c:v>0.82739361702127656</c:v>
                </c:pt>
                <c:pt idx="3">
                  <c:v>0.81758241758241756</c:v>
                </c:pt>
                <c:pt idx="4">
                  <c:v>0.82181122448979593</c:v>
                </c:pt>
                <c:pt idx="5">
                  <c:v>0.83489010989010992</c:v>
                </c:pt>
                <c:pt idx="6">
                  <c:v>0.81868556701030926</c:v>
                </c:pt>
                <c:pt idx="7">
                  <c:v>0.84076086956521734</c:v>
                </c:pt>
                <c:pt idx="8">
                  <c:v>0.84547872340425534</c:v>
                </c:pt>
                <c:pt idx="9">
                  <c:v>0.86126373626373631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5-4C5F-8C86-B5CE34E7B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072701"/>
        <c:axId val="68059958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Trends!$B$158:$M$158</c:f>
              <c:numCache>
                <c:formatCode>0.0%</c:formatCode>
                <c:ptCount val="12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5-4C5F-8C86-B5CE34E7B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072701"/>
        <c:axId val="68059958"/>
      </c:lineChart>
      <c:dateAx>
        <c:axId val="43072701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8059958"/>
        <c:crosses val="autoZero"/>
        <c:auto val="1"/>
        <c:lblOffset val="100"/>
        <c:baseTimeUnit val="months"/>
      </c:dateAx>
      <c:valAx>
        <c:axId val="6805995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30727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10. Project Success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KPI_Tracking!$G$14:$R$14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0.5</c:v>
                </c:pt>
                <c:pt idx="6">
                  <c:v>0.33333333333333331</c:v>
                </c:pt>
                <c:pt idx="7">
                  <c:v>0.5</c:v>
                </c:pt>
                <c:pt idx="8">
                  <c:v>0.6</c:v>
                </c:pt>
                <c:pt idx="9">
                  <c:v>0.6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C-43C1-8E46-D64C6037E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53395"/>
        <c:axId val="41862936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Trends!$B$159:$M$159</c:f>
              <c:numCache>
                <c:formatCode>0.0%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0C-43C1-8E46-D64C6037E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653395"/>
        <c:axId val="41862936"/>
      </c:lineChart>
      <c:dateAx>
        <c:axId val="27653395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1862936"/>
        <c:crosses val="autoZero"/>
        <c:auto val="1"/>
        <c:lblOffset val="100"/>
        <c:baseTimeUnit val="months"/>
      </c:dateAx>
      <c:valAx>
        <c:axId val="41862936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76533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11. Milestone Completion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KPI_Tracking!$G$15:$R$15</c:f>
              <c:numCache>
                <c:formatCode>0.0%</c:formatCode>
                <c:ptCount val="12"/>
                <c:pt idx="0">
                  <c:v>0.4</c:v>
                </c:pt>
                <c:pt idx="1">
                  <c:v>0.6</c:v>
                </c:pt>
                <c:pt idx="2">
                  <c:v>1</c:v>
                </c:pt>
                <c:pt idx="3">
                  <c:v>0.8</c:v>
                </c:pt>
                <c:pt idx="4">
                  <c:v>0.4</c:v>
                </c:pt>
                <c:pt idx="5">
                  <c:v>0.4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0.25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6-4964-B3B6-0D1679995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215289"/>
        <c:axId val="26174096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Trends!$B$160:$M$160</c:f>
              <c:numCache>
                <c:formatCode>0.0%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C6-4964-B3B6-0D1679995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2215289"/>
        <c:axId val="26174096"/>
      </c:lineChart>
      <c:dateAx>
        <c:axId val="82215289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6174096"/>
        <c:crosses val="autoZero"/>
        <c:auto val="1"/>
        <c:lblOffset val="100"/>
        <c:baseTimeUnit val="months"/>
      </c:dateAx>
      <c:valAx>
        <c:axId val="26174096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22152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12. Project Quality Index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KPI_Tracking!$G$16:$R$16</c:f>
              <c:numCache>
                <c:formatCode>0.0%</c:formatCode>
                <c:ptCount val="12"/>
                <c:pt idx="0">
                  <c:v>1</c:v>
                </c:pt>
                <c:pt idx="1">
                  <c:v>0.8</c:v>
                </c:pt>
                <c:pt idx="2">
                  <c:v>1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0.8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8-46E2-9545-6A63D78C0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354344"/>
        <c:axId val="90326578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Trends!$B$161:$M$161</c:f>
              <c:numCache>
                <c:formatCode>0.0%</c:formatCode>
                <c:ptCount val="12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E8-46E2-9545-6A63D78C0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6354344"/>
        <c:axId val="90326578"/>
      </c:lineChart>
      <c:dateAx>
        <c:axId val="9635434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0326578"/>
        <c:crosses val="autoZero"/>
        <c:auto val="1"/>
        <c:lblOffset val="100"/>
        <c:baseTimeUnit val="months"/>
      </c:dateAx>
      <c:valAx>
        <c:axId val="90326578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63543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13. Change Request Approval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KPI_Tracking!$G$17:$R$17</c:f>
              <c:numCache>
                <c:formatCode>0.0" d"</c:formatCode>
                <c:ptCount val="12"/>
                <c:pt idx="0">
                  <c:v>8.6666666666666661</c:v>
                </c:pt>
                <c:pt idx="1">
                  <c:v>9</c:v>
                </c:pt>
                <c:pt idx="2">
                  <c:v>7.6</c:v>
                </c:pt>
                <c:pt idx="3">
                  <c:v>7</c:v>
                </c:pt>
                <c:pt idx="4">
                  <c:v>5.333333333333333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6.666666666666667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0-4E3F-9725-E6DB9A526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172973"/>
        <c:axId val="66509209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Trends!$B$162:$M$162</c:f>
              <c:numCache>
                <c:formatCode>0.0" d"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0-4E3F-9725-E6DB9A526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6172973"/>
        <c:axId val="66509209"/>
      </c:lineChart>
      <c:dateAx>
        <c:axId val="6617297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6509209"/>
        <c:crosses val="autoZero"/>
        <c:auto val="1"/>
        <c:lblOffset val="100"/>
        <c:baseTimeUnit val="months"/>
      </c:dateAx>
      <c:valAx>
        <c:axId val="66509209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61729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14. Team Productivity Index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KPI_Tracking!$G$18:$R$18</c:f>
              <c:numCache>
                <c:formatCode>0.0%</c:formatCode>
                <c:ptCount val="12"/>
                <c:pt idx="0">
                  <c:v>0.96216666666666661</c:v>
                </c:pt>
                <c:pt idx="1">
                  <c:v>0.90721527777777777</c:v>
                </c:pt>
                <c:pt idx="2">
                  <c:v>0.96729861111111115</c:v>
                </c:pt>
                <c:pt idx="3">
                  <c:v>0.9639305555555554</c:v>
                </c:pt>
                <c:pt idx="4">
                  <c:v>0.98034722222222226</c:v>
                </c:pt>
                <c:pt idx="5">
                  <c:v>0.94514583333333335</c:v>
                </c:pt>
                <c:pt idx="6">
                  <c:v>1.013451388888889</c:v>
                </c:pt>
                <c:pt idx="7">
                  <c:v>0.96982638888888895</c:v>
                </c:pt>
                <c:pt idx="8">
                  <c:v>0.97321527777777772</c:v>
                </c:pt>
                <c:pt idx="9">
                  <c:v>0.95547916666666677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C-4816-A789-65A652229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798210"/>
        <c:axId val="44911939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Trends!$B$163:$M$163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C-4816-A789-65A652229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798210"/>
        <c:axId val="44911939"/>
      </c:lineChart>
      <c:dateAx>
        <c:axId val="85798210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4911939"/>
        <c:crosses val="autoZero"/>
        <c:auto val="1"/>
        <c:lblOffset val="100"/>
        <c:baseTimeUnit val="months"/>
      </c:dateAx>
      <c:valAx>
        <c:axId val="44911939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57982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15. Benefits Realization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KPI_Tracking!$G$19:$R$19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0.91659999999999997</c:v>
                </c:pt>
                <c:pt idx="4">
                  <c:v>0.88561999999999996</c:v>
                </c:pt>
                <c:pt idx="5">
                  <c:v>0.9473548387096774</c:v>
                </c:pt>
                <c:pt idx="6">
                  <c:v>0.89497794117647056</c:v>
                </c:pt>
                <c:pt idx="7">
                  <c:v>0.86095163632302019</c:v>
                </c:pt>
                <c:pt idx="8">
                  <c:v>0.86627370579190155</c:v>
                </c:pt>
                <c:pt idx="9">
                  <c:v>0.92257417525416696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F-43B3-BEF9-543C448BE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35006"/>
        <c:axId val="20450015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Trends!$B$164:$M$164</c:f>
              <c:numCache>
                <c:formatCode>0.0%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AF-43B3-BEF9-543C448BE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835006"/>
        <c:axId val="20450015"/>
      </c:lineChart>
      <c:dateAx>
        <c:axId val="2483500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0450015"/>
        <c:crosses val="autoZero"/>
        <c:auto val="1"/>
        <c:lblOffset val="100"/>
        <c:baseTimeUnit val="months"/>
      </c:dateAx>
      <c:valAx>
        <c:axId val="20450015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48350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16. Continuous Improvement Initiatives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Actual</c:v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KPI_Tracking!$G$20:$R$20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D-4753-89BE-085CABFE2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694884"/>
        <c:axId val="41124520"/>
      </c:barChart>
      <c:lineChart>
        <c:grouping val="standard"/>
        <c:varyColors val="0"/>
        <c:ser>
          <c:idx val="1"/>
          <c:order val="1"/>
          <c:tx>
            <c:v>Target</c:v>
          </c:tx>
          <c:spPr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KPI_Tracking!$G$4:$R$4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Trends!$B$165:$M$165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0D-4753-89BE-085CABFE2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9694884"/>
        <c:axId val="41124520"/>
      </c:lineChart>
      <c:dateAx>
        <c:axId val="49694884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1124520"/>
        <c:crosses val="autoZero"/>
        <c:auto val="1"/>
        <c:lblOffset val="100"/>
        <c:baseTimeUnit val="months"/>
      </c:dateAx>
      <c:valAx>
        <c:axId val="4112452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969488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6" Type="http://schemas.openxmlformats.org/officeDocument/2006/relationships/chart" Target="../charts/chart23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5" Type="http://schemas.openxmlformats.org/officeDocument/2006/relationships/chart" Target="../charts/chart2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1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45915</xdr:rowOff>
    </xdr:from>
    <xdr:to>
      <xdr:col>6</xdr:col>
      <xdr:colOff>258270</xdr:colOff>
      <xdr:row>45</xdr:row>
      <xdr:rowOff>85935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101160</xdr:rowOff>
    </xdr:from>
    <xdr:to>
      <xdr:col>12</xdr:col>
      <xdr:colOff>1107720</xdr:colOff>
      <xdr:row>44</xdr:row>
      <xdr:rowOff>133560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46</xdr:row>
      <xdr:rowOff>100800</xdr:rowOff>
    </xdr:from>
    <xdr:to>
      <xdr:col>6</xdr:col>
      <xdr:colOff>262080</xdr:colOff>
      <xdr:row>60</xdr:row>
      <xdr:rowOff>133560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46</xdr:row>
      <xdr:rowOff>100800</xdr:rowOff>
    </xdr:from>
    <xdr:to>
      <xdr:col>12</xdr:col>
      <xdr:colOff>1107720</xdr:colOff>
      <xdr:row>60</xdr:row>
      <xdr:rowOff>133560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62</xdr:row>
      <xdr:rowOff>100800</xdr:rowOff>
    </xdr:from>
    <xdr:to>
      <xdr:col>6</xdr:col>
      <xdr:colOff>262080</xdr:colOff>
      <xdr:row>76</xdr:row>
      <xdr:rowOff>133560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62</xdr:row>
      <xdr:rowOff>100800</xdr:rowOff>
    </xdr:from>
    <xdr:to>
      <xdr:col>12</xdr:col>
      <xdr:colOff>1107720</xdr:colOff>
      <xdr:row>76</xdr:row>
      <xdr:rowOff>133560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78</xdr:row>
      <xdr:rowOff>101160</xdr:rowOff>
    </xdr:from>
    <xdr:to>
      <xdr:col>6</xdr:col>
      <xdr:colOff>262080</xdr:colOff>
      <xdr:row>92</xdr:row>
      <xdr:rowOff>133560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131040</xdr:rowOff>
    </xdr:from>
    <xdr:to>
      <xdr:col>6</xdr:col>
      <xdr:colOff>407520</xdr:colOff>
      <xdr:row>16</xdr:row>
      <xdr:rowOff>55800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131040</xdr:rowOff>
    </xdr:from>
    <xdr:to>
      <xdr:col>18</xdr:col>
      <xdr:colOff>76320</xdr:colOff>
      <xdr:row>16</xdr:row>
      <xdr:rowOff>55800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130680</xdr:rowOff>
    </xdr:from>
    <xdr:to>
      <xdr:col>6</xdr:col>
      <xdr:colOff>407520</xdr:colOff>
      <xdr:row>31</xdr:row>
      <xdr:rowOff>55440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17</xdr:row>
      <xdr:rowOff>130680</xdr:rowOff>
    </xdr:from>
    <xdr:to>
      <xdr:col>18</xdr:col>
      <xdr:colOff>76320</xdr:colOff>
      <xdr:row>31</xdr:row>
      <xdr:rowOff>55440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32</xdr:row>
      <xdr:rowOff>131040</xdr:rowOff>
    </xdr:from>
    <xdr:to>
      <xdr:col>6</xdr:col>
      <xdr:colOff>407520</xdr:colOff>
      <xdr:row>46</xdr:row>
      <xdr:rowOff>55800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32</xdr:row>
      <xdr:rowOff>131040</xdr:rowOff>
    </xdr:from>
    <xdr:to>
      <xdr:col>18</xdr:col>
      <xdr:colOff>76320</xdr:colOff>
      <xdr:row>46</xdr:row>
      <xdr:rowOff>55800</xdr:rowOff>
    </xdr:to>
    <xdr:graphicFrame macro="">
      <xdr:nvGraphicFramePr>
        <xdr:cNvPr id="12" name="Chart 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47</xdr:row>
      <xdr:rowOff>130680</xdr:rowOff>
    </xdr:from>
    <xdr:to>
      <xdr:col>6</xdr:col>
      <xdr:colOff>407520</xdr:colOff>
      <xdr:row>61</xdr:row>
      <xdr:rowOff>55440</xdr:rowOff>
    </xdr:to>
    <xdr:graphicFrame macro="">
      <xdr:nvGraphicFramePr>
        <xdr:cNvPr id="13" name="Chart 7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47</xdr:row>
      <xdr:rowOff>130680</xdr:rowOff>
    </xdr:from>
    <xdr:to>
      <xdr:col>18</xdr:col>
      <xdr:colOff>76320</xdr:colOff>
      <xdr:row>61</xdr:row>
      <xdr:rowOff>55440</xdr:rowOff>
    </xdr:to>
    <xdr:graphicFrame macro="">
      <xdr:nvGraphicFramePr>
        <xdr:cNvPr id="14" name="Chart 8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62</xdr:row>
      <xdr:rowOff>131040</xdr:rowOff>
    </xdr:from>
    <xdr:to>
      <xdr:col>6</xdr:col>
      <xdr:colOff>407520</xdr:colOff>
      <xdr:row>76</xdr:row>
      <xdr:rowOff>55800</xdr:rowOff>
    </xdr:to>
    <xdr:graphicFrame macro="">
      <xdr:nvGraphicFramePr>
        <xdr:cNvPr id="15" name="Chart 9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0</xdr:colOff>
      <xdr:row>62</xdr:row>
      <xdr:rowOff>131040</xdr:rowOff>
    </xdr:from>
    <xdr:to>
      <xdr:col>18</xdr:col>
      <xdr:colOff>76320</xdr:colOff>
      <xdr:row>76</xdr:row>
      <xdr:rowOff>55800</xdr:rowOff>
    </xdr:to>
    <xdr:graphicFrame macro="">
      <xdr:nvGraphicFramePr>
        <xdr:cNvPr id="16" name="Chart 10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77</xdr:row>
      <xdr:rowOff>130680</xdr:rowOff>
    </xdr:from>
    <xdr:to>
      <xdr:col>6</xdr:col>
      <xdr:colOff>407520</xdr:colOff>
      <xdr:row>91</xdr:row>
      <xdr:rowOff>55440</xdr:rowOff>
    </xdr:to>
    <xdr:graphicFrame macro="">
      <xdr:nvGraphicFramePr>
        <xdr:cNvPr id="17" name="Chart 11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9</xdr:col>
      <xdr:colOff>0</xdr:colOff>
      <xdr:row>77</xdr:row>
      <xdr:rowOff>130680</xdr:rowOff>
    </xdr:from>
    <xdr:to>
      <xdr:col>18</xdr:col>
      <xdr:colOff>76320</xdr:colOff>
      <xdr:row>91</xdr:row>
      <xdr:rowOff>55440</xdr:rowOff>
    </xdr:to>
    <xdr:graphicFrame macro="">
      <xdr:nvGraphicFramePr>
        <xdr:cNvPr id="18" name="Chart 1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0</xdr:colOff>
      <xdr:row>92</xdr:row>
      <xdr:rowOff>131040</xdr:rowOff>
    </xdr:from>
    <xdr:to>
      <xdr:col>6</xdr:col>
      <xdr:colOff>407520</xdr:colOff>
      <xdr:row>106</xdr:row>
      <xdr:rowOff>55800</xdr:rowOff>
    </xdr:to>
    <xdr:graphicFrame macro="">
      <xdr:nvGraphicFramePr>
        <xdr:cNvPr id="19" name="Chart 13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9</xdr:col>
      <xdr:colOff>0</xdr:colOff>
      <xdr:row>92</xdr:row>
      <xdr:rowOff>131040</xdr:rowOff>
    </xdr:from>
    <xdr:to>
      <xdr:col>18</xdr:col>
      <xdr:colOff>76320</xdr:colOff>
      <xdr:row>106</xdr:row>
      <xdr:rowOff>55800</xdr:rowOff>
    </xdr:to>
    <xdr:graphicFrame macro="">
      <xdr:nvGraphicFramePr>
        <xdr:cNvPr id="20" name="Chart 14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0</xdr:colOff>
      <xdr:row>107</xdr:row>
      <xdr:rowOff>130680</xdr:rowOff>
    </xdr:from>
    <xdr:to>
      <xdr:col>6</xdr:col>
      <xdr:colOff>407520</xdr:colOff>
      <xdr:row>121</xdr:row>
      <xdr:rowOff>55440</xdr:rowOff>
    </xdr:to>
    <xdr:graphicFrame macro="">
      <xdr:nvGraphicFramePr>
        <xdr:cNvPr id="21" name="Chart 15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9</xdr:col>
      <xdr:colOff>0</xdr:colOff>
      <xdr:row>107</xdr:row>
      <xdr:rowOff>130680</xdr:rowOff>
    </xdr:from>
    <xdr:to>
      <xdr:col>18</xdr:col>
      <xdr:colOff>76320</xdr:colOff>
      <xdr:row>121</xdr:row>
      <xdr:rowOff>55440</xdr:rowOff>
    </xdr:to>
    <xdr:graphicFrame macro="">
      <xdr:nvGraphicFramePr>
        <xdr:cNvPr id="22" name="Chart 16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B1:C51"/>
  <sheetViews>
    <sheetView showGridLines="0" topLeftCell="A16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95" customWidth="1"/>
  </cols>
  <sheetData>
    <row r="1" spans="2:3" ht="22.8" x14ac:dyDescent="0.4">
      <c r="B1" s="9" t="s">
        <v>0</v>
      </c>
    </row>
    <row r="2" spans="2:3" x14ac:dyDescent="0.3">
      <c r="B2" s="10" t="s">
        <v>1</v>
      </c>
    </row>
    <row r="4" spans="2:3" ht="15.6" x14ac:dyDescent="0.3">
      <c r="B4" s="11" t="s">
        <v>2</v>
      </c>
      <c r="C4" s="12"/>
    </row>
    <row r="5" spans="2:3" ht="30" customHeight="1" x14ac:dyDescent="0.3">
      <c r="B5" s="13" t="s">
        <v>3</v>
      </c>
      <c r="C5" s="14" t="s">
        <v>4</v>
      </c>
    </row>
    <row r="6" spans="2:3" ht="45" customHeight="1" x14ac:dyDescent="0.3">
      <c r="B6" s="13" t="s">
        <v>5</v>
      </c>
      <c r="C6" s="14" t="s">
        <v>6</v>
      </c>
    </row>
    <row r="7" spans="2:3" ht="45" customHeight="1" x14ac:dyDescent="0.3">
      <c r="B7" s="13" t="s">
        <v>7</v>
      </c>
      <c r="C7" s="14" t="s">
        <v>8</v>
      </c>
    </row>
    <row r="8" spans="2:3" ht="30" customHeight="1" x14ac:dyDescent="0.3">
      <c r="B8" s="13" t="s">
        <v>9</v>
      </c>
      <c r="C8" s="14" t="s">
        <v>10</v>
      </c>
    </row>
    <row r="9" spans="2:3" ht="30" customHeight="1" x14ac:dyDescent="0.3">
      <c r="B9" s="13" t="s">
        <v>11</v>
      </c>
      <c r="C9" s="14" t="s">
        <v>12</v>
      </c>
    </row>
    <row r="10" spans="2:3" ht="30" customHeight="1" x14ac:dyDescent="0.3">
      <c r="B10" s="13" t="s">
        <v>13</v>
      </c>
      <c r="C10" s="14" t="s">
        <v>14</v>
      </c>
    </row>
    <row r="12" spans="2:3" ht="15.6" x14ac:dyDescent="0.3">
      <c r="B12" s="11" t="s">
        <v>15</v>
      </c>
      <c r="C12" s="12"/>
    </row>
    <row r="13" spans="2:3" ht="30" customHeight="1" x14ac:dyDescent="0.3">
      <c r="B13" s="13" t="s">
        <v>16</v>
      </c>
      <c r="C13" s="14" t="s">
        <v>17</v>
      </c>
    </row>
    <row r="14" spans="2:3" ht="30" customHeight="1" x14ac:dyDescent="0.3">
      <c r="B14" s="13" t="s">
        <v>18</v>
      </c>
      <c r="C14" s="14" t="s">
        <v>19</v>
      </c>
    </row>
    <row r="15" spans="2:3" ht="15" customHeight="1" x14ac:dyDescent="0.3">
      <c r="B15" s="13" t="s">
        <v>20</v>
      </c>
      <c r="C15" s="14" t="s">
        <v>21</v>
      </c>
    </row>
    <row r="16" spans="2:3" ht="15" customHeight="1" x14ac:dyDescent="0.3">
      <c r="B16" s="13" t="s">
        <v>22</v>
      </c>
      <c r="C16" s="14" t="s">
        <v>23</v>
      </c>
    </row>
    <row r="17" spans="2:3" ht="15" customHeight="1" x14ac:dyDescent="0.3">
      <c r="B17" s="13" t="s">
        <v>24</v>
      </c>
      <c r="C17" s="14" t="s">
        <v>25</v>
      </c>
    </row>
    <row r="18" spans="2:3" ht="15" customHeight="1" x14ac:dyDescent="0.3">
      <c r="B18" s="13" t="s">
        <v>26</v>
      </c>
      <c r="C18" s="14" t="s">
        <v>27</v>
      </c>
    </row>
    <row r="19" spans="2:3" ht="15" customHeight="1" x14ac:dyDescent="0.3">
      <c r="B19" s="13" t="s">
        <v>28</v>
      </c>
      <c r="C19" s="14" t="s">
        <v>29</v>
      </c>
    </row>
    <row r="20" spans="2:3" ht="30" customHeight="1" x14ac:dyDescent="0.3">
      <c r="B20" s="13" t="s">
        <v>30</v>
      </c>
      <c r="C20" s="14" t="s">
        <v>31</v>
      </c>
    </row>
    <row r="21" spans="2:3" ht="15" customHeight="1" x14ac:dyDescent="0.3">
      <c r="B21" s="13" t="s">
        <v>32</v>
      </c>
      <c r="C21" s="14" t="s">
        <v>33</v>
      </c>
    </row>
    <row r="22" spans="2:3" ht="15" customHeight="1" x14ac:dyDescent="0.3">
      <c r="B22" s="13" t="s">
        <v>34</v>
      </c>
      <c r="C22" s="14" t="s">
        <v>35</v>
      </c>
    </row>
    <row r="23" spans="2:3" ht="15" customHeight="1" x14ac:dyDescent="0.3">
      <c r="B23" s="13" t="s">
        <v>36</v>
      </c>
      <c r="C23" s="14" t="s">
        <v>37</v>
      </c>
    </row>
    <row r="24" spans="2:3" ht="15" customHeight="1" x14ac:dyDescent="0.3">
      <c r="B24" s="13" t="s">
        <v>38</v>
      </c>
      <c r="C24" s="14" t="s">
        <v>39</v>
      </c>
    </row>
    <row r="25" spans="2:3" ht="15" customHeight="1" x14ac:dyDescent="0.3">
      <c r="B25" s="13" t="s">
        <v>40</v>
      </c>
      <c r="C25" s="14" t="s">
        <v>41</v>
      </c>
    </row>
    <row r="26" spans="2:3" ht="15" customHeight="1" x14ac:dyDescent="0.3">
      <c r="B26" s="13" t="s">
        <v>42</v>
      </c>
      <c r="C26" s="14" t="s">
        <v>43</v>
      </c>
    </row>
    <row r="27" spans="2:3" ht="15" customHeight="1" x14ac:dyDescent="0.3">
      <c r="B27" s="13" t="s">
        <v>44</v>
      </c>
      <c r="C27" s="14" t="s">
        <v>45</v>
      </c>
    </row>
    <row r="28" spans="2:3" ht="15" customHeight="1" x14ac:dyDescent="0.3">
      <c r="B28" s="13" t="s">
        <v>46</v>
      </c>
      <c r="C28" s="14" t="s">
        <v>47</v>
      </c>
    </row>
    <row r="29" spans="2:3" ht="15" customHeight="1" x14ac:dyDescent="0.3">
      <c r="B29" s="13" t="s">
        <v>48</v>
      </c>
      <c r="C29" s="14" t="s">
        <v>49</v>
      </c>
    </row>
    <row r="30" spans="2:3" ht="15" customHeight="1" x14ac:dyDescent="0.3">
      <c r="B30" s="13" t="s">
        <v>50</v>
      </c>
      <c r="C30" s="14" t="s">
        <v>51</v>
      </c>
    </row>
    <row r="32" spans="2:3" ht="15.6" x14ac:dyDescent="0.3">
      <c r="B32" s="11" t="s">
        <v>52</v>
      </c>
      <c r="C32" s="12"/>
    </row>
    <row r="33" spans="2:3" ht="15" customHeight="1" x14ac:dyDescent="0.3">
      <c r="B33" s="15" t="s">
        <v>53</v>
      </c>
      <c r="C33" s="14" t="s">
        <v>54</v>
      </c>
    </row>
    <row r="34" spans="2:3" ht="15" customHeight="1" x14ac:dyDescent="0.3">
      <c r="B34" s="16" t="s">
        <v>55</v>
      </c>
      <c r="C34" s="14" t="s">
        <v>56</v>
      </c>
    </row>
    <row r="35" spans="2:3" ht="15" customHeight="1" x14ac:dyDescent="0.3">
      <c r="B35" s="13" t="s">
        <v>57</v>
      </c>
      <c r="C35" s="14" t="s">
        <v>58</v>
      </c>
    </row>
    <row r="36" spans="2:3" ht="30" customHeight="1" x14ac:dyDescent="0.3">
      <c r="B36" s="13" t="s">
        <v>59</v>
      </c>
      <c r="C36" s="14" t="s">
        <v>60</v>
      </c>
    </row>
    <row r="38" spans="2:3" ht="15.6" x14ac:dyDescent="0.3">
      <c r="B38" s="11" t="s">
        <v>61</v>
      </c>
      <c r="C38" s="12"/>
    </row>
    <row r="39" spans="2:3" ht="30" customHeight="1" x14ac:dyDescent="0.3">
      <c r="B39" s="13" t="s">
        <v>62</v>
      </c>
      <c r="C39" s="14" t="s">
        <v>63</v>
      </c>
    </row>
    <row r="40" spans="2:3" ht="30" customHeight="1" x14ac:dyDescent="0.3">
      <c r="B40" s="13" t="s">
        <v>64</v>
      </c>
      <c r="C40" s="14" t="s">
        <v>65</v>
      </c>
    </row>
    <row r="41" spans="2:3" ht="30" customHeight="1" x14ac:dyDescent="0.3">
      <c r="B41" s="13" t="s">
        <v>66</v>
      </c>
      <c r="C41" s="14" t="s">
        <v>67</v>
      </c>
    </row>
    <row r="42" spans="2:3" ht="15" customHeight="1" x14ac:dyDescent="0.3">
      <c r="B42" s="13" t="s">
        <v>68</v>
      </c>
      <c r="C42" s="14" t="s">
        <v>69</v>
      </c>
    </row>
    <row r="44" spans="2:3" ht="15.6" x14ac:dyDescent="0.3">
      <c r="B44" s="11" t="s">
        <v>70</v>
      </c>
      <c r="C44" s="12"/>
    </row>
    <row r="45" spans="2:3" ht="45" customHeight="1" x14ac:dyDescent="0.3">
      <c r="B45" s="13" t="s">
        <v>71</v>
      </c>
      <c r="C45" s="14" t="s">
        <v>72</v>
      </c>
    </row>
    <row r="46" spans="2:3" ht="30" customHeight="1" x14ac:dyDescent="0.3">
      <c r="B46" s="13" t="s">
        <v>73</v>
      </c>
      <c r="C46" s="14" t="s">
        <v>74</v>
      </c>
    </row>
    <row r="47" spans="2:3" ht="30" customHeight="1" x14ac:dyDescent="0.3">
      <c r="B47" s="13" t="s">
        <v>75</v>
      </c>
      <c r="C47" s="14" t="s">
        <v>76</v>
      </c>
    </row>
    <row r="48" spans="2:3" ht="30" customHeight="1" x14ac:dyDescent="0.3">
      <c r="B48" s="13" t="s">
        <v>77</v>
      </c>
      <c r="C48" s="14" t="s">
        <v>78</v>
      </c>
    </row>
    <row r="49" spans="2:3" ht="30" customHeight="1" x14ac:dyDescent="0.3">
      <c r="B49" s="13" t="s">
        <v>79</v>
      </c>
      <c r="C49" s="14" t="s">
        <v>80</v>
      </c>
    </row>
    <row r="50" spans="2:3" ht="30" customHeight="1" x14ac:dyDescent="0.3">
      <c r="B50" s="13" t="s">
        <v>81</v>
      </c>
      <c r="C50" s="14" t="s">
        <v>82</v>
      </c>
    </row>
    <row r="51" spans="2:3" ht="30" customHeight="1" x14ac:dyDescent="0.3">
      <c r="B51" s="13" t="s">
        <v>83</v>
      </c>
      <c r="C51" s="14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M31"/>
  <sheetViews>
    <sheetView showGridLines="0" zoomScaleNormal="100" workbookViewId="0">
      <pane ySplit="4" topLeftCell="A50" activePane="bottomLeft" state="frozen"/>
      <selection pane="bottomLeft" activeCell="Q42" sqref="Q42"/>
    </sheetView>
  </sheetViews>
  <sheetFormatPr defaultColWidth="8.6640625" defaultRowHeight="14.4" x14ac:dyDescent="0.3"/>
  <cols>
    <col min="1" max="1" width="2" customWidth="1"/>
    <col min="2" max="2" width="32" customWidth="1"/>
    <col min="3" max="3" width="13" customWidth="1"/>
    <col min="4" max="6" width="11" customWidth="1"/>
    <col min="7" max="7" width="13" customWidth="1"/>
    <col min="8" max="10" width="11" customWidth="1"/>
    <col min="11" max="11" width="3" customWidth="1"/>
    <col min="12" max="12" width="30" customWidth="1"/>
    <col min="13" max="13" width="16" customWidth="1"/>
  </cols>
  <sheetData>
    <row r="1" spans="2:13" ht="22.8" x14ac:dyDescent="0.4">
      <c r="B1" s="9" t="s">
        <v>85</v>
      </c>
    </row>
    <row r="2" spans="2:13" x14ac:dyDescent="0.3">
      <c r="B2" s="17" t="str">
        <f>Settings!B4</f>
        <v>Mining Services – Project Portfolio</v>
      </c>
    </row>
    <row r="4" spans="2:13" ht="15.6" x14ac:dyDescent="0.3">
      <c r="B4" s="18" t="s">
        <v>86</v>
      </c>
      <c r="C4" s="19">
        <f ca="1">MIN(Settings!$B$6,EDATE(Settings!$B$5,11))</f>
        <v>46296</v>
      </c>
      <c r="D4" s="20" t="s">
        <v>87</v>
      </c>
    </row>
    <row r="6" spans="2:13" x14ac:dyDescent="0.3">
      <c r="B6" s="18" t="s">
        <v>88</v>
      </c>
      <c r="C6" s="8" t="s">
        <v>89</v>
      </c>
      <c r="D6" s="8"/>
      <c r="E6" s="7" t="s">
        <v>90</v>
      </c>
      <c r="F6" s="7"/>
      <c r="G6" s="6" t="s">
        <v>91</v>
      </c>
      <c r="H6" s="6"/>
      <c r="I6" s="5" t="s">
        <v>92</v>
      </c>
      <c r="J6" s="5"/>
    </row>
    <row r="7" spans="2:13" ht="33.75" customHeight="1" x14ac:dyDescent="0.3">
      <c r="B7" s="21" t="str">
        <f ca="1">IF(SUM(C7:H7)=0,"",TEXT(C7/(C7+E7+G7),"0%")&amp;" of measured KPIs on target")</f>
        <v>44% of measured KPIs on target</v>
      </c>
      <c r="C7" s="4">
        <f ca="1">COUNTIF($H$11:$H$26,"GREEN")</f>
        <v>7</v>
      </c>
      <c r="D7" s="4"/>
      <c r="E7" s="3">
        <f ca="1">COUNTIF($H$11:$H$26,"AMBER")</f>
        <v>4</v>
      </c>
      <c r="F7" s="3"/>
      <c r="G7" s="2">
        <f ca="1">COUNTIF($H$11:$H$26,"RED")</f>
        <v>5</v>
      </c>
      <c r="H7" s="2"/>
      <c r="I7" s="1">
        <f ca="1">COUNTBLANK($D$11:$D$26)</f>
        <v>0</v>
      </c>
      <c r="J7" s="1"/>
    </row>
    <row r="10" spans="2:13" ht="30" customHeight="1" x14ac:dyDescent="0.3">
      <c r="B10" s="22" t="s">
        <v>93</v>
      </c>
      <c r="C10" s="22" t="s">
        <v>94</v>
      </c>
      <c r="D10" s="22" t="s">
        <v>95</v>
      </c>
      <c r="E10" s="22" t="s">
        <v>96</v>
      </c>
      <c r="F10" s="22" t="s">
        <v>97</v>
      </c>
      <c r="G10" s="22" t="s">
        <v>98</v>
      </c>
      <c r="H10" s="22" t="s">
        <v>99</v>
      </c>
      <c r="I10" s="22" t="s">
        <v>100</v>
      </c>
      <c r="J10" s="22" t="s">
        <v>101</v>
      </c>
      <c r="L10" s="23" t="s">
        <v>102</v>
      </c>
    </row>
    <row r="11" spans="2:13" x14ac:dyDescent="0.3">
      <c r="B11" s="24" t="str">
        <f>KPI_Tracking!B5</f>
        <v>Project Schedule Variance (SV%)</v>
      </c>
      <c r="C11" s="25">
        <f>KPI_Tracking!E5</f>
        <v>0</v>
      </c>
      <c r="D11" s="26">
        <f ca="1">IFERROR(INDEX(KPI_Tracking!$G5:$R5,MATCH($C$4,KPI_Tracking!$G$4:$R$4,0)),"")</f>
        <v>-6.7027027027027022E-2</v>
      </c>
      <c r="E11" s="25">
        <f ca="1">IFERROR(IF(MATCH($C$4,KPI_Tracking!$G$4:$R$4,0)=1,"",INDEX(KPI_Tracking!$G5:$R5,MATCH($C$4,KPI_Tracking!$G$4:$R$4,0)-1)),"")</f>
        <v>-3.4266327396098389E-2</v>
      </c>
      <c r="F11" s="27">
        <f t="shared" ref="F11:F26" ca="1" si="0">IF(OR(D11="",E11=""),"",D11-E11)</f>
        <v>-3.2760699630928633E-2</v>
      </c>
      <c r="G11" s="28" t="str">
        <f ca="1">IF(F11="","",IF(F11=0,"► Stable",IF((F11&gt;0)=(KPI_Tracking!$D5="Higher"),"▲ Better","▼ Worse")))</f>
        <v>▼ Worse</v>
      </c>
      <c r="H11" s="28" t="str">
        <f ca="1">IF(D11="","",IF(KPI_Tracking!$D5="Higher",IF(D11&gt;=KPI_Tracking!$E5,"GREEN",IF(D11&gt;=KPI_Tracking!$F5,"AMBER","RED")),IF(D11&lt;=KPI_Tracking!$E5,"GREEN",IF(D11&lt;=KPI_Tracking!$F5,"AMBER","RED"))))</f>
        <v>RED</v>
      </c>
      <c r="I11" s="28">
        <f>COUNTIFS(Action_Log!$C$5:$C$504,B11,Action_Log!$J$5:$J$504,"Open")+COUNTIFS(Action_Log!$C$5:$C$504,B11,Action_Log!$J$5:$J$504,"In progress")</f>
        <v>0</v>
      </c>
      <c r="J11" s="28">
        <f>COUNTIFS(Action_Log!$C$5:$C$504,B11,Action_Log!$J$5:$J$504,"Implemented")</f>
        <v>1</v>
      </c>
      <c r="L11" s="29" t="s">
        <v>103</v>
      </c>
      <c r="M11" s="30">
        <f>COUNTA(Projects!$A$5:$A$104)</f>
        <v>8</v>
      </c>
    </row>
    <row r="12" spans="2:13" x14ac:dyDescent="0.3">
      <c r="B12" s="24" t="str">
        <f>KPI_Tracking!B6</f>
        <v>Project Cost Variance (CV%)</v>
      </c>
      <c r="C12" s="25">
        <f>KPI_Tracking!E6</f>
        <v>0</v>
      </c>
      <c r="D12" s="26">
        <f ca="1">IFERROR(INDEX(KPI_Tracking!$G6:$R6,MATCH($C$4,KPI_Tracking!$G$4:$R$4,0)),"")</f>
        <v>-3.7369640787949014E-2</v>
      </c>
      <c r="E12" s="25">
        <f ca="1">IFERROR(IF(MATCH($C$4,KPI_Tracking!$G$4:$R$4,0)=1,"",INDEX(KPI_Tracking!$G6:$R6,MATCH($C$4,KPI_Tracking!$G$4:$R$4,0)-1)),"")</f>
        <v>-1.6687159669769892E-2</v>
      </c>
      <c r="F12" s="27">
        <f t="shared" ca="1" si="0"/>
        <v>-2.0682481118179122E-2</v>
      </c>
      <c r="G12" s="28" t="str">
        <f ca="1">IF(F12="","",IF(F12=0,"► Stable",IF((F12&gt;0)=(KPI_Tracking!$D6="Higher"),"▲ Better","▼ Worse")))</f>
        <v>▼ Worse</v>
      </c>
      <c r="H12" s="28" t="str">
        <f ca="1">IF(D12="","",IF(KPI_Tracking!$D6="Higher",IF(D12&gt;=KPI_Tracking!$E6,"GREEN",IF(D12&gt;=KPI_Tracking!$F6,"AMBER","RED")),IF(D12&lt;=KPI_Tracking!$E6,"GREEN",IF(D12&lt;=KPI_Tracking!$F6,"AMBER","RED"))))</f>
        <v>AMBER</v>
      </c>
      <c r="I12" s="28">
        <f>COUNTIFS(Action_Log!$C$5:$C$504,B12,Action_Log!$J$5:$J$504,"Open")+COUNTIFS(Action_Log!$C$5:$C$504,B12,Action_Log!$J$5:$J$504,"In progress")</f>
        <v>1</v>
      </c>
      <c r="J12" s="28">
        <f>COUNTIFS(Action_Log!$C$5:$C$504,B12,Action_Log!$J$5:$J$504,"Implemented")</f>
        <v>1</v>
      </c>
      <c r="L12" s="29" t="s">
        <v>104</v>
      </c>
      <c r="M12" s="30">
        <f>COUNTIF(Projects!$I$5:$I$104,"Active")</f>
        <v>3</v>
      </c>
    </row>
    <row r="13" spans="2:13" x14ac:dyDescent="0.3">
      <c r="B13" s="24" t="str">
        <f>KPI_Tracking!B7</f>
        <v>Budget Utilization</v>
      </c>
      <c r="C13" s="25">
        <f>KPI_Tracking!E7</f>
        <v>1</v>
      </c>
      <c r="D13" s="26">
        <f ca="1">IFERROR(INDEX(KPI_Tracking!$G7:$R7,MATCH($C$4,KPI_Tracking!$G$4:$R$4,0)),"")</f>
        <v>0.9549333333333333</v>
      </c>
      <c r="E13" s="25">
        <f ca="1">IFERROR(IF(MATCH($C$4,KPI_Tracking!$G$4:$R$4,0)=1,"",INDEX(KPI_Tracking!$G7:$R7,MATCH($C$4,KPI_Tracking!$G$4:$R$4,0)-1)),"")</f>
        <v>0.94420880913539973</v>
      </c>
      <c r="F13" s="27">
        <f t="shared" ca="1" si="0"/>
        <v>1.0724524197933571E-2</v>
      </c>
      <c r="G13" s="28" t="str">
        <f ca="1">IF(F13="","",IF(F13=0,"► Stable",IF((F13&gt;0)=(KPI_Tracking!$D7="Higher"),"▲ Better","▼ Worse")))</f>
        <v>▼ Worse</v>
      </c>
      <c r="H13" s="28" t="str">
        <f ca="1">IF(D13="","",IF(KPI_Tracking!$D7="Higher",IF(D13&gt;=KPI_Tracking!$E7,"GREEN",IF(D13&gt;=KPI_Tracking!$F7,"AMBER","RED")),IF(D13&lt;=KPI_Tracking!$E7,"GREEN",IF(D13&lt;=KPI_Tracking!$F7,"AMBER","RED"))))</f>
        <v>GREEN</v>
      </c>
      <c r="I13" s="28">
        <f>COUNTIFS(Action_Log!$C$5:$C$504,B13,Action_Log!$J$5:$J$504,"Open")+COUNTIFS(Action_Log!$C$5:$C$504,B13,Action_Log!$J$5:$J$504,"In progress")</f>
        <v>0</v>
      </c>
      <c r="J13" s="28">
        <f>COUNTIFS(Action_Log!$C$5:$C$504,B13,Action_Log!$J$5:$J$504,"Implemented")</f>
        <v>0</v>
      </c>
      <c r="L13" s="29" t="s">
        <v>105</v>
      </c>
      <c r="M13" s="30">
        <f>COUNTIF(Projects!$I$5:$I$104,"Completed")</f>
        <v>5</v>
      </c>
    </row>
    <row r="14" spans="2:13" x14ac:dyDescent="0.3">
      <c r="B14" s="24" t="str">
        <f>KPI_Tracking!B8</f>
        <v>On-Time Project Delivery</v>
      </c>
      <c r="C14" s="25">
        <f>KPI_Tracking!E8</f>
        <v>0.9</v>
      </c>
      <c r="D14" s="26">
        <f ca="1">IFERROR(INDEX(KPI_Tracking!$G8:$R8,MATCH($C$4,KPI_Tracking!$G$4:$R$4,0)),"")</f>
        <v>0.6</v>
      </c>
      <c r="E14" s="25">
        <f ca="1">IFERROR(IF(MATCH($C$4,KPI_Tracking!$G$4:$R$4,0)=1,"",INDEX(KPI_Tracking!$G8:$R8,MATCH($C$4,KPI_Tracking!$G$4:$R$4,0)-1)),"")</f>
        <v>0.6</v>
      </c>
      <c r="F14" s="27">
        <f t="shared" ca="1" si="0"/>
        <v>0</v>
      </c>
      <c r="G14" s="28" t="str">
        <f ca="1">IF(F14="","",IF(F14=0,"► Stable",IF((F14&gt;0)=(KPI_Tracking!$D8="Higher"),"▲ Better","▼ Worse")))</f>
        <v>► Stable</v>
      </c>
      <c r="H14" s="28" t="str">
        <f ca="1">IF(D14="","",IF(KPI_Tracking!$D8="Higher",IF(D14&gt;=KPI_Tracking!$E8,"GREEN",IF(D14&gt;=KPI_Tracking!$F8,"AMBER","RED")),IF(D14&lt;=KPI_Tracking!$E8,"GREEN",IF(D14&lt;=KPI_Tracking!$F8,"AMBER","RED"))))</f>
        <v>RED</v>
      </c>
      <c r="I14" s="28">
        <f>COUNTIFS(Action_Log!$C$5:$C$504,B14,Action_Log!$J$5:$J$504,"Open")+COUNTIFS(Action_Log!$C$5:$C$504,B14,Action_Log!$J$5:$J$504,"In progress")</f>
        <v>0</v>
      </c>
      <c r="J14" s="28">
        <f>COUNTIFS(Action_Log!$C$5:$C$504,B14,Action_Log!$J$5:$J$504,"Implemented")</f>
        <v>0</v>
      </c>
      <c r="L14" s="29" t="s">
        <v>106</v>
      </c>
      <c r="M14" s="31">
        <f>SUM(Projects!$J$5:$J$104)</f>
        <v>13320000</v>
      </c>
    </row>
    <row r="15" spans="2:13" x14ac:dyDescent="0.3">
      <c r="B15" s="24" t="str">
        <f>KPI_Tracking!B9</f>
        <v>Scope Change Frequency</v>
      </c>
      <c r="C15" s="32">
        <f>KPI_Tracking!E9</f>
        <v>0.5</v>
      </c>
      <c r="D15" s="33">
        <f ca="1">IFERROR(INDEX(KPI_Tracking!$G9:$R9,MATCH($C$4,KPI_Tracking!$G$4:$R$4,0)),"")</f>
        <v>0</v>
      </c>
      <c r="E15" s="32">
        <f ca="1">IFERROR(IF(MATCH($C$4,KPI_Tracking!$G$4:$R$4,0)=1,"",INDEX(KPI_Tracking!$G9:$R9,MATCH($C$4,KPI_Tracking!$G$4:$R$4,0)-1)),"")</f>
        <v>0</v>
      </c>
      <c r="F15" s="32">
        <f t="shared" ca="1" si="0"/>
        <v>0</v>
      </c>
      <c r="G15" s="28" t="str">
        <f ca="1">IF(F15="","",IF(F15=0,"► Stable",IF((F15&gt;0)=(KPI_Tracking!$D9="Higher"),"▲ Better","▼ Worse")))</f>
        <v>► Stable</v>
      </c>
      <c r="H15" s="28" t="str">
        <f ca="1">IF(D15="","",IF(KPI_Tracking!$D9="Higher",IF(D15&gt;=KPI_Tracking!$E9,"GREEN",IF(D15&gt;=KPI_Tracking!$F9,"AMBER","RED")),IF(D15&lt;=KPI_Tracking!$E9,"GREEN",IF(D15&lt;=KPI_Tracking!$F9,"AMBER","RED"))))</f>
        <v>GREEN</v>
      </c>
      <c r="I15" s="28">
        <f>COUNTIFS(Action_Log!$C$5:$C$504,B15,Action_Log!$J$5:$J$504,"Open")+COUNTIFS(Action_Log!$C$5:$C$504,B15,Action_Log!$J$5:$J$504,"In progress")</f>
        <v>0</v>
      </c>
      <c r="J15" s="28">
        <f>COUNTIFS(Action_Log!$C$5:$C$504,B15,Action_Log!$J$5:$J$504,"Implemented")</f>
        <v>1</v>
      </c>
      <c r="L15" s="29" t="s">
        <v>107</v>
      </c>
      <c r="M15" s="31">
        <f>SUM(Projects!$K$5:$K$104)</f>
        <v>13795000</v>
      </c>
    </row>
    <row r="16" spans="2:13" x14ac:dyDescent="0.3">
      <c r="B16" s="24" t="str">
        <f>KPI_Tracking!B10</f>
        <v>Risk Mitigation Effectiveness</v>
      </c>
      <c r="C16" s="25">
        <f>KPI_Tracking!E10</f>
        <v>0.85</v>
      </c>
      <c r="D16" s="26">
        <f ca="1">IFERROR(INDEX(KPI_Tracking!$G10:$R10,MATCH($C$4,KPI_Tracking!$G$4:$R$4,0)),"")</f>
        <v>0.8125</v>
      </c>
      <c r="E16" s="25">
        <f ca="1">IFERROR(IF(MATCH($C$4,KPI_Tracking!$G$4:$R$4,0)=1,"",INDEX(KPI_Tracking!$G10:$R10,MATCH($C$4,KPI_Tracking!$G$4:$R$4,0)-1)),"")</f>
        <v>0.76923076923076927</v>
      </c>
      <c r="F16" s="27">
        <f t="shared" ca="1" si="0"/>
        <v>4.3269230769230727E-2</v>
      </c>
      <c r="G16" s="28" t="str">
        <f ca="1">IF(F16="","",IF(F16=0,"► Stable",IF((F16&gt;0)=(KPI_Tracking!$D10="Higher"),"▲ Better","▼ Worse")))</f>
        <v>▲ Better</v>
      </c>
      <c r="H16" s="28" t="str">
        <f ca="1">IF(D16="","",IF(KPI_Tracking!$D10="Higher",IF(D16&gt;=KPI_Tracking!$E10,"GREEN",IF(D16&gt;=KPI_Tracking!$F10,"AMBER","RED")),IF(D16&lt;=KPI_Tracking!$E10,"GREEN",IF(D16&lt;=KPI_Tracking!$F10,"AMBER","RED"))))</f>
        <v>AMBER</v>
      </c>
      <c r="I16" s="28">
        <f>COUNTIFS(Action_Log!$C$5:$C$504,B16,Action_Log!$J$5:$J$504,"Open")+COUNTIFS(Action_Log!$C$5:$C$504,B16,Action_Log!$J$5:$J$504,"In progress")</f>
        <v>0</v>
      </c>
      <c r="J16" s="28">
        <f>COUNTIFS(Action_Log!$C$5:$C$504,B16,Action_Log!$J$5:$J$504,"Implemented")</f>
        <v>0</v>
      </c>
      <c r="L16" s="29" t="s">
        <v>108</v>
      </c>
      <c r="M16" s="34">
        <f>M14-M15</f>
        <v>-475000</v>
      </c>
    </row>
    <row r="17" spans="2:13" x14ac:dyDescent="0.3">
      <c r="B17" s="24" t="str">
        <f>KPI_Tracking!B11</f>
        <v>Issue Resolution Time</v>
      </c>
      <c r="C17" s="35">
        <f>KPI_Tracking!E11</f>
        <v>7</v>
      </c>
      <c r="D17" s="36">
        <f ca="1">IFERROR(INDEX(KPI_Tracking!$G11:$R11,MATCH($C$4,KPI_Tracking!$G$4:$R$4,0)),"")</f>
        <v>5</v>
      </c>
      <c r="E17" s="35">
        <f ca="1">IFERROR(IF(MATCH($C$4,KPI_Tracking!$G$4:$R$4,0)=1,"",INDEX(KPI_Tracking!$G11:$R11,MATCH($C$4,KPI_Tracking!$G$4:$R$4,0)-1)),"")</f>
        <v>13</v>
      </c>
      <c r="F17" s="35">
        <f t="shared" ca="1" si="0"/>
        <v>-8</v>
      </c>
      <c r="G17" s="28" t="str">
        <f ca="1">IF(F17="","",IF(F17=0,"► Stable",IF((F17&gt;0)=(KPI_Tracking!$D11="Higher"),"▲ Better","▼ Worse")))</f>
        <v>▲ Better</v>
      </c>
      <c r="H17" s="28" t="str">
        <f ca="1">IF(D17="","",IF(KPI_Tracking!$D11="Higher",IF(D17&gt;=KPI_Tracking!$E11,"GREEN",IF(D17&gt;=KPI_Tracking!$F11,"AMBER","RED")),IF(D17&lt;=KPI_Tracking!$E11,"GREEN",IF(D17&lt;=KPI_Tracking!$F11,"AMBER","RED"))))</f>
        <v>GREEN</v>
      </c>
      <c r="I17" s="28">
        <f>COUNTIFS(Action_Log!$C$5:$C$504,B17,Action_Log!$J$5:$J$504,"Open")+COUNTIFS(Action_Log!$C$5:$C$504,B17,Action_Log!$J$5:$J$504,"In progress")</f>
        <v>0</v>
      </c>
      <c r="J17" s="28">
        <f>COUNTIFS(Action_Log!$C$5:$C$504,B17,Action_Log!$J$5:$J$504,"Implemented")</f>
        <v>1</v>
      </c>
      <c r="L17" s="29" t="s">
        <v>109</v>
      </c>
      <c r="M17" s="30">
        <f>COUNTIF(Risk_Log!$L$5:$L$504,"Open")</f>
        <v>12</v>
      </c>
    </row>
    <row r="18" spans="2:13" x14ac:dyDescent="0.3">
      <c r="B18" s="24" t="str">
        <f>KPI_Tracking!B12</f>
        <v>Stakeholder Satisfaction</v>
      </c>
      <c r="C18" s="32">
        <f>KPI_Tracking!E12</f>
        <v>4</v>
      </c>
      <c r="D18" s="33">
        <f ca="1">IFERROR(INDEX(KPI_Tracking!$G12:$R12,MATCH($C$4,KPI_Tracking!$G$4:$R$4,0)),"")</f>
        <v>3.9166666666666665</v>
      </c>
      <c r="E18" s="32">
        <f ca="1">IFERROR(IF(MATCH($C$4,KPI_Tracking!$G$4:$R$4,0)=1,"",INDEX(KPI_Tracking!$G12:$R12,MATCH($C$4,KPI_Tracking!$G$4:$R$4,0)-1)),"")</f>
        <v>4.333333333333333</v>
      </c>
      <c r="F18" s="32">
        <f t="shared" ca="1" si="0"/>
        <v>-0.41666666666666652</v>
      </c>
      <c r="G18" s="28" t="str">
        <f ca="1">IF(F18="","",IF(F18=0,"► Stable",IF((F18&gt;0)=(KPI_Tracking!$D12="Higher"),"▲ Better","▼ Worse")))</f>
        <v>▼ Worse</v>
      </c>
      <c r="H18" s="28" t="str">
        <f ca="1">IF(D18="","",IF(KPI_Tracking!$D12="Higher",IF(D18&gt;=KPI_Tracking!$E12,"GREEN",IF(D18&gt;=KPI_Tracking!$F12,"AMBER","RED")),IF(D18&lt;=KPI_Tracking!$E12,"GREEN",IF(D18&lt;=KPI_Tracking!$F12,"AMBER","RED"))))</f>
        <v>AMBER</v>
      </c>
      <c r="I18" s="28">
        <f>COUNTIFS(Action_Log!$C$5:$C$504,B18,Action_Log!$J$5:$J$504,"Open")+COUNTIFS(Action_Log!$C$5:$C$504,B18,Action_Log!$J$5:$J$504,"In progress")</f>
        <v>0</v>
      </c>
      <c r="J18" s="28">
        <f>COUNTIFS(Action_Log!$C$5:$C$504,B18,Action_Log!$J$5:$J$504,"Implemented")</f>
        <v>0</v>
      </c>
      <c r="L18" s="29" t="s">
        <v>110</v>
      </c>
      <c r="M18" s="30">
        <f>COUNTIFS(Risk_Log!$L$5:$L$504,"Open",Risk_Log!$I$5:$I$504,"High")</f>
        <v>6</v>
      </c>
    </row>
    <row r="19" spans="2:13" x14ac:dyDescent="0.3">
      <c r="B19" s="24" t="str">
        <f>KPI_Tracking!B13</f>
        <v>Resource Utilization Rate</v>
      </c>
      <c r="C19" s="25">
        <f>KPI_Tracking!E13</f>
        <v>0.85</v>
      </c>
      <c r="D19" s="26">
        <f ca="1">IFERROR(INDEX(KPI_Tracking!$G13:$R13,MATCH($C$4,KPI_Tracking!$G$4:$R$4,0)),"")</f>
        <v>0.86126373626373631</v>
      </c>
      <c r="E19" s="25">
        <f ca="1">IFERROR(IF(MATCH($C$4,KPI_Tracking!$G$4:$R$4,0)=1,"",INDEX(KPI_Tracking!$G13:$R13,MATCH($C$4,KPI_Tracking!$G$4:$R$4,0)-1)),"")</f>
        <v>0.84547872340425534</v>
      </c>
      <c r="F19" s="27">
        <f t="shared" ca="1" si="0"/>
        <v>1.5785012859480974E-2</v>
      </c>
      <c r="G19" s="28" t="str">
        <f ca="1">IF(F19="","",IF(F19=0,"► Stable",IF((F19&gt;0)=(KPI_Tracking!$D13="Higher"),"▲ Better","▼ Worse")))</f>
        <v>▲ Better</v>
      </c>
      <c r="H19" s="28" t="str">
        <f ca="1">IF(D19="","",IF(KPI_Tracking!$D13="Higher",IF(D19&gt;=KPI_Tracking!$E13,"GREEN",IF(D19&gt;=KPI_Tracking!$F13,"AMBER","RED")),IF(D19&lt;=KPI_Tracking!$E13,"GREEN",IF(D19&lt;=KPI_Tracking!$F13,"AMBER","RED"))))</f>
        <v>GREEN</v>
      </c>
      <c r="I19" s="28">
        <f>COUNTIFS(Action_Log!$C$5:$C$504,B19,Action_Log!$J$5:$J$504,"Open")+COUNTIFS(Action_Log!$C$5:$C$504,B19,Action_Log!$J$5:$J$504,"In progress")</f>
        <v>1</v>
      </c>
      <c r="J19" s="28">
        <f>COUNTIFS(Action_Log!$C$5:$C$504,B19,Action_Log!$J$5:$J$504,"Implemented")</f>
        <v>0</v>
      </c>
      <c r="L19" s="29" t="s">
        <v>111</v>
      </c>
      <c r="M19" s="30">
        <f>COUNTIF(Issue_Log!$G$5:$G$504,"Open")+COUNTIF(Issue_Log!$G$5:$G$504,"In progress")</f>
        <v>1</v>
      </c>
    </row>
    <row r="20" spans="2:13" x14ac:dyDescent="0.3">
      <c r="B20" s="24" t="str">
        <f>KPI_Tracking!B14</f>
        <v>Project Success Rate</v>
      </c>
      <c r="C20" s="25">
        <f>KPI_Tracking!E14</f>
        <v>0.8</v>
      </c>
      <c r="D20" s="26">
        <f ca="1">IFERROR(INDEX(KPI_Tracking!$G14:$R14,MATCH($C$4,KPI_Tracking!$G$4:$R$4,0)),"")</f>
        <v>0.6</v>
      </c>
      <c r="E20" s="25">
        <f ca="1">IFERROR(IF(MATCH($C$4,KPI_Tracking!$G$4:$R$4,0)=1,"",INDEX(KPI_Tracking!$G14:$R14,MATCH($C$4,KPI_Tracking!$G$4:$R$4,0)-1)),"")</f>
        <v>0.6</v>
      </c>
      <c r="F20" s="27">
        <f t="shared" ca="1" si="0"/>
        <v>0</v>
      </c>
      <c r="G20" s="28" t="str">
        <f ca="1">IF(F20="","",IF(F20=0,"► Stable",IF((F20&gt;0)=(KPI_Tracking!$D14="Higher"),"▲ Better","▼ Worse")))</f>
        <v>► Stable</v>
      </c>
      <c r="H20" s="28" t="str">
        <f ca="1">IF(D20="","",IF(KPI_Tracking!$D14="Higher",IF(D20&gt;=KPI_Tracking!$E14,"GREEN",IF(D20&gt;=KPI_Tracking!$F14,"AMBER","RED")),IF(D20&lt;=KPI_Tracking!$E14,"GREEN",IF(D20&lt;=KPI_Tracking!$F14,"AMBER","RED"))))</f>
        <v>RED</v>
      </c>
      <c r="I20" s="28">
        <f>COUNTIFS(Action_Log!$C$5:$C$504,B20,Action_Log!$J$5:$J$504,"Open")+COUNTIFS(Action_Log!$C$5:$C$504,B20,Action_Log!$J$5:$J$504,"In progress")</f>
        <v>0</v>
      </c>
      <c r="J20" s="28">
        <f>COUNTIFS(Action_Log!$C$5:$C$504,B20,Action_Log!$J$5:$J$504,"Implemented")</f>
        <v>0</v>
      </c>
      <c r="L20" s="29" t="s">
        <v>112</v>
      </c>
      <c r="M20" s="30">
        <f ca="1">COUNTIF(Issue_Log!$J$5:$J$504,"&gt;14")</f>
        <v>0</v>
      </c>
    </row>
    <row r="21" spans="2:13" x14ac:dyDescent="0.3">
      <c r="B21" s="24" t="str">
        <f>KPI_Tracking!B15</f>
        <v>Milestone Completion Rate</v>
      </c>
      <c r="C21" s="25">
        <f>KPI_Tracking!E15</f>
        <v>0.9</v>
      </c>
      <c r="D21" s="26">
        <f ca="1">IFERROR(INDEX(KPI_Tracking!$G15:$R15,MATCH($C$4,KPI_Tracking!$G$4:$R$4,0)),"")</f>
        <v>0.25</v>
      </c>
      <c r="E21" s="25">
        <f ca="1">IFERROR(IF(MATCH($C$4,KPI_Tracking!$G$4:$R$4,0)=1,"",INDEX(KPI_Tracking!$G15:$R15,MATCH($C$4,KPI_Tracking!$G$4:$R$4,0)-1)),"")</f>
        <v>1</v>
      </c>
      <c r="F21" s="27">
        <f t="shared" ca="1" si="0"/>
        <v>-0.75</v>
      </c>
      <c r="G21" s="28" t="str">
        <f ca="1">IF(F21="","",IF(F21=0,"► Stable",IF((F21&gt;0)=(KPI_Tracking!$D15="Higher"),"▲ Better","▼ Worse")))</f>
        <v>▼ Worse</v>
      </c>
      <c r="H21" s="28" t="str">
        <f ca="1">IF(D21="","",IF(KPI_Tracking!$D15="Higher",IF(D21&gt;=KPI_Tracking!$E15,"GREEN",IF(D21&gt;=KPI_Tracking!$F15,"AMBER","RED")),IF(D21&lt;=KPI_Tracking!$E15,"GREEN",IF(D21&lt;=KPI_Tracking!$F15,"AMBER","RED"))))</f>
        <v>RED</v>
      </c>
      <c r="I21" s="28">
        <f>COUNTIFS(Action_Log!$C$5:$C$504,B21,Action_Log!$J$5:$J$504,"Open")+COUNTIFS(Action_Log!$C$5:$C$504,B21,Action_Log!$J$5:$J$504,"In progress")</f>
        <v>0</v>
      </c>
      <c r="J21" s="28">
        <f>COUNTIFS(Action_Log!$C$5:$C$504,B21,Action_Log!$J$5:$J$504,"Implemented")</f>
        <v>1</v>
      </c>
      <c r="L21" s="29" t="s">
        <v>113</v>
      </c>
      <c r="M21" s="30">
        <f>COUNTIF(Change_Log!$I$5:$I$504,"Pending")</f>
        <v>1</v>
      </c>
    </row>
    <row r="22" spans="2:13" x14ac:dyDescent="0.3">
      <c r="B22" s="24" t="str">
        <f>KPI_Tracking!B16</f>
        <v>Project Quality Index</v>
      </c>
      <c r="C22" s="25">
        <f>KPI_Tracking!E16</f>
        <v>0.95</v>
      </c>
      <c r="D22" s="26">
        <f ca="1">IFERROR(INDEX(KPI_Tracking!$G16:$R16,MATCH($C$4,KPI_Tracking!$G$4:$R$4,0)),"")</f>
        <v>1</v>
      </c>
      <c r="E22" s="25">
        <f ca="1">IFERROR(IF(MATCH($C$4,KPI_Tracking!$G$4:$R$4,0)=1,"",INDEX(KPI_Tracking!$G16:$R16,MATCH($C$4,KPI_Tracking!$G$4:$R$4,0)-1)),"")</f>
        <v>1</v>
      </c>
      <c r="F22" s="27">
        <f t="shared" ca="1" si="0"/>
        <v>0</v>
      </c>
      <c r="G22" s="28" t="str">
        <f ca="1">IF(F22="","",IF(F22=0,"► Stable",IF((F22&gt;0)=(KPI_Tracking!$D16="Higher"),"▲ Better","▼ Worse")))</f>
        <v>► Stable</v>
      </c>
      <c r="H22" s="28" t="str">
        <f ca="1">IF(D22="","",IF(KPI_Tracking!$D16="Higher",IF(D22&gt;=KPI_Tracking!$E16,"GREEN",IF(D22&gt;=KPI_Tracking!$F16,"AMBER","RED")),IF(D22&lt;=KPI_Tracking!$E16,"GREEN",IF(D22&lt;=KPI_Tracking!$F16,"AMBER","RED"))))</f>
        <v>GREEN</v>
      </c>
      <c r="I22" s="28">
        <f>COUNTIFS(Action_Log!$C$5:$C$504,B22,Action_Log!$J$5:$J$504,"Open")+COUNTIFS(Action_Log!$C$5:$C$504,B22,Action_Log!$J$5:$J$504,"In progress")</f>
        <v>0</v>
      </c>
      <c r="J22" s="28">
        <f>COUNTIFS(Action_Log!$C$5:$C$504,B22,Action_Log!$J$5:$J$504,"Implemented")</f>
        <v>1</v>
      </c>
      <c r="L22" s="29" t="s">
        <v>114</v>
      </c>
      <c r="M22" s="31">
        <f>SUMIFS(Change_Log!$G$5:$G$504,Change_Log!$I$5:$I$504,"Approved")</f>
        <v>449000</v>
      </c>
    </row>
    <row r="23" spans="2:13" x14ac:dyDescent="0.3">
      <c r="B23" s="24" t="str">
        <f>KPI_Tracking!B17</f>
        <v>Change Request Approval Time</v>
      </c>
      <c r="C23" s="35">
        <f>KPI_Tracking!E17</f>
        <v>5</v>
      </c>
      <c r="D23" s="36">
        <f ca="1">IFERROR(INDEX(KPI_Tracking!$G17:$R17,MATCH($C$4,KPI_Tracking!$G$4:$R$4,0)),"")</f>
        <v>5</v>
      </c>
      <c r="E23" s="35">
        <f ca="1">IFERROR(IF(MATCH($C$4,KPI_Tracking!$G$4:$R$4,0)=1,"",INDEX(KPI_Tracking!$G17:$R17,MATCH($C$4,KPI_Tracking!$G$4:$R$4,0)-1)),"")</f>
        <v>6.666666666666667</v>
      </c>
      <c r="F23" s="35">
        <f t="shared" ca="1" si="0"/>
        <v>-1.666666666666667</v>
      </c>
      <c r="G23" s="28" t="str">
        <f ca="1">IF(F23="","",IF(F23=0,"► Stable",IF((F23&gt;0)=(KPI_Tracking!$D17="Higher"),"▲ Better","▼ Worse")))</f>
        <v>▲ Better</v>
      </c>
      <c r="H23" s="28" t="str">
        <f ca="1">IF(D23="","",IF(KPI_Tracking!$D17="Higher",IF(D23&gt;=KPI_Tracking!$E17,"GREEN",IF(D23&gt;=KPI_Tracking!$F17,"AMBER","RED")),IF(D23&lt;=KPI_Tracking!$E17,"GREEN",IF(D23&lt;=KPI_Tracking!$F17,"AMBER","RED"))))</f>
        <v>GREEN</v>
      </c>
      <c r="I23" s="28">
        <f>COUNTIFS(Action_Log!$C$5:$C$504,B23,Action_Log!$J$5:$J$504,"Open")+COUNTIFS(Action_Log!$C$5:$C$504,B23,Action_Log!$J$5:$J$504,"In progress")</f>
        <v>0</v>
      </c>
      <c r="J23" s="28">
        <f>COUNTIFS(Action_Log!$C$5:$C$504,B23,Action_Log!$J$5:$J$504,"Implemented")</f>
        <v>1</v>
      </c>
      <c r="L23" s="29" t="s">
        <v>115</v>
      </c>
      <c r="M23" s="30">
        <f ca="1">COUNTIF(Milestones!$H$5:$H$504,"Overdue")</f>
        <v>3</v>
      </c>
    </row>
    <row r="24" spans="2:13" x14ac:dyDescent="0.3">
      <c r="B24" s="24" t="str">
        <f>KPI_Tracking!B18</f>
        <v>Team Productivity Index</v>
      </c>
      <c r="C24" s="25">
        <f>KPI_Tracking!E18</f>
        <v>1</v>
      </c>
      <c r="D24" s="26">
        <f ca="1">IFERROR(INDEX(KPI_Tracking!$G18:$R18,MATCH($C$4,KPI_Tracking!$G$4:$R$4,0)),"")</f>
        <v>0.95547916666666677</v>
      </c>
      <c r="E24" s="25">
        <f ca="1">IFERROR(IF(MATCH($C$4,KPI_Tracking!$G$4:$R$4,0)=1,"",INDEX(KPI_Tracking!$G18:$R18,MATCH($C$4,KPI_Tracking!$G$4:$R$4,0)-1)),"")</f>
        <v>0.97321527777777772</v>
      </c>
      <c r="F24" s="27">
        <f t="shared" ca="1" si="0"/>
        <v>-1.7736111111110953E-2</v>
      </c>
      <c r="G24" s="28" t="str">
        <f ca="1">IF(F24="","",IF(F24=0,"► Stable",IF((F24&gt;0)=(KPI_Tracking!$D18="Higher"),"▲ Better","▼ Worse")))</f>
        <v>▼ Worse</v>
      </c>
      <c r="H24" s="28" t="str">
        <f ca="1">IF(D24="","",IF(KPI_Tracking!$D18="Higher",IF(D24&gt;=KPI_Tracking!$E18,"GREEN",IF(D24&gt;=KPI_Tracking!$F18,"AMBER","RED")),IF(D24&lt;=KPI_Tracking!$E18,"GREEN",IF(D24&lt;=KPI_Tracking!$F18,"AMBER","RED"))))</f>
        <v>AMBER</v>
      </c>
      <c r="I24" s="28">
        <f>COUNTIFS(Action_Log!$C$5:$C$504,B24,Action_Log!$J$5:$J$504,"Open")+COUNTIFS(Action_Log!$C$5:$C$504,B24,Action_Log!$J$5:$J$504,"In progress")</f>
        <v>1</v>
      </c>
      <c r="J24" s="28">
        <f>COUNTIFS(Action_Log!$C$5:$C$504,B24,Action_Log!$J$5:$J$504,"Implemented")</f>
        <v>0</v>
      </c>
      <c r="L24" s="29" t="s">
        <v>116</v>
      </c>
      <c r="M24" s="30">
        <f ca="1">COUNTIF(Action_Log!$N$5:$N$504,"On track")+COUNTIF(Action_Log!$N$5:$N$504,"OVERDUE")</f>
        <v>3</v>
      </c>
    </row>
    <row r="25" spans="2:13" x14ac:dyDescent="0.3">
      <c r="B25" s="24" t="str">
        <f>KPI_Tracking!B19</f>
        <v>Benefits Realization</v>
      </c>
      <c r="C25" s="25">
        <f>KPI_Tracking!E19</f>
        <v>0.9</v>
      </c>
      <c r="D25" s="26">
        <f ca="1">IFERROR(INDEX(KPI_Tracking!$G19:$R19,MATCH($C$4,KPI_Tracking!$G$4:$R$4,0)),"")</f>
        <v>0.92257417525416696</v>
      </c>
      <c r="E25" s="25">
        <f ca="1">IFERROR(IF(MATCH($C$4,KPI_Tracking!$G$4:$R$4,0)=1,"",INDEX(KPI_Tracking!$G19:$R19,MATCH($C$4,KPI_Tracking!$G$4:$R$4,0)-1)),"")</f>
        <v>0.86627370579190155</v>
      </c>
      <c r="F25" s="27">
        <f t="shared" ca="1" si="0"/>
        <v>5.6300469462265412E-2</v>
      </c>
      <c r="G25" s="28" t="str">
        <f ca="1">IF(F25="","",IF(F25=0,"► Stable",IF((F25&gt;0)=(KPI_Tracking!$D19="Higher"),"▲ Better","▼ Worse")))</f>
        <v>▲ Better</v>
      </c>
      <c r="H25" s="28" t="str">
        <f ca="1">IF(D25="","",IF(KPI_Tracking!$D19="Higher",IF(D25&gt;=KPI_Tracking!$E19,"GREEN",IF(D25&gt;=KPI_Tracking!$F19,"AMBER","RED")),IF(D25&lt;=KPI_Tracking!$E19,"GREEN",IF(D25&lt;=KPI_Tracking!$F19,"AMBER","RED"))))</f>
        <v>GREEN</v>
      </c>
      <c r="I25" s="28">
        <f>COUNTIFS(Action_Log!$C$5:$C$504,B25,Action_Log!$J$5:$J$504,"Open")+COUNTIFS(Action_Log!$C$5:$C$504,B25,Action_Log!$J$5:$J$504,"In progress")</f>
        <v>0</v>
      </c>
      <c r="J25" s="28">
        <f>COUNTIFS(Action_Log!$C$5:$C$504,B25,Action_Log!$J$5:$J$504,"Implemented")</f>
        <v>0</v>
      </c>
      <c r="L25" s="29" t="s">
        <v>117</v>
      </c>
      <c r="M25" s="30">
        <f ca="1">COUNTIF(Action_Log!$N$5:$N$504,"OVERDUE")</f>
        <v>2</v>
      </c>
    </row>
    <row r="26" spans="2:13" x14ac:dyDescent="0.3">
      <c r="B26" s="24" t="str">
        <f>KPI_Tracking!B20</f>
        <v>Continuous Improvement Initiatives</v>
      </c>
      <c r="C26" s="37">
        <f>KPI_Tracking!E20</f>
        <v>2</v>
      </c>
      <c r="D26" s="38">
        <f ca="1">IFERROR(INDEX(KPI_Tracking!$G20:$R20,MATCH($C$4,KPI_Tracking!$G$4:$R$4,0)),"")</f>
        <v>0</v>
      </c>
      <c r="E26" s="37">
        <f ca="1">IFERROR(IF(MATCH($C$4,KPI_Tracking!$G$4:$R$4,0)=1,"",INDEX(KPI_Tracking!$G20:$R20,MATCH($C$4,KPI_Tracking!$G$4:$R$4,0)-1)),"")</f>
        <v>0</v>
      </c>
      <c r="F26" s="37">
        <f t="shared" ca="1" si="0"/>
        <v>0</v>
      </c>
      <c r="G26" s="28" t="str">
        <f ca="1">IF(F26="","",IF(F26=0,"► Stable",IF((F26&gt;0)=(KPI_Tracking!$D20="Higher"),"▲ Better","▼ Worse")))</f>
        <v>► Stable</v>
      </c>
      <c r="H26" s="28" t="str">
        <f ca="1">IF(D26="","",IF(KPI_Tracking!$D20="Higher",IF(D26&gt;=KPI_Tracking!$E20,"GREEN",IF(D26&gt;=KPI_Tracking!$F20,"AMBER","RED")),IF(D26&lt;=KPI_Tracking!$E20,"GREEN",IF(D26&lt;=KPI_Tracking!$F20,"AMBER","RED"))))</f>
        <v>RED</v>
      </c>
      <c r="I26" s="28">
        <f>COUNTIFS(Action_Log!$C$5:$C$504,B26,Action_Log!$J$5:$J$504,"Open")+COUNTIFS(Action_Log!$C$5:$C$504,B26,Action_Log!$J$5:$J$504,"In progress")</f>
        <v>0</v>
      </c>
      <c r="J26" s="28">
        <f>COUNTIFS(Action_Log!$C$5:$C$504,B26,Action_Log!$J$5:$J$504,"Implemented")</f>
        <v>0</v>
      </c>
      <c r="L26" s="29" t="s">
        <v>118</v>
      </c>
      <c r="M26" s="39">
        <f>IFERROR(COUNTIF(Action_Log!$M$5:$M$504,"Improved")/COUNTA(Action_Log!$L$5:$L$504),"")</f>
        <v>1</v>
      </c>
    </row>
    <row r="27" spans="2:13" x14ac:dyDescent="0.3">
      <c r="L27" s="29" t="s">
        <v>119</v>
      </c>
      <c r="M27" s="30">
        <f>COUNTIF(CI_Log!$F$5:$F$504,"Implemented")</f>
        <v>11</v>
      </c>
    </row>
    <row r="28" spans="2:13" x14ac:dyDescent="0.3">
      <c r="L28" s="29" t="s">
        <v>120</v>
      </c>
      <c r="M28" s="30">
        <f>COUNTIFS(CI_Log!$F$5:$F$504,"Implemented",CI_Log!$I$5:$I$504,"Yes")</f>
        <v>10</v>
      </c>
    </row>
    <row r="29" spans="2:13" x14ac:dyDescent="0.3">
      <c r="L29" s="29" t="s">
        <v>121</v>
      </c>
      <c r="M29" s="30">
        <f>COUNT(Target_Revisions!$B$5:$B$104)</f>
        <v>2</v>
      </c>
    </row>
    <row r="31" spans="2:13" x14ac:dyDescent="0.3">
      <c r="B31" s="23" t="s">
        <v>122</v>
      </c>
    </row>
  </sheetData>
  <mergeCells count="8">
    <mergeCell ref="C6:D6"/>
    <mergeCell ref="E6:F6"/>
    <mergeCell ref="G6:H6"/>
    <mergeCell ref="I6:J6"/>
    <mergeCell ref="C7:D7"/>
    <mergeCell ref="E7:F7"/>
    <mergeCell ref="G7:H7"/>
    <mergeCell ref="I7:J7"/>
  </mergeCells>
  <conditionalFormatting sqref="G11:G26">
    <cfRule type="expression" dxfId="29" priority="5">
      <formula>LEFT(G11,1)="▲"</formula>
    </cfRule>
    <cfRule type="expression" dxfId="28" priority="6">
      <formula>LEFT(G11,1)="▼"</formula>
    </cfRule>
  </conditionalFormatting>
  <conditionalFormatting sqref="H11:H26">
    <cfRule type="cellIs" dxfId="27" priority="2" operator="equal">
      <formula>"GREEN"</formula>
    </cfRule>
    <cfRule type="cellIs" dxfId="26" priority="3" operator="equal">
      <formula>"AMBER"</formula>
    </cfRule>
    <cfRule type="cellIs" dxfId="25" priority="4" operator="equal">
      <formula>"RED"</formula>
    </cfRule>
  </conditionalFormatting>
  <conditionalFormatting sqref="I11:I26">
    <cfRule type="cellIs" dxfId="24" priority="7" operator="greaterThan">
      <formula>0</formula>
    </cfRule>
  </conditionalFormatting>
  <conditionalFormatting sqref="M16">
    <cfRule type="cellIs" dxfId="23" priority="12" operator="lessThan">
      <formula>0</formula>
    </cfRule>
  </conditionalFormatting>
  <conditionalFormatting sqref="M18">
    <cfRule type="cellIs" dxfId="22" priority="8" operator="greaterThan">
      <formula>0</formula>
    </cfRule>
  </conditionalFormatting>
  <conditionalFormatting sqref="M20">
    <cfRule type="cellIs" dxfId="21" priority="9" operator="greaterThan">
      <formula>0</formula>
    </cfRule>
  </conditionalFormatting>
  <conditionalFormatting sqref="M23">
    <cfRule type="cellIs" dxfId="20" priority="10" operator="greaterThan">
      <formula>0</formula>
    </cfRule>
  </conditionalFormatting>
  <conditionalFormatting sqref="M25">
    <cfRule type="cellIs" dxfId="19" priority="11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entry" error="Pick a value from the list" xr:uid="{00000000-0002-0000-0100-000000000000}">
          <x14:formula1>
            <xm:f>KPI_Tracking!$G$4:$R$4</xm:f>
          </x14:formula1>
          <x14:formula2>
            <xm:f>0</xm:f>
          </x14:formula2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V44"/>
  <sheetViews>
    <sheetView showGridLines="0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ColWidth="8.6640625" defaultRowHeight="14.4" x14ac:dyDescent="0.3"/>
  <cols>
    <col min="1" max="1" width="4" customWidth="1"/>
    <col min="2" max="2" width="32" customWidth="1"/>
    <col min="3" max="3" width="11" customWidth="1"/>
    <col min="4" max="18" width="9" customWidth="1"/>
    <col min="19" max="20" width="11" customWidth="1"/>
    <col min="21" max="22" width="9" customWidth="1"/>
  </cols>
  <sheetData>
    <row r="1" spans="1:22" ht="21" x14ac:dyDescent="0.4">
      <c r="A1" s="40" t="s">
        <v>123</v>
      </c>
    </row>
    <row r="2" spans="1:22" x14ac:dyDescent="0.3">
      <c r="A2" s="41" t="s">
        <v>124</v>
      </c>
    </row>
    <row r="4" spans="1:22" ht="31.5" customHeight="1" x14ac:dyDescent="0.3">
      <c r="A4" s="42" t="s">
        <v>125</v>
      </c>
      <c r="B4" s="42" t="s">
        <v>93</v>
      </c>
      <c r="C4" s="42" t="s">
        <v>126</v>
      </c>
      <c r="D4" s="42" t="s">
        <v>127</v>
      </c>
      <c r="E4" s="42" t="s">
        <v>94</v>
      </c>
      <c r="F4" s="42" t="s">
        <v>128</v>
      </c>
      <c r="G4" s="43">
        <f>EDATE(Settings!$B$5,0)</f>
        <v>46023</v>
      </c>
      <c r="H4" s="43">
        <f>EDATE(Settings!$B$5,1)</f>
        <v>46054</v>
      </c>
      <c r="I4" s="43">
        <f>EDATE(Settings!$B$5,2)</f>
        <v>46082</v>
      </c>
      <c r="J4" s="43">
        <f>EDATE(Settings!$B$5,3)</f>
        <v>46113</v>
      </c>
      <c r="K4" s="43">
        <f>EDATE(Settings!$B$5,4)</f>
        <v>46143</v>
      </c>
      <c r="L4" s="43">
        <f>EDATE(Settings!$B$5,5)</f>
        <v>46174</v>
      </c>
      <c r="M4" s="43">
        <f>EDATE(Settings!$B$5,6)</f>
        <v>46204</v>
      </c>
      <c r="N4" s="43">
        <f>EDATE(Settings!$B$5,7)</f>
        <v>46235</v>
      </c>
      <c r="O4" s="43">
        <f>EDATE(Settings!$B$5,8)</f>
        <v>46266</v>
      </c>
      <c r="P4" s="43">
        <f>EDATE(Settings!$B$5,9)</f>
        <v>46296</v>
      </c>
      <c r="Q4" s="43">
        <f>EDATE(Settings!$B$5,10)</f>
        <v>46327</v>
      </c>
      <c r="R4" s="43">
        <f>EDATE(Settings!$B$5,11)</f>
        <v>46357</v>
      </c>
      <c r="S4" s="42" t="s">
        <v>129</v>
      </c>
      <c r="T4" s="42" t="s">
        <v>130</v>
      </c>
      <c r="U4" s="42" t="s">
        <v>131</v>
      </c>
      <c r="V4" s="42" t="s">
        <v>132</v>
      </c>
    </row>
    <row r="5" spans="1:22" x14ac:dyDescent="0.3">
      <c r="A5" s="28">
        <v>1</v>
      </c>
      <c r="B5" s="24" t="str">
        <f>KPI_Targets!B5</f>
        <v>Project Schedule Variance (SV%)</v>
      </c>
      <c r="C5" s="28" t="str">
        <f>KPI_Targets!E5</f>
        <v>%</v>
      </c>
      <c r="D5" s="28" t="str">
        <f>KPI_Targets!F5</f>
        <v>Higher</v>
      </c>
      <c r="E5" s="44">
        <f>KPI_Targets!G5</f>
        <v>0</v>
      </c>
      <c r="F5" s="44">
        <f>KPI_Targets!H5</f>
        <v>-0.05</v>
      </c>
      <c r="G5" s="25">
        <f ca="1">IF(G$4&gt;Settings!$B$6,"",IFERROR((SUMIFS(Cost_Schedule!$F$5:$F$504,Cost_Schedule!$A$5:$A$504,"&gt;="&amp;G$4,Cost_Schedule!$A$5:$A$504,"&lt;="&amp;EOMONTH(G$4,0))-SUMIFS(Cost_Schedule!$E$5:$E$504,Cost_Schedule!$A$5:$A$504,"&gt;="&amp;G$4,Cost_Schedule!$A$5:$A$504,"&lt;="&amp;EOMONTH(G$4,0)))/SUMIFS(Cost_Schedule!$E$5:$E$504,Cost_Schedule!$A$5:$A$504,"&gt;="&amp;G$4,Cost_Schedule!$A$5:$A$504,"&lt;="&amp;EOMONTH(G$4,0)),""))</f>
        <v>-5.3607373662464243E-2</v>
      </c>
      <c r="H5" s="25">
        <f ca="1">IF(H$4&gt;Settings!$B$6,"",IFERROR((SUMIFS(Cost_Schedule!$F$5:$F$504,Cost_Schedule!$A$5:$A$504,"&gt;="&amp;H$4,Cost_Schedule!$A$5:$A$504,"&lt;="&amp;EOMONTH(H$4,0))-SUMIFS(Cost_Schedule!$E$5:$E$504,Cost_Schedule!$A$5:$A$504,"&gt;="&amp;H$4,Cost_Schedule!$A$5:$A$504,"&lt;="&amp;EOMONTH(H$4,0)))/SUMIFS(Cost_Schedule!$E$5:$E$504,Cost_Schedule!$A$5:$A$504,"&gt;="&amp;H$4,Cost_Schedule!$A$5:$A$504,"&lt;="&amp;EOMONTH(H$4,0)),""))</f>
        <v>-3.2187818986049679E-2</v>
      </c>
      <c r="I5" s="25">
        <f ca="1">IF(I$4&gt;Settings!$B$6,"",IFERROR((SUMIFS(Cost_Schedule!$F$5:$F$504,Cost_Schedule!$A$5:$A$504,"&gt;="&amp;I$4,Cost_Schedule!$A$5:$A$504,"&lt;="&amp;EOMONTH(I$4,0))-SUMIFS(Cost_Schedule!$E$5:$E$504,Cost_Schedule!$A$5:$A$504,"&gt;="&amp;I$4,Cost_Schedule!$A$5:$A$504,"&lt;="&amp;EOMONTH(I$4,0)))/SUMIFS(Cost_Schedule!$E$5:$E$504,Cost_Schedule!$A$5:$A$504,"&gt;="&amp;I$4,Cost_Schedule!$A$5:$A$504,"&lt;="&amp;EOMONTH(I$4,0)),""))</f>
        <v>-4.6944948578342409E-2</v>
      </c>
      <c r="J5" s="25">
        <f ca="1">IF(J$4&gt;Settings!$B$6,"",IFERROR((SUMIFS(Cost_Schedule!$F$5:$F$504,Cost_Schedule!$A$5:$A$504,"&gt;="&amp;J$4,Cost_Schedule!$A$5:$A$504,"&lt;="&amp;EOMONTH(J$4,0))-SUMIFS(Cost_Schedule!$E$5:$E$504,Cost_Schedule!$A$5:$A$504,"&gt;="&amp;J$4,Cost_Schedule!$A$5:$A$504,"&lt;="&amp;EOMONTH(J$4,0)))/SUMIFS(Cost_Schedule!$E$5:$E$504,Cost_Schedule!$A$5:$A$504,"&gt;="&amp;J$4,Cost_Schedule!$A$5:$A$504,"&lt;="&amp;EOMONTH(J$4,0)),""))</f>
        <v>-3.159981343283582E-2</v>
      </c>
      <c r="K5" s="25">
        <f ca="1">IF(K$4&gt;Settings!$B$6,"",IFERROR((SUMIFS(Cost_Schedule!$F$5:$F$504,Cost_Schedule!$A$5:$A$504,"&gt;="&amp;K$4,Cost_Schedule!$A$5:$A$504,"&lt;="&amp;EOMONTH(K$4,0))-SUMIFS(Cost_Schedule!$E$5:$E$504,Cost_Schedule!$A$5:$A$504,"&gt;="&amp;K$4,Cost_Schedule!$A$5:$A$504,"&lt;="&amp;EOMONTH(K$4,0)))/SUMIFS(Cost_Schedule!$E$5:$E$504,Cost_Schedule!$A$5:$A$504,"&gt;="&amp;K$4,Cost_Schedule!$A$5:$A$504,"&lt;="&amp;EOMONTH(K$4,0)),""))</f>
        <v>-4.0722517156545381E-2</v>
      </c>
      <c r="L5" s="25">
        <f ca="1">IF(L$4&gt;Settings!$B$6,"",IFERROR((SUMIFS(Cost_Schedule!$F$5:$F$504,Cost_Schedule!$A$5:$A$504,"&gt;="&amp;L$4,Cost_Schedule!$A$5:$A$504,"&lt;="&amp;EOMONTH(L$4,0))-SUMIFS(Cost_Schedule!$E$5:$E$504,Cost_Schedule!$A$5:$A$504,"&gt;="&amp;L$4,Cost_Schedule!$A$5:$A$504,"&lt;="&amp;EOMONTH(L$4,0)))/SUMIFS(Cost_Schedule!$E$5:$E$504,Cost_Schedule!$A$5:$A$504,"&gt;="&amp;L$4,Cost_Schedule!$A$5:$A$504,"&lt;="&amp;EOMONTH(L$4,0)),""))</f>
        <v>-5.6735278791037E-2</v>
      </c>
      <c r="M5" s="25">
        <f ca="1">IF(M$4&gt;Settings!$B$6,"",IFERROR((SUMIFS(Cost_Schedule!$F$5:$F$504,Cost_Schedule!$A$5:$A$504,"&gt;="&amp;M$4,Cost_Schedule!$A$5:$A$504,"&lt;="&amp;EOMONTH(M$4,0))-SUMIFS(Cost_Schedule!$E$5:$E$504,Cost_Schedule!$A$5:$A$504,"&gt;="&amp;M$4,Cost_Schedule!$A$5:$A$504,"&lt;="&amp;EOMONTH(M$4,0)))/SUMIFS(Cost_Schedule!$E$5:$E$504,Cost_Schedule!$A$5:$A$504,"&gt;="&amp;M$4,Cost_Schedule!$A$5:$A$504,"&lt;="&amp;EOMONTH(M$4,0)),""))</f>
        <v>-5.3169038055687928E-2</v>
      </c>
      <c r="N5" s="25">
        <f ca="1">IF(N$4&gt;Settings!$B$6,"",IFERROR((SUMIFS(Cost_Schedule!$F$5:$F$504,Cost_Schedule!$A$5:$A$504,"&gt;="&amp;N$4,Cost_Schedule!$A$5:$A$504,"&lt;="&amp;EOMONTH(N$4,0))-SUMIFS(Cost_Schedule!$E$5:$E$504,Cost_Schedule!$A$5:$A$504,"&gt;="&amp;N$4,Cost_Schedule!$A$5:$A$504,"&lt;="&amp;EOMONTH(N$4,0)))/SUMIFS(Cost_Schedule!$E$5:$E$504,Cost_Schedule!$A$5:$A$504,"&gt;="&amp;N$4,Cost_Schedule!$A$5:$A$504,"&lt;="&amp;EOMONTH(N$4,0)),""))</f>
        <v>-3.8984383777103698E-2</v>
      </c>
      <c r="O5" s="25">
        <f ca="1">IF(O$4&gt;Settings!$B$6,"",IFERROR((SUMIFS(Cost_Schedule!$F$5:$F$504,Cost_Schedule!$A$5:$A$504,"&gt;="&amp;O$4,Cost_Schedule!$A$5:$A$504,"&lt;="&amp;EOMONTH(O$4,0))-SUMIFS(Cost_Schedule!$E$5:$E$504,Cost_Schedule!$A$5:$A$504,"&gt;="&amp;O$4,Cost_Schedule!$A$5:$A$504,"&lt;="&amp;EOMONTH(O$4,0)))/SUMIFS(Cost_Schedule!$E$5:$E$504,Cost_Schedule!$A$5:$A$504,"&gt;="&amp;O$4,Cost_Schedule!$A$5:$A$504,"&lt;="&amp;EOMONTH(O$4,0)),""))</f>
        <v>-3.4266327396098389E-2</v>
      </c>
      <c r="P5" s="25">
        <f ca="1">IF(P$4&gt;Settings!$B$6,"",IFERROR((SUMIFS(Cost_Schedule!$F$5:$F$504,Cost_Schedule!$A$5:$A$504,"&gt;="&amp;P$4,Cost_Schedule!$A$5:$A$504,"&lt;="&amp;EOMONTH(P$4,0))-SUMIFS(Cost_Schedule!$E$5:$E$504,Cost_Schedule!$A$5:$A$504,"&gt;="&amp;P$4,Cost_Schedule!$A$5:$A$504,"&lt;="&amp;EOMONTH(P$4,0)))/SUMIFS(Cost_Schedule!$E$5:$E$504,Cost_Schedule!$A$5:$A$504,"&gt;="&amp;P$4,Cost_Schedule!$A$5:$A$504,"&lt;="&amp;EOMONTH(P$4,0)),""))</f>
        <v>-6.7027027027027022E-2</v>
      </c>
      <c r="Q5" s="25" t="str">
        <f ca="1">IF(Q$4&gt;Settings!$B$6,"",IFERROR((SUMIFS(Cost_Schedule!$F$5:$F$504,Cost_Schedule!$A$5:$A$504,"&gt;="&amp;Q$4,Cost_Schedule!$A$5:$A$504,"&lt;="&amp;EOMONTH(Q$4,0))-SUMIFS(Cost_Schedule!$E$5:$E$504,Cost_Schedule!$A$5:$A$504,"&gt;="&amp;Q$4,Cost_Schedule!$A$5:$A$504,"&lt;="&amp;EOMONTH(Q$4,0)))/SUMIFS(Cost_Schedule!$E$5:$E$504,Cost_Schedule!$A$5:$A$504,"&gt;="&amp;Q$4,Cost_Schedule!$A$5:$A$504,"&lt;="&amp;EOMONTH(Q$4,0)),""))</f>
        <v/>
      </c>
      <c r="R5" s="25" t="str">
        <f ca="1">IF(R$4&gt;Settings!$B$6,"",IFERROR((SUMIFS(Cost_Schedule!$F$5:$F$504,Cost_Schedule!$A$5:$A$504,"&gt;="&amp;R$4,Cost_Schedule!$A$5:$A$504,"&lt;="&amp;EOMONTH(R$4,0))-SUMIFS(Cost_Schedule!$E$5:$E$504,Cost_Schedule!$A$5:$A$504,"&gt;="&amp;R$4,Cost_Schedule!$A$5:$A$504,"&lt;="&amp;EOMONTH(R$4,0)))/SUMIFS(Cost_Schedule!$E$5:$E$504,Cost_Schedule!$A$5:$A$504,"&gt;="&amp;R$4,Cost_Schedule!$A$5:$A$504,"&lt;="&amp;EOMONTH(R$4,0)),""))</f>
        <v/>
      </c>
      <c r="S5" s="26">
        <f t="shared" ref="S5:S20" ca="1" si="0">IFERROR(LOOKUP(2,1/(G5:R5&lt;&gt;""),G5:R5),"")</f>
        <v>-6.7027027027027022E-2</v>
      </c>
      <c r="T5" s="28" t="str">
        <f t="shared" ref="T5:T20" ca="1" si="1">IF(S5="","",IF($D5="Higher",IF(S5&gt;=$E5,"GREEN",IF(S5&gt;=$F5,"AMBER","RED")),IF(S5&lt;=$E5,"GREEN",IF(S5&lt;=$F5,"AMBER","RED"))))</f>
        <v>RED</v>
      </c>
      <c r="U5" s="28">
        <f t="shared" ref="U5:U20" ca="1" si="2">COUNTIF(G24:R24,"GREEN")</f>
        <v>0</v>
      </c>
      <c r="V5" s="28">
        <f t="shared" ref="V5:V20" ca="1" si="3">COUNTIF(G24:R24,"RED")</f>
        <v>4</v>
      </c>
    </row>
    <row r="6" spans="1:22" x14ac:dyDescent="0.3">
      <c r="A6" s="28">
        <v>2</v>
      </c>
      <c r="B6" s="24" t="str">
        <f>KPI_Targets!B6</f>
        <v>Project Cost Variance (CV%)</v>
      </c>
      <c r="C6" s="28" t="str">
        <f>KPI_Targets!E6</f>
        <v>%</v>
      </c>
      <c r="D6" s="28" t="str">
        <f>KPI_Targets!F6</f>
        <v>Higher</v>
      </c>
      <c r="E6" s="44">
        <f>KPI_Targets!G6</f>
        <v>0</v>
      </c>
      <c r="F6" s="44">
        <f>KPI_Targets!H6</f>
        <v>-0.05</v>
      </c>
      <c r="G6" s="25">
        <f ca="1">IF(G$4&gt;Settings!$B$6,"",IFERROR((SUMIFS(Cost_Schedule!$F$5:$F$504,Cost_Schedule!$A$5:$A$504,"&gt;="&amp;G$4,Cost_Schedule!$A$5:$A$504,"&lt;="&amp;EOMONTH(G$4,0))-SUMIFS(Cost_Schedule!$G$5:$G$504,Cost_Schedule!$A$5:$A$504,"&gt;="&amp;G$4,Cost_Schedule!$A$5:$A$504,"&lt;="&amp;EOMONTH(G$4,0)))/SUMIFS(Cost_Schedule!$F$5:$F$504,Cost_Schedule!$A$5:$A$504,"&gt;="&amp;G$4,Cost_Schedule!$A$5:$A$504,"&lt;="&amp;EOMONTH(G$4,0)),""))</f>
        <v>-2.4291951192208665E-2</v>
      </c>
      <c r="H6" s="25">
        <f ca="1">IF(H$4&gt;Settings!$B$6,"",IFERROR((SUMIFS(Cost_Schedule!$F$5:$F$504,Cost_Schedule!$A$5:$A$504,"&gt;="&amp;H$4,Cost_Schedule!$A$5:$A$504,"&lt;="&amp;EOMONTH(H$4,0))-SUMIFS(Cost_Schedule!$G$5:$G$504,Cost_Schedule!$A$5:$A$504,"&gt;="&amp;H$4,Cost_Schedule!$A$5:$A$504,"&lt;="&amp;EOMONTH(H$4,0)))/SUMIFS(Cost_Schedule!$F$5:$F$504,Cost_Schedule!$A$5:$A$504,"&gt;="&amp;H$4,Cost_Schedule!$A$5:$A$504,"&lt;="&amp;EOMONTH(H$4,0)),""))</f>
        <v>-8.8595134298973428E-3</v>
      </c>
      <c r="I6" s="25">
        <f ca="1">IF(I$4&gt;Settings!$B$6,"",IFERROR((SUMIFS(Cost_Schedule!$F$5:$F$504,Cost_Schedule!$A$5:$A$504,"&gt;="&amp;I$4,Cost_Schedule!$A$5:$A$504,"&lt;="&amp;EOMONTH(I$4,0))-SUMIFS(Cost_Schedule!$G$5:$G$504,Cost_Schedule!$A$5:$A$504,"&gt;="&amp;I$4,Cost_Schedule!$A$5:$A$504,"&lt;="&amp;EOMONTH(I$4,0)))/SUMIFS(Cost_Schedule!$F$5:$F$504,Cost_Schedule!$A$5:$A$504,"&gt;="&amp;I$4,Cost_Schedule!$A$5:$A$504,"&lt;="&amp;EOMONTH(I$4,0)),""))</f>
        <v>-1.7963691760822648E-2</v>
      </c>
      <c r="J6" s="25">
        <f ca="1">IF(J$4&gt;Settings!$B$6,"",IFERROR((SUMIFS(Cost_Schedule!$F$5:$F$504,Cost_Schedule!$A$5:$A$504,"&gt;="&amp;J$4,Cost_Schedule!$A$5:$A$504,"&lt;="&amp;EOMONTH(J$4,0))-SUMIFS(Cost_Schedule!$G$5:$G$504,Cost_Schedule!$A$5:$A$504,"&gt;="&amp;J$4,Cost_Schedule!$A$5:$A$504,"&lt;="&amp;EOMONTH(J$4,0)))/SUMIFS(Cost_Schedule!$F$5:$F$504,Cost_Schedule!$A$5:$A$504,"&gt;="&amp;J$4,Cost_Schedule!$A$5:$A$504,"&lt;="&amp;EOMONTH(J$4,0)),""))</f>
        <v>-2.667068031306442E-2</v>
      </c>
      <c r="K6" s="25">
        <f ca="1">IF(K$4&gt;Settings!$B$6,"",IFERROR((SUMIFS(Cost_Schedule!$F$5:$F$504,Cost_Schedule!$A$5:$A$504,"&gt;="&amp;K$4,Cost_Schedule!$A$5:$A$504,"&lt;="&amp;EOMONTH(K$4,0))-SUMIFS(Cost_Schedule!$G$5:$G$504,Cost_Schedule!$A$5:$A$504,"&gt;="&amp;K$4,Cost_Schedule!$A$5:$A$504,"&lt;="&amp;EOMONTH(K$4,0)))/SUMIFS(Cost_Schedule!$F$5:$F$504,Cost_Schedule!$A$5:$A$504,"&gt;="&amp;K$4,Cost_Schedule!$A$5:$A$504,"&lt;="&amp;EOMONTH(K$4,0)),""))</f>
        <v>-4.069649726665317E-2</v>
      </c>
      <c r="L6" s="25">
        <f ca="1">IF(L$4&gt;Settings!$B$6,"",IFERROR((SUMIFS(Cost_Schedule!$F$5:$F$504,Cost_Schedule!$A$5:$A$504,"&gt;="&amp;L$4,Cost_Schedule!$A$5:$A$504,"&lt;="&amp;EOMONTH(L$4,0))-SUMIFS(Cost_Schedule!$G$5:$G$504,Cost_Schedule!$A$5:$A$504,"&gt;="&amp;L$4,Cost_Schedule!$A$5:$A$504,"&lt;="&amp;EOMONTH(L$4,0)))/SUMIFS(Cost_Schedule!$F$5:$F$504,Cost_Schedule!$A$5:$A$504,"&gt;="&amp;L$4,Cost_Schedule!$A$5:$A$504,"&lt;="&amp;EOMONTH(L$4,0)),""))</f>
        <v>-3.4804226227470481E-2</v>
      </c>
      <c r="M6" s="25">
        <f ca="1">IF(M$4&gt;Settings!$B$6,"",IFERROR((SUMIFS(Cost_Schedule!$F$5:$F$504,Cost_Schedule!$A$5:$A$504,"&gt;="&amp;M$4,Cost_Schedule!$A$5:$A$504,"&lt;="&amp;EOMONTH(M$4,0))-SUMIFS(Cost_Schedule!$G$5:$G$504,Cost_Schedule!$A$5:$A$504,"&gt;="&amp;M$4,Cost_Schedule!$A$5:$A$504,"&lt;="&amp;EOMONTH(M$4,0)))/SUMIFS(Cost_Schedule!$F$5:$F$504,Cost_Schedule!$A$5:$A$504,"&gt;="&amp;M$4,Cost_Schedule!$A$5:$A$504,"&lt;="&amp;EOMONTH(M$4,0)),""))</f>
        <v>-4.4434857635893013E-2</v>
      </c>
      <c r="N6" s="25">
        <f ca="1">IF(N$4&gt;Settings!$B$6,"",IFERROR((SUMIFS(Cost_Schedule!$F$5:$F$504,Cost_Schedule!$A$5:$A$504,"&gt;="&amp;N$4,Cost_Schedule!$A$5:$A$504,"&lt;="&amp;EOMONTH(N$4,0))-SUMIFS(Cost_Schedule!$G$5:$G$504,Cost_Schedule!$A$5:$A$504,"&gt;="&amp;N$4,Cost_Schedule!$A$5:$A$504,"&lt;="&amp;EOMONTH(N$4,0)))/SUMIFS(Cost_Schedule!$F$5:$F$504,Cost_Schedule!$A$5:$A$504,"&gt;="&amp;N$4,Cost_Schedule!$A$5:$A$504,"&lt;="&amp;EOMONTH(N$4,0)),""))</f>
        <v>-6.0790273556231003E-3</v>
      </c>
      <c r="O6" s="25">
        <f ca="1">IF(O$4&gt;Settings!$B$6,"",IFERROR((SUMIFS(Cost_Schedule!$F$5:$F$504,Cost_Schedule!$A$5:$A$504,"&gt;="&amp;O$4,Cost_Schedule!$A$5:$A$504,"&lt;="&amp;EOMONTH(O$4,0))-SUMIFS(Cost_Schedule!$G$5:$G$504,Cost_Schedule!$A$5:$A$504,"&gt;="&amp;O$4,Cost_Schedule!$A$5:$A$504,"&lt;="&amp;EOMONTH(O$4,0)))/SUMIFS(Cost_Schedule!$F$5:$F$504,Cost_Schedule!$A$5:$A$504,"&gt;="&amp;O$4,Cost_Schedule!$A$5:$A$504,"&lt;="&amp;EOMONTH(O$4,0)),""))</f>
        <v>-1.6687159669769892E-2</v>
      </c>
      <c r="P6" s="25">
        <f ca="1">IF(P$4&gt;Settings!$B$6,"",IFERROR((SUMIFS(Cost_Schedule!$F$5:$F$504,Cost_Schedule!$A$5:$A$504,"&gt;="&amp;P$4,Cost_Schedule!$A$5:$A$504,"&lt;="&amp;EOMONTH(P$4,0))-SUMIFS(Cost_Schedule!$G$5:$G$504,Cost_Schedule!$A$5:$A$504,"&gt;="&amp;P$4,Cost_Schedule!$A$5:$A$504,"&lt;="&amp;EOMONTH(P$4,0)))/SUMIFS(Cost_Schedule!$F$5:$F$504,Cost_Schedule!$A$5:$A$504,"&gt;="&amp;P$4,Cost_Schedule!$A$5:$A$504,"&lt;="&amp;EOMONTH(P$4,0)),""))</f>
        <v>-3.7369640787949014E-2</v>
      </c>
      <c r="Q6" s="25" t="str">
        <f ca="1">IF(Q$4&gt;Settings!$B$6,"",IFERROR((SUMIFS(Cost_Schedule!$F$5:$F$504,Cost_Schedule!$A$5:$A$504,"&gt;="&amp;Q$4,Cost_Schedule!$A$5:$A$504,"&lt;="&amp;EOMONTH(Q$4,0))-SUMIFS(Cost_Schedule!$G$5:$G$504,Cost_Schedule!$A$5:$A$504,"&gt;="&amp;Q$4,Cost_Schedule!$A$5:$A$504,"&lt;="&amp;EOMONTH(Q$4,0)))/SUMIFS(Cost_Schedule!$F$5:$F$504,Cost_Schedule!$A$5:$A$504,"&gt;="&amp;Q$4,Cost_Schedule!$A$5:$A$504,"&lt;="&amp;EOMONTH(Q$4,0)),""))</f>
        <v/>
      </c>
      <c r="R6" s="25" t="str">
        <f ca="1">IF(R$4&gt;Settings!$B$6,"",IFERROR((SUMIFS(Cost_Schedule!$F$5:$F$504,Cost_Schedule!$A$5:$A$504,"&gt;="&amp;R$4,Cost_Schedule!$A$5:$A$504,"&lt;="&amp;EOMONTH(R$4,0))-SUMIFS(Cost_Schedule!$G$5:$G$504,Cost_Schedule!$A$5:$A$504,"&gt;="&amp;R$4,Cost_Schedule!$A$5:$A$504,"&lt;="&amp;EOMONTH(R$4,0)))/SUMIFS(Cost_Schedule!$F$5:$F$504,Cost_Schedule!$A$5:$A$504,"&gt;="&amp;R$4,Cost_Schedule!$A$5:$A$504,"&lt;="&amp;EOMONTH(R$4,0)),""))</f>
        <v/>
      </c>
      <c r="S6" s="26">
        <f t="shared" ca="1" si="0"/>
        <v>-3.7369640787949014E-2</v>
      </c>
      <c r="T6" s="28" t="str">
        <f t="shared" ca="1" si="1"/>
        <v>AMBER</v>
      </c>
      <c r="U6" s="28">
        <f t="shared" ca="1" si="2"/>
        <v>0</v>
      </c>
      <c r="V6" s="28">
        <f t="shared" ca="1" si="3"/>
        <v>0</v>
      </c>
    </row>
    <row r="7" spans="1:22" x14ac:dyDescent="0.3">
      <c r="A7" s="28">
        <v>3</v>
      </c>
      <c r="B7" s="24" t="str">
        <f>KPI_Targets!B7</f>
        <v>Budget Utilization</v>
      </c>
      <c r="C7" s="28" t="str">
        <f>KPI_Targets!E7</f>
        <v>%</v>
      </c>
      <c r="D7" s="28" t="str">
        <f>KPI_Targets!F7</f>
        <v>Lower</v>
      </c>
      <c r="E7" s="44">
        <f>KPI_Targets!G7</f>
        <v>1</v>
      </c>
      <c r="F7" s="44">
        <f>KPI_Targets!H7</f>
        <v>1.05</v>
      </c>
      <c r="G7" s="25">
        <f ca="1">IF(G$4&gt;Settings!$B$6,"",IFERROR(SUMIFS(Cost_Schedule!$G$5:$G$504,Cost_Schedule!$A$5:$A$504,"&gt;="&amp;G$4,Cost_Schedule!$A$5:$A$504,"&lt;="&amp;EOMONTH(G$4,0))/SUMIFS(Cost_Schedule!$D$5:$D$504,Cost_Schedule!$A$5:$A$504,"&gt;="&amp;G$4,Cost_Schedule!$A$5:$A$504,"&lt;="&amp;EOMONTH(G$4,0)),""))</f>
        <v>0.93177189409368633</v>
      </c>
      <c r="H7" s="25">
        <f ca="1">IF(H$4&gt;Settings!$B$6,"",IFERROR(SUMIFS(Cost_Schedule!$G$5:$G$504,Cost_Schedule!$A$5:$A$504,"&gt;="&amp;H$4,Cost_Schedule!$A$5:$A$504,"&lt;="&amp;EOMONTH(H$4,0))/SUMIFS(Cost_Schedule!$D$5:$D$504,Cost_Schedule!$A$5:$A$504,"&gt;="&amp;H$4,Cost_Schedule!$A$5:$A$504,"&lt;="&amp;EOMONTH(H$4,0)),""))</f>
        <v>0.94394736842105265</v>
      </c>
      <c r="I7" s="25">
        <f ca="1">IF(I$4&gt;Settings!$B$6,"",IFERROR(SUMIFS(Cost_Schedule!$G$5:$G$504,Cost_Schedule!$A$5:$A$504,"&gt;="&amp;I$4,Cost_Schedule!$A$5:$A$504,"&lt;="&amp;EOMONTH(I$4,0))/SUMIFS(Cost_Schedule!$D$5:$D$504,Cost_Schedule!$A$5:$A$504,"&gt;="&amp;I$4,Cost_Schedule!$A$5:$A$504,"&lt;="&amp;EOMONTH(I$4,0)),""))</f>
        <v>0.9444640753828033</v>
      </c>
      <c r="J7" s="25">
        <f ca="1">IF(J$4&gt;Settings!$B$6,"",IFERROR(SUMIFS(Cost_Schedule!$G$5:$G$504,Cost_Schedule!$A$5:$A$504,"&gt;="&amp;J$4,Cost_Schedule!$A$5:$A$504,"&lt;="&amp;EOMONTH(J$4,0))/SUMIFS(Cost_Schedule!$D$5:$D$504,Cost_Schedule!$A$5:$A$504,"&gt;="&amp;J$4,Cost_Schedule!$A$5:$A$504,"&lt;="&amp;EOMONTH(J$4,0)),""))</f>
        <v>0.97724928366762176</v>
      </c>
      <c r="K7" s="25">
        <f ca="1">IF(K$4&gt;Settings!$B$6,"",IFERROR(SUMIFS(Cost_Schedule!$G$5:$G$504,Cost_Schedule!$A$5:$A$504,"&gt;="&amp;K$4,Cost_Schedule!$A$5:$A$504,"&lt;="&amp;EOMONTH(K$4,0))/SUMIFS(Cost_Schedule!$D$5:$D$504,Cost_Schedule!$A$5:$A$504,"&gt;="&amp;K$4,Cost_Schedule!$A$5:$A$504,"&lt;="&amp;EOMONTH(K$4,0)),""))</f>
        <v>0.97409981048641814</v>
      </c>
      <c r="L7" s="25">
        <f ca="1">IF(L$4&gt;Settings!$B$6,"",IFERROR(SUMIFS(Cost_Schedule!$G$5:$G$504,Cost_Schedule!$A$5:$A$504,"&gt;="&amp;L$4,Cost_Schedule!$A$5:$A$504,"&lt;="&amp;EOMONTH(L$4,0))/SUMIFS(Cost_Schedule!$D$5:$D$504,Cost_Schedule!$A$5:$A$504,"&gt;="&amp;L$4,Cost_Schedule!$A$5:$A$504,"&lt;="&amp;EOMONTH(L$4,0)),""))</f>
        <v>0.94662034112444726</v>
      </c>
      <c r="M7" s="25">
        <f ca="1">IF(M$4&gt;Settings!$B$6,"",IFERROR(SUMIFS(Cost_Schedule!$G$5:$G$504,Cost_Schedule!$A$5:$A$504,"&gt;="&amp;M$4,Cost_Schedule!$A$5:$A$504,"&lt;="&amp;EOMONTH(M$4,0))/SUMIFS(Cost_Schedule!$D$5:$D$504,Cost_Schedule!$A$5:$A$504,"&gt;="&amp;M$4,Cost_Schedule!$A$5:$A$504,"&lt;="&amp;EOMONTH(M$4,0)),""))</f>
        <v>0.96007931262392598</v>
      </c>
      <c r="N7" s="25">
        <f ca="1">IF(N$4&gt;Settings!$B$6,"",IFERROR(SUMIFS(Cost_Schedule!$G$5:$G$504,Cost_Schedule!$A$5:$A$504,"&gt;="&amp;N$4,Cost_Schedule!$A$5:$A$504,"&lt;="&amp;EOMONTH(N$4,0))/SUMIFS(Cost_Schedule!$D$5:$D$504,Cost_Schedule!$A$5:$A$504,"&gt;="&amp;N$4,Cost_Schedule!$A$5:$A$504,"&lt;="&amp;EOMONTH(N$4,0)),""))</f>
        <v>0.94260679079956189</v>
      </c>
      <c r="O7" s="25">
        <f ca="1">IF(O$4&gt;Settings!$B$6,"",IFERROR(SUMIFS(Cost_Schedule!$G$5:$G$504,Cost_Schedule!$A$5:$A$504,"&gt;="&amp;O$4,Cost_Schedule!$A$5:$A$504,"&lt;="&amp;EOMONTH(O$4,0))/SUMIFS(Cost_Schedule!$D$5:$D$504,Cost_Schedule!$A$5:$A$504,"&gt;="&amp;O$4,Cost_Schedule!$A$5:$A$504,"&lt;="&amp;EOMONTH(O$4,0)),""))</f>
        <v>0.94420880913539973</v>
      </c>
      <c r="P7" s="25">
        <f ca="1">IF(P$4&gt;Settings!$B$6,"",IFERROR(SUMIFS(Cost_Schedule!$G$5:$G$504,Cost_Schedule!$A$5:$A$504,"&gt;="&amp;P$4,Cost_Schedule!$A$5:$A$504,"&lt;="&amp;EOMONTH(P$4,0))/SUMIFS(Cost_Schedule!$D$5:$D$504,Cost_Schedule!$A$5:$A$504,"&gt;="&amp;P$4,Cost_Schedule!$A$5:$A$504,"&lt;="&amp;EOMONTH(P$4,0)),""))</f>
        <v>0.9549333333333333</v>
      </c>
      <c r="Q7" s="25" t="str">
        <f ca="1">IF(Q$4&gt;Settings!$B$6,"",IFERROR(SUMIFS(Cost_Schedule!$G$5:$G$504,Cost_Schedule!$A$5:$A$504,"&gt;="&amp;Q$4,Cost_Schedule!$A$5:$A$504,"&lt;="&amp;EOMONTH(Q$4,0))/SUMIFS(Cost_Schedule!$D$5:$D$504,Cost_Schedule!$A$5:$A$504,"&gt;="&amp;Q$4,Cost_Schedule!$A$5:$A$504,"&lt;="&amp;EOMONTH(Q$4,0)),""))</f>
        <v/>
      </c>
      <c r="R7" s="25" t="str">
        <f ca="1">IF(R$4&gt;Settings!$B$6,"",IFERROR(SUMIFS(Cost_Schedule!$G$5:$G$504,Cost_Schedule!$A$5:$A$504,"&gt;="&amp;R$4,Cost_Schedule!$A$5:$A$504,"&lt;="&amp;EOMONTH(R$4,0))/SUMIFS(Cost_Schedule!$D$5:$D$504,Cost_Schedule!$A$5:$A$504,"&gt;="&amp;R$4,Cost_Schedule!$A$5:$A$504,"&lt;="&amp;EOMONTH(R$4,0)),""))</f>
        <v/>
      </c>
      <c r="S7" s="26">
        <f t="shared" ca="1" si="0"/>
        <v>0.9549333333333333</v>
      </c>
      <c r="T7" s="28" t="str">
        <f t="shared" ca="1" si="1"/>
        <v>GREEN</v>
      </c>
      <c r="U7" s="28">
        <f t="shared" ca="1" si="2"/>
        <v>10</v>
      </c>
      <c r="V7" s="28">
        <f t="shared" ca="1" si="3"/>
        <v>0</v>
      </c>
    </row>
    <row r="8" spans="1:22" x14ac:dyDescent="0.3">
      <c r="A8" s="28">
        <v>4</v>
      </c>
      <c r="B8" s="24" t="str">
        <f>KPI_Targets!B8</f>
        <v>On-Time Project Delivery</v>
      </c>
      <c r="C8" s="28" t="str">
        <f>KPI_Targets!E8</f>
        <v>%</v>
      </c>
      <c r="D8" s="28" t="str">
        <f>KPI_Targets!F8</f>
        <v>Higher</v>
      </c>
      <c r="E8" s="44">
        <f>KPI_Targets!G8</f>
        <v>0.9</v>
      </c>
      <c r="F8" s="44">
        <f>KPI_Targets!H8</f>
        <v>0.8</v>
      </c>
      <c r="G8" s="25" t="str">
        <f ca="1">IF(G$4&gt;Settings!$B$6,"",IFERROR(COUNTIFS(Projects!$I$5:$I$104,"Completed",Projects!$H$5:$H$104,"&gt;="&amp;Settings!$B$5,Projects!$H$5:$H$104,"&lt;="&amp;EOMONTH(G$4,0),Projects!$N$5:$N$104,"Yes")/COUNTIFS(Projects!$I$5:$I$104,"Completed",Projects!$H$5:$H$104,"&gt;="&amp;Settings!$B$5,Projects!$H$5:$H$104,"&lt;="&amp;EOMONTH(G$4,0)),""))</f>
        <v/>
      </c>
      <c r="H8" s="25" t="str">
        <f ca="1">IF(H$4&gt;Settings!$B$6,"",IFERROR(COUNTIFS(Projects!$I$5:$I$104,"Completed",Projects!$H$5:$H$104,"&gt;="&amp;Settings!$B$5,Projects!$H$5:$H$104,"&lt;="&amp;EOMONTH(H$4,0),Projects!$N$5:$N$104,"Yes")/COUNTIFS(Projects!$I$5:$I$104,"Completed",Projects!$H$5:$H$104,"&gt;="&amp;Settings!$B$5,Projects!$H$5:$H$104,"&lt;="&amp;EOMONTH(H$4,0)),""))</f>
        <v/>
      </c>
      <c r="I8" s="25" t="str">
        <f ca="1">IF(I$4&gt;Settings!$B$6,"",IFERROR(COUNTIFS(Projects!$I$5:$I$104,"Completed",Projects!$H$5:$H$104,"&gt;="&amp;Settings!$B$5,Projects!$H$5:$H$104,"&lt;="&amp;EOMONTH(I$4,0),Projects!$N$5:$N$104,"Yes")/COUNTIFS(Projects!$I$5:$I$104,"Completed",Projects!$H$5:$H$104,"&gt;="&amp;Settings!$B$5,Projects!$H$5:$H$104,"&lt;="&amp;EOMONTH(I$4,0)),""))</f>
        <v/>
      </c>
      <c r="J8" s="25">
        <f ca="1">IF(J$4&gt;Settings!$B$6,"",IFERROR(COUNTIFS(Projects!$I$5:$I$104,"Completed",Projects!$H$5:$H$104,"&gt;="&amp;Settings!$B$5,Projects!$H$5:$H$104,"&lt;="&amp;EOMONTH(J$4,0),Projects!$N$5:$N$104,"Yes")/COUNTIFS(Projects!$I$5:$I$104,"Completed",Projects!$H$5:$H$104,"&gt;="&amp;Settings!$B$5,Projects!$H$5:$H$104,"&lt;="&amp;EOMONTH(J$4,0)),""))</f>
        <v>1</v>
      </c>
      <c r="K8" s="25">
        <f ca="1">IF(K$4&gt;Settings!$B$6,"",IFERROR(COUNTIFS(Projects!$I$5:$I$104,"Completed",Projects!$H$5:$H$104,"&gt;="&amp;Settings!$B$5,Projects!$H$5:$H$104,"&lt;="&amp;EOMONTH(K$4,0),Projects!$N$5:$N$104,"Yes")/COUNTIFS(Projects!$I$5:$I$104,"Completed",Projects!$H$5:$H$104,"&gt;="&amp;Settings!$B$5,Projects!$H$5:$H$104,"&lt;="&amp;EOMONTH(K$4,0)),""))</f>
        <v>1</v>
      </c>
      <c r="L8" s="25">
        <f ca="1">IF(L$4&gt;Settings!$B$6,"",IFERROR(COUNTIFS(Projects!$I$5:$I$104,"Completed",Projects!$H$5:$H$104,"&gt;="&amp;Settings!$B$5,Projects!$H$5:$H$104,"&lt;="&amp;EOMONTH(L$4,0),Projects!$N$5:$N$104,"Yes")/COUNTIFS(Projects!$I$5:$I$104,"Completed",Projects!$H$5:$H$104,"&gt;="&amp;Settings!$B$5,Projects!$H$5:$H$104,"&lt;="&amp;EOMONTH(L$4,0)),""))</f>
        <v>0.5</v>
      </c>
      <c r="M8" s="25">
        <f ca="1">IF(M$4&gt;Settings!$B$6,"",IFERROR(COUNTIFS(Projects!$I$5:$I$104,"Completed",Projects!$H$5:$H$104,"&gt;="&amp;Settings!$B$5,Projects!$H$5:$H$104,"&lt;="&amp;EOMONTH(M$4,0),Projects!$N$5:$N$104,"Yes")/COUNTIFS(Projects!$I$5:$I$104,"Completed",Projects!$H$5:$H$104,"&gt;="&amp;Settings!$B$5,Projects!$H$5:$H$104,"&lt;="&amp;EOMONTH(M$4,0)),""))</f>
        <v>0.33333333333333331</v>
      </c>
      <c r="N8" s="25">
        <f ca="1">IF(N$4&gt;Settings!$B$6,"",IFERROR(COUNTIFS(Projects!$I$5:$I$104,"Completed",Projects!$H$5:$H$104,"&gt;="&amp;Settings!$B$5,Projects!$H$5:$H$104,"&lt;="&amp;EOMONTH(N$4,0),Projects!$N$5:$N$104,"Yes")/COUNTIFS(Projects!$I$5:$I$104,"Completed",Projects!$H$5:$H$104,"&gt;="&amp;Settings!$B$5,Projects!$H$5:$H$104,"&lt;="&amp;EOMONTH(N$4,0)),""))</f>
        <v>0.5</v>
      </c>
      <c r="O8" s="25">
        <f ca="1">IF(O$4&gt;Settings!$B$6,"",IFERROR(COUNTIFS(Projects!$I$5:$I$104,"Completed",Projects!$H$5:$H$104,"&gt;="&amp;Settings!$B$5,Projects!$H$5:$H$104,"&lt;="&amp;EOMONTH(O$4,0),Projects!$N$5:$N$104,"Yes")/COUNTIFS(Projects!$I$5:$I$104,"Completed",Projects!$H$5:$H$104,"&gt;="&amp;Settings!$B$5,Projects!$H$5:$H$104,"&lt;="&amp;EOMONTH(O$4,0)),""))</f>
        <v>0.6</v>
      </c>
      <c r="P8" s="25">
        <f ca="1">IF(P$4&gt;Settings!$B$6,"",IFERROR(COUNTIFS(Projects!$I$5:$I$104,"Completed",Projects!$H$5:$H$104,"&gt;="&amp;Settings!$B$5,Projects!$H$5:$H$104,"&lt;="&amp;EOMONTH(P$4,0),Projects!$N$5:$N$104,"Yes")/COUNTIFS(Projects!$I$5:$I$104,"Completed",Projects!$H$5:$H$104,"&gt;="&amp;Settings!$B$5,Projects!$H$5:$H$104,"&lt;="&amp;EOMONTH(P$4,0)),""))</f>
        <v>0.6</v>
      </c>
      <c r="Q8" s="25" t="str">
        <f ca="1">IF(Q$4&gt;Settings!$B$6,"",IFERROR(COUNTIFS(Projects!$I$5:$I$104,"Completed",Projects!$H$5:$H$104,"&gt;="&amp;Settings!$B$5,Projects!$H$5:$H$104,"&lt;="&amp;EOMONTH(Q$4,0),Projects!$N$5:$N$104,"Yes")/COUNTIFS(Projects!$I$5:$I$104,"Completed",Projects!$H$5:$H$104,"&gt;="&amp;Settings!$B$5,Projects!$H$5:$H$104,"&lt;="&amp;EOMONTH(Q$4,0)),""))</f>
        <v/>
      </c>
      <c r="R8" s="25" t="str">
        <f ca="1">IF(R$4&gt;Settings!$B$6,"",IFERROR(COUNTIFS(Projects!$I$5:$I$104,"Completed",Projects!$H$5:$H$104,"&gt;="&amp;Settings!$B$5,Projects!$H$5:$H$104,"&lt;="&amp;EOMONTH(R$4,0),Projects!$N$5:$N$104,"Yes")/COUNTIFS(Projects!$I$5:$I$104,"Completed",Projects!$H$5:$H$104,"&gt;="&amp;Settings!$B$5,Projects!$H$5:$H$104,"&lt;="&amp;EOMONTH(R$4,0)),""))</f>
        <v/>
      </c>
      <c r="S8" s="26">
        <f t="shared" ca="1" si="0"/>
        <v>0.6</v>
      </c>
      <c r="T8" s="28" t="str">
        <f t="shared" ca="1" si="1"/>
        <v>RED</v>
      </c>
      <c r="U8" s="28">
        <f t="shared" ca="1" si="2"/>
        <v>2</v>
      </c>
      <c r="V8" s="28">
        <f t="shared" ca="1" si="3"/>
        <v>5</v>
      </c>
    </row>
    <row r="9" spans="1:22" ht="26.4" x14ac:dyDescent="0.3">
      <c r="A9" s="28">
        <v>5</v>
      </c>
      <c r="B9" s="24" t="str">
        <f>KPI_Targets!B9</f>
        <v>Scope Change Frequency</v>
      </c>
      <c r="C9" s="28" t="str">
        <f>KPI_Targets!E9</f>
        <v>CRs / project</v>
      </c>
      <c r="D9" s="28" t="str">
        <f>KPI_Targets!F9</f>
        <v>Lower</v>
      </c>
      <c r="E9" s="45">
        <f>KPI_Targets!G9</f>
        <v>0.5</v>
      </c>
      <c r="F9" s="45">
        <f>KPI_Targets!H9</f>
        <v>1</v>
      </c>
      <c r="G9" s="32">
        <f ca="1">IF(G$4&gt;Settings!$B$6,"",IFERROR(COUNTIFS(Change_Log!$E$5:$E$504,"Scope",Change_Log!$C$5:$C$504,"&gt;="&amp;G$4,Change_Log!$C$5:$C$504,"&lt;="&amp;EOMONTH(G$4,0))/COUNTIFS(Projects!$F$5:$F$104,"&lt;="&amp;EOMONTH(G$4,0),Projects!$H$5:$H$104,"&gt;="&amp;G$4),""))</f>
        <v>1</v>
      </c>
      <c r="H9" s="32">
        <f ca="1">IF(H$4&gt;Settings!$B$6,"",IFERROR(COUNTIFS(Change_Log!$E$5:$E$504,"Scope",Change_Log!$C$5:$C$504,"&gt;="&amp;H$4,Change_Log!$C$5:$C$504,"&lt;="&amp;EOMONTH(H$4,0))/COUNTIFS(Projects!$F$5:$F$104,"&lt;="&amp;EOMONTH(H$4,0),Projects!$H$5:$H$104,"&gt;="&amp;H$4),""))</f>
        <v>0.4</v>
      </c>
      <c r="I9" s="32">
        <f ca="1">IF(I$4&gt;Settings!$B$6,"",IFERROR(COUNTIFS(Change_Log!$E$5:$E$504,"Scope",Change_Log!$C$5:$C$504,"&gt;="&amp;I$4,Change_Log!$C$5:$C$504,"&lt;="&amp;EOMONTH(I$4,0))/COUNTIFS(Projects!$F$5:$F$104,"&lt;="&amp;EOMONTH(I$4,0),Projects!$H$5:$H$104,"&gt;="&amp;I$4),""))</f>
        <v>0</v>
      </c>
      <c r="J9" s="32">
        <f ca="1">IF(J$4&gt;Settings!$B$6,"",IFERROR(COUNTIFS(Change_Log!$E$5:$E$504,"Scope",Change_Log!$C$5:$C$504,"&gt;="&amp;J$4,Change_Log!$C$5:$C$504,"&lt;="&amp;EOMONTH(J$4,0))/COUNTIFS(Projects!$F$5:$F$104,"&lt;="&amp;EOMONTH(J$4,0),Projects!$H$5:$H$104,"&gt;="&amp;J$4),""))</f>
        <v>0.2857142857142857</v>
      </c>
      <c r="K9" s="32">
        <f ca="1">IF(K$4&gt;Settings!$B$6,"",IFERROR(COUNTIFS(Change_Log!$E$5:$E$504,"Scope",Change_Log!$C$5:$C$504,"&gt;="&amp;K$4,Change_Log!$C$5:$C$504,"&lt;="&amp;EOMONTH(K$4,0))/COUNTIFS(Projects!$F$5:$F$104,"&lt;="&amp;EOMONTH(K$4,0),Projects!$H$5:$H$104,"&gt;="&amp;K$4),""))</f>
        <v>0.42857142857142855</v>
      </c>
      <c r="L9" s="32">
        <f ca="1">IF(L$4&gt;Settings!$B$6,"",IFERROR(COUNTIFS(Change_Log!$E$5:$E$504,"Scope",Change_Log!$C$5:$C$504,"&gt;="&amp;L$4,Change_Log!$C$5:$C$504,"&lt;="&amp;EOMONTH(L$4,0))/COUNTIFS(Projects!$F$5:$F$104,"&lt;="&amp;EOMONTH(L$4,0),Projects!$H$5:$H$104,"&gt;="&amp;L$4),""))</f>
        <v>0.14285714285714285</v>
      </c>
      <c r="M9" s="32">
        <f ca="1">IF(M$4&gt;Settings!$B$6,"",IFERROR(COUNTIFS(Change_Log!$E$5:$E$504,"Scope",Change_Log!$C$5:$C$504,"&gt;="&amp;M$4,Change_Log!$C$5:$C$504,"&lt;="&amp;EOMONTH(M$4,0))/COUNTIFS(Projects!$F$5:$F$104,"&lt;="&amp;EOMONTH(M$4,0),Projects!$H$5:$H$104,"&gt;="&amp;M$4),""))</f>
        <v>0.16666666666666666</v>
      </c>
      <c r="N9" s="32">
        <f ca="1">IF(N$4&gt;Settings!$B$6,"",IFERROR(COUNTIFS(Change_Log!$E$5:$E$504,"Scope",Change_Log!$C$5:$C$504,"&gt;="&amp;N$4,Change_Log!$C$5:$C$504,"&lt;="&amp;EOMONTH(N$4,0))/COUNTIFS(Projects!$F$5:$F$104,"&lt;="&amp;EOMONTH(N$4,0),Projects!$H$5:$H$104,"&gt;="&amp;N$4),""))</f>
        <v>0</v>
      </c>
      <c r="O9" s="32">
        <f ca="1">IF(O$4&gt;Settings!$B$6,"",IFERROR(COUNTIFS(Change_Log!$E$5:$E$504,"Scope",Change_Log!$C$5:$C$504,"&gt;="&amp;O$4,Change_Log!$C$5:$C$504,"&lt;="&amp;EOMONTH(O$4,0))/COUNTIFS(Projects!$F$5:$F$104,"&lt;="&amp;EOMONTH(O$4,0),Projects!$H$5:$H$104,"&gt;="&amp;O$4),""))</f>
        <v>0</v>
      </c>
      <c r="P9" s="32">
        <f ca="1">IF(P$4&gt;Settings!$B$6,"",IFERROR(COUNTIFS(Change_Log!$E$5:$E$504,"Scope",Change_Log!$C$5:$C$504,"&gt;="&amp;P$4,Change_Log!$C$5:$C$504,"&lt;="&amp;EOMONTH(P$4,0))/COUNTIFS(Projects!$F$5:$F$104,"&lt;="&amp;EOMONTH(P$4,0),Projects!$H$5:$H$104,"&gt;="&amp;P$4),""))</f>
        <v>0</v>
      </c>
      <c r="Q9" s="32" t="str">
        <f ca="1">IF(Q$4&gt;Settings!$B$6,"",IFERROR(COUNTIFS(Change_Log!$E$5:$E$504,"Scope",Change_Log!$C$5:$C$504,"&gt;="&amp;Q$4,Change_Log!$C$5:$C$504,"&lt;="&amp;EOMONTH(Q$4,0))/COUNTIFS(Projects!$F$5:$F$104,"&lt;="&amp;EOMONTH(Q$4,0),Projects!$H$5:$H$104,"&gt;="&amp;Q$4),""))</f>
        <v/>
      </c>
      <c r="R9" s="32" t="str">
        <f ca="1">IF(R$4&gt;Settings!$B$6,"",IFERROR(COUNTIFS(Change_Log!$E$5:$E$504,"Scope",Change_Log!$C$5:$C$504,"&gt;="&amp;R$4,Change_Log!$C$5:$C$504,"&lt;="&amp;EOMONTH(R$4,0))/COUNTIFS(Projects!$F$5:$F$104,"&lt;="&amp;EOMONTH(R$4,0),Projects!$H$5:$H$104,"&gt;="&amp;R$4),""))</f>
        <v/>
      </c>
      <c r="S9" s="33">
        <f t="shared" ca="1" si="0"/>
        <v>0</v>
      </c>
      <c r="T9" s="28" t="str">
        <f t="shared" ca="1" si="1"/>
        <v>GREEN</v>
      </c>
      <c r="U9" s="28">
        <f t="shared" ca="1" si="2"/>
        <v>9</v>
      </c>
      <c r="V9" s="28">
        <f t="shared" ca="1" si="3"/>
        <v>0</v>
      </c>
    </row>
    <row r="10" spans="1:22" x14ac:dyDescent="0.3">
      <c r="A10" s="28">
        <v>6</v>
      </c>
      <c r="B10" s="24" t="str">
        <f>KPI_Targets!B10</f>
        <v>Risk Mitigation Effectiveness</v>
      </c>
      <c r="C10" s="28" t="str">
        <f>KPI_Targets!E10</f>
        <v>%</v>
      </c>
      <c r="D10" s="28" t="str">
        <f>KPI_Targets!F10</f>
        <v>Higher</v>
      </c>
      <c r="E10" s="44">
        <f>KPI_Targets!G10</f>
        <v>0.85</v>
      </c>
      <c r="F10" s="44">
        <f>KPI_Targets!H10</f>
        <v>0.7</v>
      </c>
      <c r="G10" s="25" t="str">
        <f ca="1">IF(G$4&gt;Settings!$B$6,"",IFERROR(COUNTIFS(Risk_Log!$M$5:$M$504,"&gt;="&amp;Settings!$B$5,Risk_Log!$M$5:$M$504,"&lt;="&amp;EOMONTH(G$4,0),Risk_Log!$N$5:$N$504,"No")/COUNTIFS(Risk_Log!$M$5:$M$504,"&gt;="&amp;Settings!$B$5,Risk_Log!$M$5:$M$504,"&lt;="&amp;EOMONTH(G$4,0)),""))</f>
        <v/>
      </c>
      <c r="H10" s="25" t="str">
        <f ca="1">IF(H$4&gt;Settings!$B$6,"",IFERROR(COUNTIFS(Risk_Log!$M$5:$M$504,"&gt;="&amp;Settings!$B$5,Risk_Log!$M$5:$M$504,"&lt;="&amp;EOMONTH(H$4,0),Risk_Log!$N$5:$N$504,"No")/COUNTIFS(Risk_Log!$M$5:$M$504,"&gt;="&amp;Settings!$B$5,Risk_Log!$M$5:$M$504,"&lt;="&amp;EOMONTH(H$4,0)),""))</f>
        <v/>
      </c>
      <c r="I10" s="25">
        <f ca="1">IF(I$4&gt;Settings!$B$6,"",IFERROR(COUNTIFS(Risk_Log!$M$5:$M$504,"&gt;="&amp;Settings!$B$5,Risk_Log!$M$5:$M$504,"&lt;="&amp;EOMONTH(I$4,0),Risk_Log!$N$5:$N$504,"No")/COUNTIFS(Risk_Log!$M$5:$M$504,"&gt;="&amp;Settings!$B$5,Risk_Log!$M$5:$M$504,"&lt;="&amp;EOMONTH(I$4,0)),""))</f>
        <v>1</v>
      </c>
      <c r="J10" s="25">
        <f ca="1">IF(J$4&gt;Settings!$B$6,"",IFERROR(COUNTIFS(Risk_Log!$M$5:$M$504,"&gt;="&amp;Settings!$B$5,Risk_Log!$M$5:$M$504,"&lt;="&amp;EOMONTH(J$4,0),Risk_Log!$N$5:$N$504,"No")/COUNTIFS(Risk_Log!$M$5:$M$504,"&gt;="&amp;Settings!$B$5,Risk_Log!$M$5:$M$504,"&lt;="&amp;EOMONTH(J$4,0)),""))</f>
        <v>1</v>
      </c>
      <c r="K10" s="25">
        <f ca="1">IF(K$4&gt;Settings!$B$6,"",IFERROR(COUNTIFS(Risk_Log!$M$5:$M$504,"&gt;="&amp;Settings!$B$5,Risk_Log!$M$5:$M$504,"&lt;="&amp;EOMONTH(K$4,0),Risk_Log!$N$5:$N$504,"No")/COUNTIFS(Risk_Log!$M$5:$M$504,"&gt;="&amp;Settings!$B$5,Risk_Log!$M$5:$M$504,"&lt;="&amp;EOMONTH(K$4,0)),""))</f>
        <v>1</v>
      </c>
      <c r="L10" s="25">
        <f ca="1">IF(L$4&gt;Settings!$B$6,"",IFERROR(COUNTIFS(Risk_Log!$M$5:$M$504,"&gt;="&amp;Settings!$B$5,Risk_Log!$M$5:$M$504,"&lt;="&amp;EOMONTH(L$4,0),Risk_Log!$N$5:$N$504,"No")/COUNTIFS(Risk_Log!$M$5:$M$504,"&gt;="&amp;Settings!$B$5,Risk_Log!$M$5:$M$504,"&lt;="&amp;EOMONTH(L$4,0)),""))</f>
        <v>0.77777777777777779</v>
      </c>
      <c r="M10" s="25">
        <f ca="1">IF(M$4&gt;Settings!$B$6,"",IFERROR(COUNTIFS(Risk_Log!$M$5:$M$504,"&gt;="&amp;Settings!$B$5,Risk_Log!$M$5:$M$504,"&lt;="&amp;EOMONTH(M$4,0),Risk_Log!$N$5:$N$504,"No")/COUNTIFS(Risk_Log!$M$5:$M$504,"&gt;="&amp;Settings!$B$5,Risk_Log!$M$5:$M$504,"&lt;="&amp;EOMONTH(M$4,0)),""))</f>
        <v>0.8</v>
      </c>
      <c r="N10" s="25">
        <f ca="1">IF(N$4&gt;Settings!$B$6,"",IFERROR(COUNTIFS(Risk_Log!$M$5:$M$504,"&gt;="&amp;Settings!$B$5,Risk_Log!$M$5:$M$504,"&lt;="&amp;EOMONTH(N$4,0),Risk_Log!$N$5:$N$504,"No")/COUNTIFS(Risk_Log!$M$5:$M$504,"&gt;="&amp;Settings!$B$5,Risk_Log!$M$5:$M$504,"&lt;="&amp;EOMONTH(N$4,0)),""))</f>
        <v>0.8</v>
      </c>
      <c r="O10" s="25">
        <f ca="1">IF(O$4&gt;Settings!$B$6,"",IFERROR(COUNTIFS(Risk_Log!$M$5:$M$504,"&gt;="&amp;Settings!$B$5,Risk_Log!$M$5:$M$504,"&lt;="&amp;EOMONTH(O$4,0),Risk_Log!$N$5:$N$504,"No")/COUNTIFS(Risk_Log!$M$5:$M$504,"&gt;="&amp;Settings!$B$5,Risk_Log!$M$5:$M$504,"&lt;="&amp;EOMONTH(O$4,0)),""))</f>
        <v>0.76923076923076927</v>
      </c>
      <c r="P10" s="25">
        <f ca="1">IF(P$4&gt;Settings!$B$6,"",IFERROR(COUNTIFS(Risk_Log!$M$5:$M$504,"&gt;="&amp;Settings!$B$5,Risk_Log!$M$5:$M$504,"&lt;="&amp;EOMONTH(P$4,0),Risk_Log!$N$5:$N$504,"No")/COUNTIFS(Risk_Log!$M$5:$M$504,"&gt;="&amp;Settings!$B$5,Risk_Log!$M$5:$M$504,"&lt;="&amp;EOMONTH(P$4,0)),""))</f>
        <v>0.8125</v>
      </c>
      <c r="Q10" s="25" t="str">
        <f ca="1">IF(Q$4&gt;Settings!$B$6,"",IFERROR(COUNTIFS(Risk_Log!$M$5:$M$504,"&gt;="&amp;Settings!$B$5,Risk_Log!$M$5:$M$504,"&lt;="&amp;EOMONTH(Q$4,0),Risk_Log!$N$5:$N$504,"No")/COUNTIFS(Risk_Log!$M$5:$M$504,"&gt;="&amp;Settings!$B$5,Risk_Log!$M$5:$M$504,"&lt;="&amp;EOMONTH(Q$4,0)),""))</f>
        <v/>
      </c>
      <c r="R10" s="25" t="str">
        <f ca="1">IF(R$4&gt;Settings!$B$6,"",IFERROR(COUNTIFS(Risk_Log!$M$5:$M$504,"&gt;="&amp;Settings!$B$5,Risk_Log!$M$5:$M$504,"&lt;="&amp;EOMONTH(R$4,0),Risk_Log!$N$5:$N$504,"No")/COUNTIFS(Risk_Log!$M$5:$M$504,"&gt;="&amp;Settings!$B$5,Risk_Log!$M$5:$M$504,"&lt;="&amp;EOMONTH(R$4,0)),""))</f>
        <v/>
      </c>
      <c r="S10" s="26">
        <f t="shared" ca="1" si="0"/>
        <v>0.8125</v>
      </c>
      <c r="T10" s="28" t="str">
        <f t="shared" ca="1" si="1"/>
        <v>AMBER</v>
      </c>
      <c r="U10" s="28">
        <f t="shared" ca="1" si="2"/>
        <v>3</v>
      </c>
      <c r="V10" s="28">
        <f t="shared" ca="1" si="3"/>
        <v>0</v>
      </c>
    </row>
    <row r="11" spans="1:22" x14ac:dyDescent="0.3">
      <c r="A11" s="28">
        <v>7</v>
      </c>
      <c r="B11" s="24" t="str">
        <f>KPI_Targets!B11</f>
        <v>Issue Resolution Time</v>
      </c>
      <c r="C11" s="28" t="str">
        <f>KPI_Targets!E11</f>
        <v>days</v>
      </c>
      <c r="D11" s="28" t="str">
        <f>KPI_Targets!F11</f>
        <v>Lower</v>
      </c>
      <c r="E11" s="46">
        <f>KPI_Targets!G11</f>
        <v>7</v>
      </c>
      <c r="F11" s="46">
        <f>KPI_Targets!H11</f>
        <v>14</v>
      </c>
      <c r="G11" s="35">
        <f ca="1">IF(G$4&gt;Settings!$B$6,"",IFERROR(AVERAGEIFS(Issue_Log!$I$5:$I$504,Issue_Log!$H$5:$H$504,"&gt;="&amp;G$4,Issue_Log!$H$5:$H$504,"&lt;="&amp;EOMONTH(G$4,0)),""))</f>
        <v>9.25</v>
      </c>
      <c r="H11" s="35">
        <f ca="1">IF(H$4&gt;Settings!$B$6,"",IFERROR(AVERAGEIFS(Issue_Log!$I$5:$I$504,Issue_Log!$H$5:$H$504,"&gt;="&amp;H$4,Issue_Log!$H$5:$H$504,"&lt;="&amp;EOMONTH(H$4,0)),""))</f>
        <v>15</v>
      </c>
      <c r="I11" s="35">
        <f ca="1">IF(I$4&gt;Settings!$B$6,"",IFERROR(AVERAGEIFS(Issue_Log!$I$5:$I$504,Issue_Log!$H$5:$H$504,"&gt;="&amp;I$4,Issue_Log!$H$5:$H$504,"&lt;="&amp;EOMONTH(I$4,0)),""))</f>
        <v>9.5714285714285712</v>
      </c>
      <c r="J11" s="35">
        <f ca="1">IF(J$4&gt;Settings!$B$6,"",IFERROR(AVERAGEIFS(Issue_Log!$I$5:$I$504,Issue_Log!$H$5:$H$504,"&gt;="&amp;J$4,Issue_Log!$H$5:$H$504,"&lt;="&amp;EOMONTH(J$4,0)),""))</f>
        <v>4.333333333333333</v>
      </c>
      <c r="K11" s="35">
        <f ca="1">IF(K$4&gt;Settings!$B$6,"",IFERROR(AVERAGEIFS(Issue_Log!$I$5:$I$504,Issue_Log!$H$5:$H$504,"&gt;="&amp;K$4,Issue_Log!$H$5:$H$504,"&lt;="&amp;EOMONTH(K$4,0)),""))</f>
        <v>8</v>
      </c>
      <c r="L11" s="35">
        <f ca="1">IF(L$4&gt;Settings!$B$6,"",IFERROR(AVERAGEIFS(Issue_Log!$I$5:$I$504,Issue_Log!$H$5:$H$504,"&gt;="&amp;L$4,Issue_Log!$H$5:$H$504,"&lt;="&amp;EOMONTH(L$4,0)),""))</f>
        <v>4.4285714285714288</v>
      </c>
      <c r="M11" s="35">
        <f ca="1">IF(M$4&gt;Settings!$B$6,"",IFERROR(AVERAGEIFS(Issue_Log!$I$5:$I$504,Issue_Log!$H$5:$H$504,"&gt;="&amp;M$4,Issue_Log!$H$5:$H$504,"&lt;="&amp;EOMONTH(M$4,0)),""))</f>
        <v>10.428571428571429</v>
      </c>
      <c r="N11" s="35">
        <f ca="1">IF(N$4&gt;Settings!$B$6,"",IFERROR(AVERAGEIFS(Issue_Log!$I$5:$I$504,Issue_Log!$H$5:$H$504,"&gt;="&amp;N$4,Issue_Log!$H$5:$H$504,"&lt;="&amp;EOMONTH(N$4,0)),""))</f>
        <v>7.4</v>
      </c>
      <c r="O11" s="35">
        <f ca="1">IF(O$4&gt;Settings!$B$6,"",IFERROR(AVERAGEIFS(Issue_Log!$I$5:$I$504,Issue_Log!$H$5:$H$504,"&gt;="&amp;O$4,Issue_Log!$H$5:$H$504,"&lt;="&amp;EOMONTH(O$4,0)),""))</f>
        <v>13</v>
      </c>
      <c r="P11" s="35">
        <f ca="1">IF(P$4&gt;Settings!$B$6,"",IFERROR(AVERAGEIFS(Issue_Log!$I$5:$I$504,Issue_Log!$H$5:$H$504,"&gt;="&amp;P$4,Issue_Log!$H$5:$H$504,"&lt;="&amp;EOMONTH(P$4,0)),""))</f>
        <v>5</v>
      </c>
      <c r="Q11" s="35" t="str">
        <f ca="1">IF(Q$4&gt;Settings!$B$6,"",IFERROR(AVERAGEIFS(Issue_Log!$I$5:$I$504,Issue_Log!$H$5:$H$504,"&gt;="&amp;Q$4,Issue_Log!$H$5:$H$504,"&lt;="&amp;EOMONTH(Q$4,0)),""))</f>
        <v/>
      </c>
      <c r="R11" s="35" t="str">
        <f ca="1">IF(R$4&gt;Settings!$B$6,"",IFERROR(AVERAGEIFS(Issue_Log!$I$5:$I$504,Issue_Log!$H$5:$H$504,"&gt;="&amp;R$4,Issue_Log!$H$5:$H$504,"&lt;="&amp;EOMONTH(R$4,0)),""))</f>
        <v/>
      </c>
      <c r="S11" s="36">
        <f t="shared" ca="1" si="0"/>
        <v>5</v>
      </c>
      <c r="T11" s="28" t="str">
        <f t="shared" ca="1" si="1"/>
        <v>GREEN</v>
      </c>
      <c r="U11" s="28">
        <f t="shared" ca="1" si="2"/>
        <v>3</v>
      </c>
      <c r="V11" s="28">
        <f t="shared" ca="1" si="3"/>
        <v>1</v>
      </c>
    </row>
    <row r="12" spans="1:22" x14ac:dyDescent="0.3">
      <c r="A12" s="28">
        <v>8</v>
      </c>
      <c r="B12" s="24" t="str">
        <f>KPI_Targets!B12</f>
        <v>Stakeholder Satisfaction</v>
      </c>
      <c r="C12" s="28" t="str">
        <f>KPI_Targets!E12</f>
        <v>score /5</v>
      </c>
      <c r="D12" s="28" t="str">
        <f>KPI_Targets!F12</f>
        <v>Higher</v>
      </c>
      <c r="E12" s="45">
        <f>KPI_Targets!G12</f>
        <v>4</v>
      </c>
      <c r="F12" s="45">
        <f>KPI_Targets!H12</f>
        <v>3.5</v>
      </c>
      <c r="G12" s="32">
        <f ca="1">IF(G$4&gt;Settings!$B$6,"",IFERROR(AVERAGEIFS(Stakeholder_Survey!$I$5:$I$504,Stakeholder_Survey!$A$5:$A$504,"&gt;="&amp;G$4,Stakeholder_Survey!$A$5:$A$504,"&lt;="&amp;EOMONTH(G$4,0)),""))</f>
        <v>3.3125</v>
      </c>
      <c r="H12" s="32">
        <f ca="1">IF(H$4&gt;Settings!$B$6,"",IFERROR(AVERAGEIFS(Stakeholder_Survey!$I$5:$I$504,Stakeholder_Survey!$A$5:$A$504,"&gt;="&amp;H$4,Stakeholder_Survey!$A$5:$A$504,"&lt;="&amp;EOMONTH(H$4,0)),""))</f>
        <v>3.3125</v>
      </c>
      <c r="I12" s="32">
        <f ca="1">IF(I$4&gt;Settings!$B$6,"",IFERROR(AVERAGEIFS(Stakeholder_Survey!$I$5:$I$504,Stakeholder_Survey!$A$5:$A$504,"&gt;="&amp;I$4,Stakeholder_Survey!$A$5:$A$504,"&lt;="&amp;EOMONTH(I$4,0)),""))</f>
        <v>3.625</v>
      </c>
      <c r="J12" s="32">
        <f ca="1">IF(J$4&gt;Settings!$B$6,"",IFERROR(AVERAGEIFS(Stakeholder_Survey!$I$5:$I$504,Stakeholder_Survey!$A$5:$A$504,"&gt;="&amp;J$4,Stakeholder_Survey!$A$5:$A$504,"&lt;="&amp;EOMONTH(J$4,0)),""))</f>
        <v>3.5</v>
      </c>
      <c r="K12" s="32">
        <f ca="1">IF(K$4&gt;Settings!$B$6,"",IFERROR(AVERAGEIFS(Stakeholder_Survey!$I$5:$I$504,Stakeholder_Survey!$A$5:$A$504,"&gt;="&amp;K$4,Stakeholder_Survey!$A$5:$A$504,"&lt;="&amp;EOMONTH(K$4,0)),""))</f>
        <v>3.875</v>
      </c>
      <c r="L12" s="32">
        <f ca="1">IF(L$4&gt;Settings!$B$6,"",IFERROR(AVERAGEIFS(Stakeholder_Survey!$I$5:$I$504,Stakeholder_Survey!$A$5:$A$504,"&gt;="&amp;L$4,Stakeholder_Survey!$A$5:$A$504,"&lt;="&amp;EOMONTH(L$4,0)),""))</f>
        <v>3.6875</v>
      </c>
      <c r="M12" s="32">
        <f ca="1">IF(M$4&gt;Settings!$B$6,"",IFERROR(AVERAGEIFS(Stakeholder_Survey!$I$5:$I$504,Stakeholder_Survey!$A$5:$A$504,"&gt;="&amp;M$4,Stakeholder_Survey!$A$5:$A$504,"&lt;="&amp;EOMONTH(M$4,0)),""))</f>
        <v>3.9166666666666665</v>
      </c>
      <c r="N12" s="32">
        <f ca="1">IF(N$4&gt;Settings!$B$6,"",IFERROR(AVERAGEIFS(Stakeholder_Survey!$I$5:$I$504,Stakeholder_Survey!$A$5:$A$504,"&gt;="&amp;N$4,Stakeholder_Survey!$A$5:$A$504,"&lt;="&amp;EOMONTH(N$4,0)),""))</f>
        <v>4.166666666666667</v>
      </c>
      <c r="O12" s="32">
        <f ca="1">IF(O$4&gt;Settings!$B$6,"",IFERROR(AVERAGEIFS(Stakeholder_Survey!$I$5:$I$504,Stakeholder_Survey!$A$5:$A$504,"&gt;="&amp;O$4,Stakeholder_Survey!$A$5:$A$504,"&lt;="&amp;EOMONTH(O$4,0)),""))</f>
        <v>4.333333333333333</v>
      </c>
      <c r="P12" s="32">
        <f ca="1">IF(P$4&gt;Settings!$B$6,"",IFERROR(AVERAGEIFS(Stakeholder_Survey!$I$5:$I$504,Stakeholder_Survey!$A$5:$A$504,"&gt;="&amp;P$4,Stakeholder_Survey!$A$5:$A$504,"&lt;="&amp;EOMONTH(P$4,0)),""))</f>
        <v>3.9166666666666665</v>
      </c>
      <c r="Q12" s="32" t="str">
        <f ca="1">IF(Q$4&gt;Settings!$B$6,"",IFERROR(AVERAGEIFS(Stakeholder_Survey!$I$5:$I$504,Stakeholder_Survey!$A$5:$A$504,"&gt;="&amp;Q$4,Stakeholder_Survey!$A$5:$A$504,"&lt;="&amp;EOMONTH(Q$4,0)),""))</f>
        <v/>
      </c>
      <c r="R12" s="32" t="str">
        <f ca="1">IF(R$4&gt;Settings!$B$6,"",IFERROR(AVERAGEIFS(Stakeholder_Survey!$I$5:$I$504,Stakeholder_Survey!$A$5:$A$504,"&gt;="&amp;R$4,Stakeholder_Survey!$A$5:$A$504,"&lt;="&amp;EOMONTH(R$4,0)),""))</f>
        <v/>
      </c>
      <c r="S12" s="33">
        <f t="shared" ca="1" si="0"/>
        <v>3.9166666666666665</v>
      </c>
      <c r="T12" s="28" t="str">
        <f t="shared" ca="1" si="1"/>
        <v>AMBER</v>
      </c>
      <c r="U12" s="28">
        <f t="shared" ca="1" si="2"/>
        <v>2</v>
      </c>
      <c r="V12" s="28">
        <f t="shared" ca="1" si="3"/>
        <v>2</v>
      </c>
    </row>
    <row r="13" spans="1:22" x14ac:dyDescent="0.3">
      <c r="A13" s="28">
        <v>9</v>
      </c>
      <c r="B13" s="24" t="str">
        <f>KPI_Targets!B13</f>
        <v>Resource Utilization Rate</v>
      </c>
      <c r="C13" s="28" t="str">
        <f>KPI_Targets!E13</f>
        <v>%</v>
      </c>
      <c r="D13" s="28" t="str">
        <f>KPI_Targets!F13</f>
        <v>Higher</v>
      </c>
      <c r="E13" s="44">
        <f>KPI_Targets!G13</f>
        <v>0.85</v>
      </c>
      <c r="F13" s="44">
        <f>KPI_Targets!H13</f>
        <v>0.75</v>
      </c>
      <c r="G13" s="25">
        <f ca="1">IF(G$4&gt;Settings!$B$6,"",IFERROR(SUMIFS(Resources!$E$5:$E$504,Resources!$A$5:$A$504,"&gt;="&amp;G$4,Resources!$A$5:$A$504,"&lt;="&amp;EOMONTH(G$4,0))/SUMIFS(Resources!$D$5:$D$504,Resources!$A$5:$A$504,"&gt;="&amp;G$4,Resources!$A$5:$A$504,"&lt;="&amp;EOMONTH(G$4,0)),""))</f>
        <v>0.84760638297872337</v>
      </c>
      <c r="H13" s="25">
        <f ca="1">IF(H$4&gt;Settings!$B$6,"",IFERROR(SUMIFS(Resources!$E$5:$E$504,Resources!$A$5:$A$504,"&gt;="&amp;H$4,Resources!$A$5:$A$504,"&lt;="&amp;EOMONTH(H$4,0))/SUMIFS(Resources!$D$5:$D$504,Resources!$A$5:$A$504,"&gt;="&amp;H$4,Resources!$A$5:$A$504,"&lt;="&amp;EOMONTH(H$4,0)),""))</f>
        <v>0.84244505494505495</v>
      </c>
      <c r="I13" s="25">
        <f ca="1">IF(I$4&gt;Settings!$B$6,"",IFERROR(SUMIFS(Resources!$E$5:$E$504,Resources!$A$5:$A$504,"&gt;="&amp;I$4,Resources!$A$5:$A$504,"&lt;="&amp;EOMONTH(I$4,0))/SUMIFS(Resources!$D$5:$D$504,Resources!$A$5:$A$504,"&gt;="&amp;I$4,Resources!$A$5:$A$504,"&lt;="&amp;EOMONTH(I$4,0)),""))</f>
        <v>0.82739361702127656</v>
      </c>
      <c r="J13" s="25">
        <f ca="1">IF(J$4&gt;Settings!$B$6,"",IFERROR(SUMIFS(Resources!$E$5:$E$504,Resources!$A$5:$A$504,"&gt;="&amp;J$4,Resources!$A$5:$A$504,"&lt;="&amp;EOMONTH(J$4,0))/SUMIFS(Resources!$D$5:$D$504,Resources!$A$5:$A$504,"&gt;="&amp;J$4,Resources!$A$5:$A$504,"&lt;="&amp;EOMONTH(J$4,0)),""))</f>
        <v>0.81758241758241756</v>
      </c>
      <c r="K13" s="25">
        <f ca="1">IF(K$4&gt;Settings!$B$6,"",IFERROR(SUMIFS(Resources!$E$5:$E$504,Resources!$A$5:$A$504,"&gt;="&amp;K$4,Resources!$A$5:$A$504,"&lt;="&amp;EOMONTH(K$4,0))/SUMIFS(Resources!$D$5:$D$504,Resources!$A$5:$A$504,"&gt;="&amp;K$4,Resources!$A$5:$A$504,"&lt;="&amp;EOMONTH(K$4,0)),""))</f>
        <v>0.82181122448979593</v>
      </c>
      <c r="L13" s="25">
        <f ca="1">IF(L$4&gt;Settings!$B$6,"",IFERROR(SUMIFS(Resources!$E$5:$E$504,Resources!$A$5:$A$504,"&gt;="&amp;L$4,Resources!$A$5:$A$504,"&lt;="&amp;EOMONTH(L$4,0))/SUMIFS(Resources!$D$5:$D$504,Resources!$A$5:$A$504,"&gt;="&amp;L$4,Resources!$A$5:$A$504,"&lt;="&amp;EOMONTH(L$4,0)),""))</f>
        <v>0.83489010989010992</v>
      </c>
      <c r="M13" s="25">
        <f ca="1">IF(M$4&gt;Settings!$B$6,"",IFERROR(SUMIFS(Resources!$E$5:$E$504,Resources!$A$5:$A$504,"&gt;="&amp;M$4,Resources!$A$5:$A$504,"&lt;="&amp;EOMONTH(M$4,0))/SUMIFS(Resources!$D$5:$D$504,Resources!$A$5:$A$504,"&gt;="&amp;M$4,Resources!$A$5:$A$504,"&lt;="&amp;EOMONTH(M$4,0)),""))</f>
        <v>0.81868556701030926</v>
      </c>
      <c r="N13" s="25">
        <f ca="1">IF(N$4&gt;Settings!$B$6,"",IFERROR(SUMIFS(Resources!$E$5:$E$504,Resources!$A$5:$A$504,"&gt;="&amp;N$4,Resources!$A$5:$A$504,"&lt;="&amp;EOMONTH(N$4,0))/SUMIFS(Resources!$D$5:$D$504,Resources!$A$5:$A$504,"&gt;="&amp;N$4,Resources!$A$5:$A$504,"&lt;="&amp;EOMONTH(N$4,0)),""))</f>
        <v>0.84076086956521734</v>
      </c>
      <c r="O13" s="25">
        <f ca="1">IF(O$4&gt;Settings!$B$6,"",IFERROR(SUMIFS(Resources!$E$5:$E$504,Resources!$A$5:$A$504,"&gt;="&amp;O$4,Resources!$A$5:$A$504,"&lt;="&amp;EOMONTH(O$4,0))/SUMIFS(Resources!$D$5:$D$504,Resources!$A$5:$A$504,"&gt;="&amp;O$4,Resources!$A$5:$A$504,"&lt;="&amp;EOMONTH(O$4,0)),""))</f>
        <v>0.84547872340425534</v>
      </c>
      <c r="P13" s="25">
        <f ca="1">IF(P$4&gt;Settings!$B$6,"",IFERROR(SUMIFS(Resources!$E$5:$E$504,Resources!$A$5:$A$504,"&gt;="&amp;P$4,Resources!$A$5:$A$504,"&lt;="&amp;EOMONTH(P$4,0))/SUMIFS(Resources!$D$5:$D$504,Resources!$A$5:$A$504,"&gt;="&amp;P$4,Resources!$A$5:$A$504,"&lt;="&amp;EOMONTH(P$4,0)),""))</f>
        <v>0.86126373626373631</v>
      </c>
      <c r="Q13" s="25" t="str">
        <f ca="1">IF(Q$4&gt;Settings!$B$6,"",IFERROR(SUMIFS(Resources!$E$5:$E$504,Resources!$A$5:$A$504,"&gt;="&amp;Q$4,Resources!$A$5:$A$504,"&lt;="&amp;EOMONTH(Q$4,0))/SUMIFS(Resources!$D$5:$D$504,Resources!$A$5:$A$504,"&gt;="&amp;Q$4,Resources!$A$5:$A$504,"&lt;="&amp;EOMONTH(Q$4,0)),""))</f>
        <v/>
      </c>
      <c r="R13" s="25" t="str">
        <f ca="1">IF(R$4&gt;Settings!$B$6,"",IFERROR(SUMIFS(Resources!$E$5:$E$504,Resources!$A$5:$A$504,"&gt;="&amp;R$4,Resources!$A$5:$A$504,"&lt;="&amp;EOMONTH(R$4,0))/SUMIFS(Resources!$D$5:$D$504,Resources!$A$5:$A$504,"&gt;="&amp;R$4,Resources!$A$5:$A$504,"&lt;="&amp;EOMONTH(R$4,0)),""))</f>
        <v/>
      </c>
      <c r="S13" s="26">
        <f t="shared" ca="1" si="0"/>
        <v>0.86126373626373631</v>
      </c>
      <c r="T13" s="28" t="str">
        <f t="shared" ca="1" si="1"/>
        <v>GREEN</v>
      </c>
      <c r="U13" s="28">
        <f t="shared" ca="1" si="2"/>
        <v>1</v>
      </c>
      <c r="V13" s="28">
        <f t="shared" ca="1" si="3"/>
        <v>0</v>
      </c>
    </row>
    <row r="14" spans="1:22" x14ac:dyDescent="0.3">
      <c r="A14" s="28">
        <v>10</v>
      </c>
      <c r="B14" s="24" t="str">
        <f>KPI_Targets!B14</f>
        <v>Project Success Rate</v>
      </c>
      <c r="C14" s="28" t="str">
        <f>KPI_Targets!E14</f>
        <v>%</v>
      </c>
      <c r="D14" s="28" t="str">
        <f>KPI_Targets!F14</f>
        <v>Higher</v>
      </c>
      <c r="E14" s="44">
        <f>KPI_Targets!G14</f>
        <v>0.8</v>
      </c>
      <c r="F14" s="44">
        <f>KPI_Targets!H14</f>
        <v>0.65</v>
      </c>
      <c r="G14" s="25" t="str">
        <f ca="1">IF(G$4&gt;Settings!$B$6,"",IFERROR(COUNTIFS(Projects!$I$5:$I$104,"Completed",Projects!$H$5:$H$104,"&gt;="&amp;Settings!$B$5,Projects!$H$5:$H$104,"&lt;="&amp;EOMONTH(G$4,0),Projects!$P$5:$P$104,"Yes")/COUNTIFS(Projects!$I$5:$I$104,"Completed",Projects!$H$5:$H$104,"&gt;="&amp;Settings!$B$5,Projects!$H$5:$H$104,"&lt;="&amp;EOMONTH(G$4,0)),""))</f>
        <v/>
      </c>
      <c r="H14" s="25" t="str">
        <f ca="1">IF(H$4&gt;Settings!$B$6,"",IFERROR(COUNTIFS(Projects!$I$5:$I$104,"Completed",Projects!$H$5:$H$104,"&gt;="&amp;Settings!$B$5,Projects!$H$5:$H$104,"&lt;="&amp;EOMONTH(H$4,0),Projects!$P$5:$P$104,"Yes")/COUNTIFS(Projects!$I$5:$I$104,"Completed",Projects!$H$5:$H$104,"&gt;="&amp;Settings!$B$5,Projects!$H$5:$H$104,"&lt;="&amp;EOMONTH(H$4,0)),""))</f>
        <v/>
      </c>
      <c r="I14" s="25" t="str">
        <f ca="1">IF(I$4&gt;Settings!$B$6,"",IFERROR(COUNTIFS(Projects!$I$5:$I$104,"Completed",Projects!$H$5:$H$104,"&gt;="&amp;Settings!$B$5,Projects!$H$5:$H$104,"&lt;="&amp;EOMONTH(I$4,0),Projects!$P$5:$P$104,"Yes")/COUNTIFS(Projects!$I$5:$I$104,"Completed",Projects!$H$5:$H$104,"&gt;="&amp;Settings!$B$5,Projects!$H$5:$H$104,"&lt;="&amp;EOMONTH(I$4,0)),""))</f>
        <v/>
      </c>
      <c r="J14" s="25">
        <f ca="1">IF(J$4&gt;Settings!$B$6,"",IFERROR(COUNTIFS(Projects!$I$5:$I$104,"Completed",Projects!$H$5:$H$104,"&gt;="&amp;Settings!$B$5,Projects!$H$5:$H$104,"&lt;="&amp;EOMONTH(J$4,0),Projects!$P$5:$P$104,"Yes")/COUNTIFS(Projects!$I$5:$I$104,"Completed",Projects!$H$5:$H$104,"&gt;="&amp;Settings!$B$5,Projects!$H$5:$H$104,"&lt;="&amp;EOMONTH(J$4,0)),""))</f>
        <v>1</v>
      </c>
      <c r="K14" s="25">
        <f ca="1">IF(K$4&gt;Settings!$B$6,"",IFERROR(COUNTIFS(Projects!$I$5:$I$104,"Completed",Projects!$H$5:$H$104,"&gt;="&amp;Settings!$B$5,Projects!$H$5:$H$104,"&lt;="&amp;EOMONTH(K$4,0),Projects!$P$5:$P$104,"Yes")/COUNTIFS(Projects!$I$5:$I$104,"Completed",Projects!$H$5:$H$104,"&gt;="&amp;Settings!$B$5,Projects!$H$5:$H$104,"&lt;="&amp;EOMONTH(K$4,0)),""))</f>
        <v>1</v>
      </c>
      <c r="L14" s="25">
        <f ca="1">IF(L$4&gt;Settings!$B$6,"",IFERROR(COUNTIFS(Projects!$I$5:$I$104,"Completed",Projects!$H$5:$H$104,"&gt;="&amp;Settings!$B$5,Projects!$H$5:$H$104,"&lt;="&amp;EOMONTH(L$4,0),Projects!$P$5:$P$104,"Yes")/COUNTIFS(Projects!$I$5:$I$104,"Completed",Projects!$H$5:$H$104,"&gt;="&amp;Settings!$B$5,Projects!$H$5:$H$104,"&lt;="&amp;EOMONTH(L$4,0)),""))</f>
        <v>0.5</v>
      </c>
      <c r="M14" s="25">
        <f ca="1">IF(M$4&gt;Settings!$B$6,"",IFERROR(COUNTIFS(Projects!$I$5:$I$104,"Completed",Projects!$H$5:$H$104,"&gt;="&amp;Settings!$B$5,Projects!$H$5:$H$104,"&lt;="&amp;EOMONTH(M$4,0),Projects!$P$5:$P$104,"Yes")/COUNTIFS(Projects!$I$5:$I$104,"Completed",Projects!$H$5:$H$104,"&gt;="&amp;Settings!$B$5,Projects!$H$5:$H$104,"&lt;="&amp;EOMONTH(M$4,0)),""))</f>
        <v>0.33333333333333331</v>
      </c>
      <c r="N14" s="25">
        <f ca="1">IF(N$4&gt;Settings!$B$6,"",IFERROR(COUNTIFS(Projects!$I$5:$I$104,"Completed",Projects!$H$5:$H$104,"&gt;="&amp;Settings!$B$5,Projects!$H$5:$H$104,"&lt;="&amp;EOMONTH(N$4,0),Projects!$P$5:$P$104,"Yes")/COUNTIFS(Projects!$I$5:$I$104,"Completed",Projects!$H$5:$H$104,"&gt;="&amp;Settings!$B$5,Projects!$H$5:$H$104,"&lt;="&amp;EOMONTH(N$4,0)),""))</f>
        <v>0.5</v>
      </c>
      <c r="O14" s="25">
        <f ca="1">IF(O$4&gt;Settings!$B$6,"",IFERROR(COUNTIFS(Projects!$I$5:$I$104,"Completed",Projects!$H$5:$H$104,"&gt;="&amp;Settings!$B$5,Projects!$H$5:$H$104,"&lt;="&amp;EOMONTH(O$4,0),Projects!$P$5:$P$104,"Yes")/COUNTIFS(Projects!$I$5:$I$104,"Completed",Projects!$H$5:$H$104,"&gt;="&amp;Settings!$B$5,Projects!$H$5:$H$104,"&lt;="&amp;EOMONTH(O$4,0)),""))</f>
        <v>0.6</v>
      </c>
      <c r="P14" s="25">
        <f ca="1">IF(P$4&gt;Settings!$B$6,"",IFERROR(COUNTIFS(Projects!$I$5:$I$104,"Completed",Projects!$H$5:$H$104,"&gt;="&amp;Settings!$B$5,Projects!$H$5:$H$104,"&lt;="&amp;EOMONTH(P$4,0),Projects!$P$5:$P$104,"Yes")/COUNTIFS(Projects!$I$5:$I$104,"Completed",Projects!$H$5:$H$104,"&gt;="&amp;Settings!$B$5,Projects!$H$5:$H$104,"&lt;="&amp;EOMONTH(P$4,0)),""))</f>
        <v>0.6</v>
      </c>
      <c r="Q14" s="25" t="str">
        <f ca="1">IF(Q$4&gt;Settings!$B$6,"",IFERROR(COUNTIFS(Projects!$I$5:$I$104,"Completed",Projects!$H$5:$H$104,"&gt;="&amp;Settings!$B$5,Projects!$H$5:$H$104,"&lt;="&amp;EOMONTH(Q$4,0),Projects!$P$5:$P$104,"Yes")/COUNTIFS(Projects!$I$5:$I$104,"Completed",Projects!$H$5:$H$104,"&gt;="&amp;Settings!$B$5,Projects!$H$5:$H$104,"&lt;="&amp;EOMONTH(Q$4,0)),""))</f>
        <v/>
      </c>
      <c r="R14" s="25" t="str">
        <f ca="1">IF(R$4&gt;Settings!$B$6,"",IFERROR(COUNTIFS(Projects!$I$5:$I$104,"Completed",Projects!$H$5:$H$104,"&gt;="&amp;Settings!$B$5,Projects!$H$5:$H$104,"&lt;="&amp;EOMONTH(R$4,0),Projects!$P$5:$P$104,"Yes")/COUNTIFS(Projects!$I$5:$I$104,"Completed",Projects!$H$5:$H$104,"&gt;="&amp;Settings!$B$5,Projects!$H$5:$H$104,"&lt;="&amp;EOMONTH(R$4,0)),""))</f>
        <v/>
      </c>
      <c r="S14" s="26">
        <f t="shared" ca="1" si="0"/>
        <v>0.6</v>
      </c>
      <c r="T14" s="28" t="str">
        <f t="shared" ca="1" si="1"/>
        <v>RED</v>
      </c>
      <c r="U14" s="28">
        <f t="shared" ca="1" si="2"/>
        <v>2</v>
      </c>
      <c r="V14" s="28">
        <f t="shared" ca="1" si="3"/>
        <v>5</v>
      </c>
    </row>
    <row r="15" spans="1:22" x14ac:dyDescent="0.3">
      <c r="A15" s="28">
        <v>11</v>
      </c>
      <c r="B15" s="24" t="str">
        <f>KPI_Targets!B15</f>
        <v>Milestone Completion Rate</v>
      </c>
      <c r="C15" s="28" t="str">
        <f>KPI_Targets!E15</f>
        <v>%</v>
      </c>
      <c r="D15" s="28" t="str">
        <f>KPI_Targets!F15</f>
        <v>Higher</v>
      </c>
      <c r="E15" s="44">
        <f>KPI_Targets!G15</f>
        <v>0.9</v>
      </c>
      <c r="F15" s="44">
        <f>KPI_Targets!H15</f>
        <v>0.8</v>
      </c>
      <c r="G15" s="25">
        <f ca="1">IF(G$4&gt;Settings!$B$6,"",IFERROR(COUNTIFS(Milestones!$E$5:$E$504,"&gt;="&amp;G$4,Milestones!$E$5:$E$504,"&lt;="&amp;EOMONTH(G$4,0),Milestones!$H$5:$H$504,"Yes")/COUNTIFS(Milestones!$E$5:$E$504,"&gt;="&amp;G$4,Milestones!$E$5:$E$504,"&lt;="&amp;EOMONTH(G$4,0)),""))</f>
        <v>0.4</v>
      </c>
      <c r="H15" s="25">
        <f ca="1">IF(H$4&gt;Settings!$B$6,"",IFERROR(COUNTIFS(Milestones!$E$5:$E$504,"&gt;="&amp;H$4,Milestones!$E$5:$E$504,"&lt;="&amp;EOMONTH(H$4,0),Milestones!$H$5:$H$504,"Yes")/COUNTIFS(Milestones!$E$5:$E$504,"&gt;="&amp;H$4,Milestones!$E$5:$E$504,"&lt;="&amp;EOMONTH(H$4,0)),""))</f>
        <v>0.6</v>
      </c>
      <c r="I15" s="25">
        <f ca="1">IF(I$4&gt;Settings!$B$6,"",IFERROR(COUNTIFS(Milestones!$E$5:$E$504,"&gt;="&amp;I$4,Milestones!$E$5:$E$504,"&lt;="&amp;EOMONTH(I$4,0),Milestones!$H$5:$H$504,"Yes")/COUNTIFS(Milestones!$E$5:$E$504,"&gt;="&amp;I$4,Milestones!$E$5:$E$504,"&lt;="&amp;EOMONTH(I$4,0)),""))</f>
        <v>1</v>
      </c>
      <c r="J15" s="25">
        <f ca="1">IF(J$4&gt;Settings!$B$6,"",IFERROR(COUNTIFS(Milestones!$E$5:$E$504,"&gt;="&amp;J$4,Milestones!$E$5:$E$504,"&lt;="&amp;EOMONTH(J$4,0),Milestones!$H$5:$H$504,"Yes")/COUNTIFS(Milestones!$E$5:$E$504,"&gt;="&amp;J$4,Milestones!$E$5:$E$504,"&lt;="&amp;EOMONTH(J$4,0)),""))</f>
        <v>0.8</v>
      </c>
      <c r="K15" s="25">
        <f ca="1">IF(K$4&gt;Settings!$B$6,"",IFERROR(COUNTIFS(Milestones!$E$5:$E$504,"&gt;="&amp;K$4,Milestones!$E$5:$E$504,"&lt;="&amp;EOMONTH(K$4,0),Milestones!$H$5:$H$504,"Yes")/COUNTIFS(Milestones!$E$5:$E$504,"&gt;="&amp;K$4,Milestones!$E$5:$E$504,"&lt;="&amp;EOMONTH(K$4,0)),""))</f>
        <v>0.4</v>
      </c>
      <c r="L15" s="25">
        <f ca="1">IF(L$4&gt;Settings!$B$6,"",IFERROR(COUNTIFS(Milestones!$E$5:$E$504,"&gt;="&amp;L$4,Milestones!$E$5:$E$504,"&lt;="&amp;EOMONTH(L$4,0),Milestones!$H$5:$H$504,"Yes")/COUNTIFS(Milestones!$E$5:$E$504,"&gt;="&amp;L$4,Milestones!$E$5:$E$504,"&lt;="&amp;EOMONTH(L$4,0)),""))</f>
        <v>0.4</v>
      </c>
      <c r="M15" s="25">
        <f ca="1">IF(M$4&gt;Settings!$B$6,"",IFERROR(COUNTIFS(Milestones!$E$5:$E$504,"&gt;="&amp;M$4,Milestones!$E$5:$E$504,"&lt;="&amp;EOMONTH(M$4,0),Milestones!$H$5:$H$504,"Yes")/COUNTIFS(Milestones!$E$5:$E$504,"&gt;="&amp;M$4,Milestones!$E$5:$E$504,"&lt;="&amp;EOMONTH(M$4,0)),""))</f>
        <v>0.5</v>
      </c>
      <c r="N15" s="25">
        <f ca="1">IF(N$4&gt;Settings!$B$6,"",IFERROR(COUNTIFS(Milestones!$E$5:$E$504,"&gt;="&amp;N$4,Milestones!$E$5:$E$504,"&lt;="&amp;EOMONTH(N$4,0),Milestones!$H$5:$H$504,"Yes")/COUNTIFS(Milestones!$E$5:$E$504,"&gt;="&amp;N$4,Milestones!$E$5:$E$504,"&lt;="&amp;EOMONTH(N$4,0)),""))</f>
        <v>0.5</v>
      </c>
      <c r="O15" s="25">
        <f ca="1">IF(O$4&gt;Settings!$B$6,"",IFERROR(COUNTIFS(Milestones!$E$5:$E$504,"&gt;="&amp;O$4,Milestones!$E$5:$E$504,"&lt;="&amp;EOMONTH(O$4,0),Milestones!$H$5:$H$504,"Yes")/COUNTIFS(Milestones!$E$5:$E$504,"&gt;="&amp;O$4,Milestones!$E$5:$E$504,"&lt;="&amp;EOMONTH(O$4,0)),""))</f>
        <v>1</v>
      </c>
      <c r="P15" s="25">
        <f ca="1">IF(P$4&gt;Settings!$B$6,"",IFERROR(COUNTIFS(Milestones!$E$5:$E$504,"&gt;="&amp;P$4,Milestones!$E$5:$E$504,"&lt;="&amp;EOMONTH(P$4,0),Milestones!$H$5:$H$504,"Yes")/COUNTIFS(Milestones!$E$5:$E$504,"&gt;="&amp;P$4,Milestones!$E$5:$E$504,"&lt;="&amp;EOMONTH(P$4,0)),""))</f>
        <v>0.25</v>
      </c>
      <c r="Q15" s="25" t="str">
        <f ca="1">IF(Q$4&gt;Settings!$B$6,"",IFERROR(COUNTIFS(Milestones!$E$5:$E$504,"&gt;="&amp;Q$4,Milestones!$E$5:$E$504,"&lt;="&amp;EOMONTH(Q$4,0),Milestones!$H$5:$H$504,"Yes")/COUNTIFS(Milestones!$E$5:$E$504,"&gt;="&amp;Q$4,Milestones!$E$5:$E$504,"&lt;="&amp;EOMONTH(Q$4,0)),""))</f>
        <v/>
      </c>
      <c r="R15" s="25" t="str">
        <f ca="1">IF(R$4&gt;Settings!$B$6,"",IFERROR(COUNTIFS(Milestones!$E$5:$E$504,"&gt;="&amp;R$4,Milestones!$E$5:$E$504,"&lt;="&amp;EOMONTH(R$4,0),Milestones!$H$5:$H$504,"Yes")/COUNTIFS(Milestones!$E$5:$E$504,"&gt;="&amp;R$4,Milestones!$E$5:$E$504,"&lt;="&amp;EOMONTH(R$4,0)),""))</f>
        <v/>
      </c>
      <c r="S15" s="26">
        <f t="shared" ca="1" si="0"/>
        <v>0.25</v>
      </c>
      <c r="T15" s="28" t="str">
        <f t="shared" ca="1" si="1"/>
        <v>RED</v>
      </c>
      <c r="U15" s="28">
        <f t="shared" ca="1" si="2"/>
        <v>2</v>
      </c>
      <c r="V15" s="28">
        <f t="shared" ca="1" si="3"/>
        <v>7</v>
      </c>
    </row>
    <row r="16" spans="1:22" x14ac:dyDescent="0.3">
      <c r="A16" s="28">
        <v>12</v>
      </c>
      <c r="B16" s="24" t="str">
        <f>KPI_Targets!B16</f>
        <v>Project Quality Index</v>
      </c>
      <c r="C16" s="28" t="str">
        <f>KPI_Targets!E16</f>
        <v>%</v>
      </c>
      <c r="D16" s="28" t="str">
        <f>KPI_Targets!F16</f>
        <v>Higher</v>
      </c>
      <c r="E16" s="44">
        <f>KPI_Targets!G16</f>
        <v>0.95</v>
      </c>
      <c r="F16" s="44">
        <f>KPI_Targets!H16</f>
        <v>0.85</v>
      </c>
      <c r="G16" s="25">
        <f ca="1">IF(G$4&gt;Settings!$B$6,"",IFERROR(COUNTIFS(Quality_Log!$D$5:$D$504,"&gt;="&amp;G$4,Quality_Log!$D$5:$D$504,"&lt;="&amp;EOMONTH(G$4,0),Quality_Log!$G$5:$G$504,"Yes")/COUNTIFS(Quality_Log!$D$5:$D$504,"&gt;="&amp;G$4,Quality_Log!$D$5:$D$504,"&lt;="&amp;EOMONTH(G$4,0)),""))</f>
        <v>1</v>
      </c>
      <c r="H16" s="25">
        <f ca="1">IF(H$4&gt;Settings!$B$6,"",IFERROR(COUNTIFS(Quality_Log!$D$5:$D$504,"&gt;="&amp;H$4,Quality_Log!$D$5:$D$504,"&lt;="&amp;EOMONTH(H$4,0),Quality_Log!$G$5:$G$504,"Yes")/COUNTIFS(Quality_Log!$D$5:$D$504,"&gt;="&amp;H$4,Quality_Log!$D$5:$D$504,"&lt;="&amp;EOMONTH(H$4,0)),""))</f>
        <v>0.8</v>
      </c>
      <c r="I16" s="25">
        <f ca="1">IF(I$4&gt;Settings!$B$6,"",IFERROR(COUNTIFS(Quality_Log!$D$5:$D$504,"&gt;="&amp;I$4,Quality_Log!$D$5:$D$504,"&lt;="&amp;EOMONTH(I$4,0),Quality_Log!$G$5:$G$504,"Yes")/COUNTIFS(Quality_Log!$D$5:$D$504,"&gt;="&amp;I$4,Quality_Log!$D$5:$D$504,"&lt;="&amp;EOMONTH(I$4,0)),""))</f>
        <v>1</v>
      </c>
      <c r="J16" s="25">
        <f ca="1">IF(J$4&gt;Settings!$B$6,"",IFERROR(COUNTIFS(Quality_Log!$D$5:$D$504,"&gt;="&amp;J$4,Quality_Log!$D$5:$D$504,"&lt;="&amp;EOMONTH(J$4,0),Quality_Log!$G$5:$G$504,"Yes")/COUNTIFS(Quality_Log!$D$5:$D$504,"&gt;="&amp;J$4,Quality_Log!$D$5:$D$504,"&lt;="&amp;EOMONTH(J$4,0)),""))</f>
        <v>0.6</v>
      </c>
      <c r="K16" s="25">
        <f ca="1">IF(K$4&gt;Settings!$B$6,"",IFERROR(COUNTIFS(Quality_Log!$D$5:$D$504,"&gt;="&amp;K$4,Quality_Log!$D$5:$D$504,"&lt;="&amp;EOMONTH(K$4,0),Quality_Log!$G$5:$G$504,"Yes")/COUNTIFS(Quality_Log!$D$5:$D$504,"&gt;="&amp;K$4,Quality_Log!$D$5:$D$504,"&lt;="&amp;EOMONTH(K$4,0)),""))</f>
        <v>0.8</v>
      </c>
      <c r="L16" s="25">
        <f ca="1">IF(L$4&gt;Settings!$B$6,"",IFERROR(COUNTIFS(Quality_Log!$D$5:$D$504,"&gt;="&amp;L$4,Quality_Log!$D$5:$D$504,"&lt;="&amp;EOMONTH(L$4,0),Quality_Log!$G$5:$G$504,"Yes")/COUNTIFS(Quality_Log!$D$5:$D$504,"&gt;="&amp;L$4,Quality_Log!$D$5:$D$504,"&lt;="&amp;EOMONTH(L$4,0)),""))</f>
        <v>1</v>
      </c>
      <c r="M16" s="25">
        <f ca="1">IF(M$4&gt;Settings!$B$6,"",IFERROR(COUNTIFS(Quality_Log!$D$5:$D$504,"&gt;="&amp;M$4,Quality_Log!$D$5:$D$504,"&lt;="&amp;EOMONTH(M$4,0),Quality_Log!$G$5:$G$504,"Yes")/COUNTIFS(Quality_Log!$D$5:$D$504,"&gt;="&amp;M$4,Quality_Log!$D$5:$D$504,"&lt;="&amp;EOMONTH(M$4,0)),""))</f>
        <v>0.8</v>
      </c>
      <c r="N16" s="25">
        <f ca="1">IF(N$4&gt;Settings!$B$6,"",IFERROR(COUNTIFS(Quality_Log!$D$5:$D$504,"&gt;="&amp;N$4,Quality_Log!$D$5:$D$504,"&lt;="&amp;EOMONTH(N$4,0),Quality_Log!$G$5:$G$504,"Yes")/COUNTIFS(Quality_Log!$D$5:$D$504,"&gt;="&amp;N$4,Quality_Log!$D$5:$D$504,"&lt;="&amp;EOMONTH(N$4,0)),""))</f>
        <v>1</v>
      </c>
      <c r="O16" s="25">
        <f ca="1">IF(O$4&gt;Settings!$B$6,"",IFERROR(COUNTIFS(Quality_Log!$D$5:$D$504,"&gt;="&amp;O$4,Quality_Log!$D$5:$D$504,"&lt;="&amp;EOMONTH(O$4,0),Quality_Log!$G$5:$G$504,"Yes")/COUNTIFS(Quality_Log!$D$5:$D$504,"&gt;="&amp;O$4,Quality_Log!$D$5:$D$504,"&lt;="&amp;EOMONTH(O$4,0)),""))</f>
        <v>1</v>
      </c>
      <c r="P16" s="25">
        <f ca="1">IF(P$4&gt;Settings!$B$6,"",IFERROR(COUNTIFS(Quality_Log!$D$5:$D$504,"&gt;="&amp;P$4,Quality_Log!$D$5:$D$504,"&lt;="&amp;EOMONTH(P$4,0),Quality_Log!$G$5:$G$504,"Yes")/COUNTIFS(Quality_Log!$D$5:$D$504,"&gt;="&amp;P$4,Quality_Log!$D$5:$D$504,"&lt;="&amp;EOMONTH(P$4,0)),""))</f>
        <v>1</v>
      </c>
      <c r="Q16" s="25" t="str">
        <f ca="1">IF(Q$4&gt;Settings!$B$6,"",IFERROR(COUNTIFS(Quality_Log!$D$5:$D$504,"&gt;="&amp;Q$4,Quality_Log!$D$5:$D$504,"&lt;="&amp;EOMONTH(Q$4,0),Quality_Log!$G$5:$G$504,"Yes")/COUNTIFS(Quality_Log!$D$5:$D$504,"&gt;="&amp;Q$4,Quality_Log!$D$5:$D$504,"&lt;="&amp;EOMONTH(Q$4,0)),""))</f>
        <v/>
      </c>
      <c r="R16" s="25" t="str">
        <f ca="1">IF(R$4&gt;Settings!$B$6,"",IFERROR(COUNTIFS(Quality_Log!$D$5:$D$504,"&gt;="&amp;R$4,Quality_Log!$D$5:$D$504,"&lt;="&amp;EOMONTH(R$4,0),Quality_Log!$G$5:$G$504,"Yes")/COUNTIFS(Quality_Log!$D$5:$D$504,"&gt;="&amp;R$4,Quality_Log!$D$5:$D$504,"&lt;="&amp;EOMONTH(R$4,0)),""))</f>
        <v/>
      </c>
      <c r="S16" s="26">
        <f t="shared" ca="1" si="0"/>
        <v>1</v>
      </c>
      <c r="T16" s="28" t="str">
        <f t="shared" ca="1" si="1"/>
        <v>GREEN</v>
      </c>
      <c r="U16" s="28">
        <f t="shared" ca="1" si="2"/>
        <v>6</v>
      </c>
      <c r="V16" s="28">
        <f t="shared" ca="1" si="3"/>
        <v>4</v>
      </c>
    </row>
    <row r="17" spans="1:22" x14ac:dyDescent="0.3">
      <c r="A17" s="28">
        <v>13</v>
      </c>
      <c r="B17" s="24" t="str">
        <f>KPI_Targets!B17</f>
        <v>Change Request Approval Time</v>
      </c>
      <c r="C17" s="28" t="str">
        <f>KPI_Targets!E17</f>
        <v>days</v>
      </c>
      <c r="D17" s="28" t="str">
        <f>KPI_Targets!F17</f>
        <v>Lower</v>
      </c>
      <c r="E17" s="46">
        <f>KPI_Targets!G17</f>
        <v>5</v>
      </c>
      <c r="F17" s="46">
        <f>KPI_Targets!H17</f>
        <v>10</v>
      </c>
      <c r="G17" s="35">
        <f ca="1">IF(G$4&gt;Settings!$B$6,"",IFERROR(AVERAGEIFS(Change_Log!$K$5:$K$504,Change_Log!$J$5:$J$504,"&gt;="&amp;G$4,Change_Log!$J$5:$J$504,"&lt;="&amp;EOMONTH(G$4,0)),""))</f>
        <v>8.6666666666666661</v>
      </c>
      <c r="H17" s="35">
        <f ca="1">IF(H$4&gt;Settings!$B$6,"",IFERROR(AVERAGEIFS(Change_Log!$K$5:$K$504,Change_Log!$J$5:$J$504,"&gt;="&amp;H$4,Change_Log!$J$5:$J$504,"&lt;="&amp;EOMONTH(H$4,0)),""))</f>
        <v>9</v>
      </c>
      <c r="I17" s="35">
        <f ca="1">IF(I$4&gt;Settings!$B$6,"",IFERROR(AVERAGEIFS(Change_Log!$K$5:$K$504,Change_Log!$J$5:$J$504,"&gt;="&amp;I$4,Change_Log!$J$5:$J$504,"&lt;="&amp;EOMONTH(I$4,0)),""))</f>
        <v>7.6</v>
      </c>
      <c r="J17" s="35">
        <f ca="1">IF(J$4&gt;Settings!$B$6,"",IFERROR(AVERAGEIFS(Change_Log!$K$5:$K$504,Change_Log!$J$5:$J$504,"&gt;="&amp;J$4,Change_Log!$J$5:$J$504,"&lt;="&amp;EOMONTH(J$4,0)),""))</f>
        <v>7</v>
      </c>
      <c r="K17" s="35">
        <f ca="1">IF(K$4&gt;Settings!$B$6,"",IFERROR(AVERAGEIFS(Change_Log!$K$5:$K$504,Change_Log!$J$5:$J$504,"&gt;="&amp;K$4,Change_Log!$J$5:$J$504,"&lt;="&amp;EOMONTH(K$4,0)),""))</f>
        <v>5.333333333333333</v>
      </c>
      <c r="L17" s="35">
        <f ca="1">IF(L$4&gt;Settings!$B$6,"",IFERROR(AVERAGEIFS(Change_Log!$K$5:$K$504,Change_Log!$J$5:$J$504,"&gt;="&amp;L$4,Change_Log!$J$5:$J$504,"&lt;="&amp;EOMONTH(L$4,0)),""))</f>
        <v>4</v>
      </c>
      <c r="M17" s="35">
        <f ca="1">IF(M$4&gt;Settings!$B$6,"",IFERROR(AVERAGEIFS(Change_Log!$K$5:$K$504,Change_Log!$J$5:$J$504,"&gt;="&amp;M$4,Change_Log!$J$5:$J$504,"&lt;="&amp;EOMONTH(M$4,0)),""))</f>
        <v>5</v>
      </c>
      <c r="N17" s="35">
        <f ca="1">IF(N$4&gt;Settings!$B$6,"",IFERROR(AVERAGEIFS(Change_Log!$K$5:$K$504,Change_Log!$J$5:$J$504,"&gt;="&amp;N$4,Change_Log!$J$5:$J$504,"&lt;="&amp;EOMONTH(N$4,0)),""))</f>
        <v>6</v>
      </c>
      <c r="O17" s="35">
        <f ca="1">IF(O$4&gt;Settings!$B$6,"",IFERROR(AVERAGEIFS(Change_Log!$K$5:$K$504,Change_Log!$J$5:$J$504,"&gt;="&amp;O$4,Change_Log!$J$5:$J$504,"&lt;="&amp;EOMONTH(O$4,0)),""))</f>
        <v>6.666666666666667</v>
      </c>
      <c r="P17" s="35">
        <f ca="1">IF(P$4&gt;Settings!$B$6,"",IFERROR(AVERAGEIFS(Change_Log!$K$5:$K$504,Change_Log!$J$5:$J$504,"&gt;="&amp;P$4,Change_Log!$J$5:$J$504,"&lt;="&amp;EOMONTH(P$4,0)),""))</f>
        <v>5</v>
      </c>
      <c r="Q17" s="35" t="str">
        <f ca="1">IF(Q$4&gt;Settings!$B$6,"",IFERROR(AVERAGEIFS(Change_Log!$K$5:$K$504,Change_Log!$J$5:$J$504,"&gt;="&amp;Q$4,Change_Log!$J$5:$J$504,"&lt;="&amp;EOMONTH(Q$4,0)),""))</f>
        <v/>
      </c>
      <c r="R17" s="35" t="str">
        <f ca="1">IF(R$4&gt;Settings!$B$6,"",IFERROR(AVERAGEIFS(Change_Log!$K$5:$K$504,Change_Log!$J$5:$J$504,"&gt;="&amp;R$4,Change_Log!$J$5:$J$504,"&lt;="&amp;EOMONTH(R$4,0)),""))</f>
        <v/>
      </c>
      <c r="S17" s="36">
        <f t="shared" ca="1" si="0"/>
        <v>5</v>
      </c>
      <c r="T17" s="28" t="str">
        <f t="shared" ca="1" si="1"/>
        <v>GREEN</v>
      </c>
      <c r="U17" s="28">
        <f t="shared" ca="1" si="2"/>
        <v>3</v>
      </c>
      <c r="V17" s="28">
        <f t="shared" ca="1" si="3"/>
        <v>0</v>
      </c>
    </row>
    <row r="18" spans="1:22" x14ac:dyDescent="0.3">
      <c r="A18" s="28">
        <v>14</v>
      </c>
      <c r="B18" s="24" t="str">
        <f>KPI_Targets!B18</f>
        <v>Team Productivity Index</v>
      </c>
      <c r="C18" s="28" t="str">
        <f>KPI_Targets!E18</f>
        <v>index</v>
      </c>
      <c r="D18" s="28" t="str">
        <f>KPI_Targets!F18</f>
        <v>Higher</v>
      </c>
      <c r="E18" s="44">
        <f>KPI_Targets!G18</f>
        <v>1</v>
      </c>
      <c r="F18" s="44">
        <f>KPI_Targets!H18</f>
        <v>0.9</v>
      </c>
      <c r="G18" s="25">
        <f ca="1">IF(G$4&gt;Settings!$B$6,"",IFERROR(AVERAGEIFS(Resources!$J$5:$J$504,Resources!$A$5:$A$504,"&gt;="&amp;G$4,Resources!$A$5:$A$504,"&lt;="&amp;EOMONTH(G$4,0)),""))</f>
        <v>0.96216666666666661</v>
      </c>
      <c r="H18" s="25">
        <f ca="1">IF(H$4&gt;Settings!$B$6,"",IFERROR(AVERAGEIFS(Resources!$J$5:$J$504,Resources!$A$5:$A$504,"&gt;="&amp;H$4,Resources!$A$5:$A$504,"&lt;="&amp;EOMONTH(H$4,0)),""))</f>
        <v>0.90721527777777777</v>
      </c>
      <c r="I18" s="25">
        <f ca="1">IF(I$4&gt;Settings!$B$6,"",IFERROR(AVERAGEIFS(Resources!$J$5:$J$504,Resources!$A$5:$A$504,"&gt;="&amp;I$4,Resources!$A$5:$A$504,"&lt;="&amp;EOMONTH(I$4,0)),""))</f>
        <v>0.96729861111111115</v>
      </c>
      <c r="J18" s="25">
        <f ca="1">IF(J$4&gt;Settings!$B$6,"",IFERROR(AVERAGEIFS(Resources!$J$5:$J$504,Resources!$A$5:$A$504,"&gt;="&amp;J$4,Resources!$A$5:$A$504,"&lt;="&amp;EOMONTH(J$4,0)),""))</f>
        <v>0.9639305555555554</v>
      </c>
      <c r="K18" s="25">
        <f ca="1">IF(K$4&gt;Settings!$B$6,"",IFERROR(AVERAGEIFS(Resources!$J$5:$J$504,Resources!$A$5:$A$504,"&gt;="&amp;K$4,Resources!$A$5:$A$504,"&lt;="&amp;EOMONTH(K$4,0)),""))</f>
        <v>0.98034722222222226</v>
      </c>
      <c r="L18" s="25">
        <f ca="1">IF(L$4&gt;Settings!$B$6,"",IFERROR(AVERAGEIFS(Resources!$J$5:$J$504,Resources!$A$5:$A$504,"&gt;="&amp;L$4,Resources!$A$5:$A$504,"&lt;="&amp;EOMONTH(L$4,0)),""))</f>
        <v>0.94514583333333335</v>
      </c>
      <c r="M18" s="25">
        <f ca="1">IF(M$4&gt;Settings!$B$6,"",IFERROR(AVERAGEIFS(Resources!$J$5:$J$504,Resources!$A$5:$A$504,"&gt;="&amp;M$4,Resources!$A$5:$A$504,"&lt;="&amp;EOMONTH(M$4,0)),""))</f>
        <v>1.013451388888889</v>
      </c>
      <c r="N18" s="25">
        <f ca="1">IF(N$4&gt;Settings!$B$6,"",IFERROR(AVERAGEIFS(Resources!$J$5:$J$504,Resources!$A$5:$A$504,"&gt;="&amp;N$4,Resources!$A$5:$A$504,"&lt;="&amp;EOMONTH(N$4,0)),""))</f>
        <v>0.96982638888888895</v>
      </c>
      <c r="O18" s="25">
        <f ca="1">IF(O$4&gt;Settings!$B$6,"",IFERROR(AVERAGEIFS(Resources!$J$5:$J$504,Resources!$A$5:$A$504,"&gt;="&amp;O$4,Resources!$A$5:$A$504,"&lt;="&amp;EOMONTH(O$4,0)),""))</f>
        <v>0.97321527777777772</v>
      </c>
      <c r="P18" s="25">
        <f ca="1">IF(P$4&gt;Settings!$B$6,"",IFERROR(AVERAGEIFS(Resources!$J$5:$J$504,Resources!$A$5:$A$504,"&gt;="&amp;P$4,Resources!$A$5:$A$504,"&lt;="&amp;EOMONTH(P$4,0)),""))</f>
        <v>0.95547916666666677</v>
      </c>
      <c r="Q18" s="25" t="str">
        <f ca="1">IF(Q$4&gt;Settings!$B$6,"",IFERROR(AVERAGEIFS(Resources!$J$5:$J$504,Resources!$A$5:$A$504,"&gt;="&amp;Q$4,Resources!$A$5:$A$504,"&lt;="&amp;EOMONTH(Q$4,0)),""))</f>
        <v/>
      </c>
      <c r="R18" s="25" t="str">
        <f ca="1">IF(R$4&gt;Settings!$B$6,"",IFERROR(AVERAGEIFS(Resources!$J$5:$J$504,Resources!$A$5:$A$504,"&gt;="&amp;R$4,Resources!$A$5:$A$504,"&lt;="&amp;EOMONTH(R$4,0)),""))</f>
        <v/>
      </c>
      <c r="S18" s="26">
        <f t="shared" ca="1" si="0"/>
        <v>0.95547916666666677</v>
      </c>
      <c r="T18" s="28" t="str">
        <f t="shared" ca="1" si="1"/>
        <v>AMBER</v>
      </c>
      <c r="U18" s="28">
        <f t="shared" ca="1" si="2"/>
        <v>1</v>
      </c>
      <c r="V18" s="28">
        <f t="shared" ca="1" si="3"/>
        <v>0</v>
      </c>
    </row>
    <row r="19" spans="1:22" x14ac:dyDescent="0.3">
      <c r="A19" s="28">
        <v>15</v>
      </c>
      <c r="B19" s="24" t="str">
        <f>KPI_Targets!B19</f>
        <v>Benefits Realization</v>
      </c>
      <c r="C19" s="28" t="str">
        <f>KPI_Targets!E19</f>
        <v>%</v>
      </c>
      <c r="D19" s="28" t="str">
        <f>KPI_Targets!F19</f>
        <v>Higher</v>
      </c>
      <c r="E19" s="44">
        <f>KPI_Targets!G19</f>
        <v>0.9</v>
      </c>
      <c r="F19" s="44">
        <f>KPI_Targets!H19</f>
        <v>0.75</v>
      </c>
      <c r="G19" s="25" t="str">
        <f ca="1">IF(G$4&gt;Settings!$B$6,"",IFERROR(SUMIFS(Benefits_Log!$G$5:$G$504,Benefits_Log!$E$5:$E$504,"&gt;="&amp;G$4,Benefits_Log!$E$5:$E$504,"&lt;="&amp;EOMONTH(G$4,0))/SUMIFS(Benefits_Log!$F$5:$F$504,Benefits_Log!$E$5:$E$504,"&gt;="&amp;G$4,Benefits_Log!$E$5:$E$504,"&lt;="&amp;EOMONTH(G$4,0)),""))</f>
        <v/>
      </c>
      <c r="H19" s="25" t="str">
        <f ca="1">IF(H$4&gt;Settings!$B$6,"",IFERROR(SUMIFS(Benefits_Log!$G$5:$G$504,Benefits_Log!$E$5:$E$504,"&gt;="&amp;H$4,Benefits_Log!$E$5:$E$504,"&lt;="&amp;EOMONTH(H$4,0))/SUMIFS(Benefits_Log!$F$5:$F$504,Benefits_Log!$E$5:$E$504,"&gt;="&amp;H$4,Benefits_Log!$E$5:$E$504,"&lt;="&amp;EOMONTH(H$4,0)),""))</f>
        <v/>
      </c>
      <c r="I19" s="25" t="str">
        <f ca="1">IF(I$4&gt;Settings!$B$6,"",IFERROR(SUMIFS(Benefits_Log!$G$5:$G$504,Benefits_Log!$E$5:$E$504,"&gt;="&amp;I$4,Benefits_Log!$E$5:$E$504,"&lt;="&amp;EOMONTH(I$4,0))/SUMIFS(Benefits_Log!$F$5:$F$504,Benefits_Log!$E$5:$E$504,"&gt;="&amp;I$4,Benefits_Log!$E$5:$E$504,"&lt;="&amp;EOMONTH(I$4,0)),""))</f>
        <v/>
      </c>
      <c r="J19" s="25">
        <f ca="1">IF(J$4&gt;Settings!$B$6,"",IFERROR(SUMIFS(Benefits_Log!$G$5:$G$504,Benefits_Log!$E$5:$E$504,"&gt;="&amp;J$4,Benefits_Log!$E$5:$E$504,"&lt;="&amp;EOMONTH(J$4,0))/SUMIFS(Benefits_Log!$F$5:$F$504,Benefits_Log!$E$5:$E$504,"&gt;="&amp;J$4,Benefits_Log!$E$5:$E$504,"&lt;="&amp;EOMONTH(J$4,0)),""))</f>
        <v>0.91659999999999997</v>
      </c>
      <c r="K19" s="25">
        <f ca="1">IF(K$4&gt;Settings!$B$6,"",IFERROR(SUMIFS(Benefits_Log!$G$5:$G$504,Benefits_Log!$E$5:$E$504,"&gt;="&amp;K$4,Benefits_Log!$E$5:$E$504,"&lt;="&amp;EOMONTH(K$4,0))/SUMIFS(Benefits_Log!$F$5:$F$504,Benefits_Log!$E$5:$E$504,"&gt;="&amp;K$4,Benefits_Log!$E$5:$E$504,"&lt;="&amp;EOMONTH(K$4,0)),""))</f>
        <v>0.88561999999999996</v>
      </c>
      <c r="L19" s="25">
        <f ca="1">IF(L$4&gt;Settings!$B$6,"",IFERROR(SUMIFS(Benefits_Log!$G$5:$G$504,Benefits_Log!$E$5:$E$504,"&gt;="&amp;L$4,Benefits_Log!$E$5:$E$504,"&lt;="&amp;EOMONTH(L$4,0))/SUMIFS(Benefits_Log!$F$5:$F$504,Benefits_Log!$E$5:$E$504,"&gt;="&amp;L$4,Benefits_Log!$E$5:$E$504,"&lt;="&amp;EOMONTH(L$4,0)),""))</f>
        <v>0.9473548387096774</v>
      </c>
      <c r="M19" s="25">
        <f ca="1">IF(M$4&gt;Settings!$B$6,"",IFERROR(SUMIFS(Benefits_Log!$G$5:$G$504,Benefits_Log!$E$5:$E$504,"&gt;="&amp;M$4,Benefits_Log!$E$5:$E$504,"&lt;="&amp;EOMONTH(M$4,0))/SUMIFS(Benefits_Log!$F$5:$F$504,Benefits_Log!$E$5:$E$504,"&gt;="&amp;M$4,Benefits_Log!$E$5:$E$504,"&lt;="&amp;EOMONTH(M$4,0)),""))</f>
        <v>0.89497794117647056</v>
      </c>
      <c r="N19" s="25">
        <f ca="1">IF(N$4&gt;Settings!$B$6,"",IFERROR(SUMIFS(Benefits_Log!$G$5:$G$504,Benefits_Log!$E$5:$E$504,"&gt;="&amp;N$4,Benefits_Log!$E$5:$E$504,"&lt;="&amp;EOMONTH(N$4,0))/SUMIFS(Benefits_Log!$F$5:$F$504,Benefits_Log!$E$5:$E$504,"&gt;="&amp;N$4,Benefits_Log!$E$5:$E$504,"&lt;="&amp;EOMONTH(N$4,0)),""))</f>
        <v>0.86095163632302019</v>
      </c>
      <c r="O19" s="25">
        <f ca="1">IF(O$4&gt;Settings!$B$6,"",IFERROR(SUMIFS(Benefits_Log!$G$5:$G$504,Benefits_Log!$E$5:$E$504,"&gt;="&amp;O$4,Benefits_Log!$E$5:$E$504,"&lt;="&amp;EOMONTH(O$4,0))/SUMIFS(Benefits_Log!$F$5:$F$504,Benefits_Log!$E$5:$E$504,"&gt;="&amp;O$4,Benefits_Log!$E$5:$E$504,"&lt;="&amp;EOMONTH(O$4,0)),""))</f>
        <v>0.86627370579190155</v>
      </c>
      <c r="P19" s="25">
        <f ca="1">IF(P$4&gt;Settings!$B$6,"",IFERROR(SUMIFS(Benefits_Log!$G$5:$G$504,Benefits_Log!$E$5:$E$504,"&gt;="&amp;P$4,Benefits_Log!$E$5:$E$504,"&lt;="&amp;EOMONTH(P$4,0))/SUMIFS(Benefits_Log!$F$5:$F$504,Benefits_Log!$E$5:$E$504,"&gt;="&amp;P$4,Benefits_Log!$E$5:$E$504,"&lt;="&amp;EOMONTH(P$4,0)),""))</f>
        <v>0.92257417525416696</v>
      </c>
      <c r="Q19" s="25" t="str">
        <f ca="1">IF(Q$4&gt;Settings!$B$6,"",IFERROR(SUMIFS(Benefits_Log!$G$5:$G$504,Benefits_Log!$E$5:$E$504,"&gt;="&amp;Q$4,Benefits_Log!$E$5:$E$504,"&lt;="&amp;EOMONTH(Q$4,0))/SUMIFS(Benefits_Log!$F$5:$F$504,Benefits_Log!$E$5:$E$504,"&gt;="&amp;Q$4,Benefits_Log!$E$5:$E$504,"&lt;="&amp;EOMONTH(Q$4,0)),""))</f>
        <v/>
      </c>
      <c r="R19" s="25" t="str">
        <f ca="1">IF(R$4&gt;Settings!$B$6,"",IFERROR(SUMIFS(Benefits_Log!$G$5:$G$504,Benefits_Log!$E$5:$E$504,"&gt;="&amp;R$4,Benefits_Log!$E$5:$E$504,"&lt;="&amp;EOMONTH(R$4,0))/SUMIFS(Benefits_Log!$F$5:$F$504,Benefits_Log!$E$5:$E$504,"&gt;="&amp;R$4,Benefits_Log!$E$5:$E$504,"&lt;="&amp;EOMONTH(R$4,0)),""))</f>
        <v/>
      </c>
      <c r="S19" s="26">
        <f t="shared" ca="1" si="0"/>
        <v>0.92257417525416696</v>
      </c>
      <c r="T19" s="28" t="str">
        <f t="shared" ca="1" si="1"/>
        <v>GREEN</v>
      </c>
      <c r="U19" s="28">
        <f t="shared" ca="1" si="2"/>
        <v>3</v>
      </c>
      <c r="V19" s="28">
        <f t="shared" ca="1" si="3"/>
        <v>0</v>
      </c>
    </row>
    <row r="20" spans="1:22" x14ac:dyDescent="0.3">
      <c r="A20" s="28">
        <v>16</v>
      </c>
      <c r="B20" s="24" t="str">
        <f>KPI_Targets!B20</f>
        <v>Continuous Improvement Initiatives</v>
      </c>
      <c r="C20" s="28" t="str">
        <f>KPI_Targets!E20</f>
        <v>count</v>
      </c>
      <c r="D20" s="28" t="str">
        <f>KPI_Targets!F20</f>
        <v>Higher</v>
      </c>
      <c r="E20" s="47">
        <f>KPI_Targets!G20</f>
        <v>2</v>
      </c>
      <c r="F20" s="47">
        <f>KPI_Targets!H20</f>
        <v>1</v>
      </c>
      <c r="G20" s="37">
        <f ca="1">IF(G$4&gt;Settings!$B$6,"",IFERROR(COUNTIFS(CI_Log!$G$5:$G$504,"&gt;="&amp;G$4,CI_Log!$G$5:$G$504,"&lt;="&amp;EOMONTH(G$4,0),CI_Log!$F$5:$F$504,"Implemented"),""))</f>
        <v>1</v>
      </c>
      <c r="H20" s="37">
        <f ca="1">IF(H$4&gt;Settings!$B$6,"",IFERROR(COUNTIFS(CI_Log!$G$5:$G$504,"&gt;="&amp;H$4,CI_Log!$G$5:$G$504,"&lt;="&amp;EOMONTH(H$4,0),CI_Log!$F$5:$F$504,"Implemented"),""))</f>
        <v>2</v>
      </c>
      <c r="I20" s="37">
        <f ca="1">IF(I$4&gt;Settings!$B$6,"",IFERROR(COUNTIFS(CI_Log!$G$5:$G$504,"&gt;="&amp;I$4,CI_Log!$G$5:$G$504,"&lt;="&amp;EOMONTH(I$4,0),CI_Log!$F$5:$F$504,"Implemented"),""))</f>
        <v>0</v>
      </c>
      <c r="J20" s="37">
        <f ca="1">IF(J$4&gt;Settings!$B$6,"",IFERROR(COUNTIFS(CI_Log!$G$5:$G$504,"&gt;="&amp;J$4,CI_Log!$G$5:$G$504,"&lt;="&amp;EOMONTH(J$4,0),CI_Log!$F$5:$F$504,"Implemented"),""))</f>
        <v>3</v>
      </c>
      <c r="K20" s="37">
        <f ca="1">IF(K$4&gt;Settings!$B$6,"",IFERROR(COUNTIFS(CI_Log!$G$5:$G$504,"&gt;="&amp;K$4,CI_Log!$G$5:$G$504,"&lt;="&amp;EOMONTH(K$4,0),CI_Log!$F$5:$F$504,"Implemented"),""))</f>
        <v>1</v>
      </c>
      <c r="L20" s="37">
        <f ca="1">IF(L$4&gt;Settings!$B$6,"",IFERROR(COUNTIFS(CI_Log!$G$5:$G$504,"&gt;="&amp;L$4,CI_Log!$G$5:$G$504,"&lt;="&amp;EOMONTH(L$4,0),CI_Log!$F$5:$F$504,"Implemented"),""))</f>
        <v>1</v>
      </c>
      <c r="M20" s="37">
        <f ca="1">IF(M$4&gt;Settings!$B$6,"",IFERROR(COUNTIFS(CI_Log!$G$5:$G$504,"&gt;="&amp;M$4,CI_Log!$G$5:$G$504,"&lt;="&amp;EOMONTH(M$4,0),CI_Log!$F$5:$F$504,"Implemented"),""))</f>
        <v>2</v>
      </c>
      <c r="N20" s="37">
        <f ca="1">IF(N$4&gt;Settings!$B$6,"",IFERROR(COUNTIFS(CI_Log!$G$5:$G$504,"&gt;="&amp;N$4,CI_Log!$G$5:$G$504,"&lt;="&amp;EOMONTH(N$4,0),CI_Log!$F$5:$F$504,"Implemented"),""))</f>
        <v>1</v>
      </c>
      <c r="O20" s="37">
        <f ca="1">IF(O$4&gt;Settings!$B$6,"",IFERROR(COUNTIFS(CI_Log!$G$5:$G$504,"&gt;="&amp;O$4,CI_Log!$G$5:$G$504,"&lt;="&amp;EOMONTH(O$4,0),CI_Log!$F$5:$F$504,"Implemented"),""))</f>
        <v>0</v>
      </c>
      <c r="P20" s="37">
        <f ca="1">IF(P$4&gt;Settings!$B$6,"",IFERROR(COUNTIFS(CI_Log!$G$5:$G$504,"&gt;="&amp;P$4,CI_Log!$G$5:$G$504,"&lt;="&amp;EOMONTH(P$4,0),CI_Log!$F$5:$F$504,"Implemented"),""))</f>
        <v>0</v>
      </c>
      <c r="Q20" s="37" t="str">
        <f ca="1">IF(Q$4&gt;Settings!$B$6,"",IFERROR(COUNTIFS(CI_Log!$G$5:$G$504,"&gt;="&amp;Q$4,CI_Log!$G$5:$G$504,"&lt;="&amp;EOMONTH(Q$4,0),CI_Log!$F$5:$F$504,"Implemented"),""))</f>
        <v/>
      </c>
      <c r="R20" s="37" t="str">
        <f ca="1">IF(R$4&gt;Settings!$B$6,"",IFERROR(COUNTIFS(CI_Log!$G$5:$G$504,"&gt;="&amp;R$4,CI_Log!$G$5:$G$504,"&lt;="&amp;EOMONTH(R$4,0),CI_Log!$F$5:$F$504,"Implemented"),""))</f>
        <v/>
      </c>
      <c r="S20" s="38">
        <f t="shared" ca="1" si="0"/>
        <v>0</v>
      </c>
      <c r="T20" s="28" t="str">
        <f t="shared" ca="1" si="1"/>
        <v>RED</v>
      </c>
      <c r="U20" s="28">
        <f t="shared" ca="1" si="2"/>
        <v>3</v>
      </c>
      <c r="V20" s="28">
        <f t="shared" ca="1" si="3"/>
        <v>3</v>
      </c>
    </row>
    <row r="22" spans="1:22" ht="15.6" x14ac:dyDescent="0.3">
      <c r="B22" s="48" t="s">
        <v>133</v>
      </c>
    </row>
    <row r="23" spans="1:22" x14ac:dyDescent="0.3">
      <c r="A23" s="49" t="s">
        <v>125</v>
      </c>
      <c r="B23" s="49" t="s">
        <v>93</v>
      </c>
      <c r="G23" s="50">
        <f t="shared" ref="G23:R23" si="4">G4</f>
        <v>46023</v>
      </c>
      <c r="H23" s="50">
        <f t="shared" si="4"/>
        <v>46054</v>
      </c>
      <c r="I23" s="50">
        <f t="shared" si="4"/>
        <v>46082</v>
      </c>
      <c r="J23" s="50">
        <f t="shared" si="4"/>
        <v>46113</v>
      </c>
      <c r="K23" s="50">
        <f t="shared" si="4"/>
        <v>46143</v>
      </c>
      <c r="L23" s="50">
        <f t="shared" si="4"/>
        <v>46174</v>
      </c>
      <c r="M23" s="50">
        <f t="shared" si="4"/>
        <v>46204</v>
      </c>
      <c r="N23" s="50">
        <f t="shared" si="4"/>
        <v>46235</v>
      </c>
      <c r="O23" s="50">
        <f t="shared" si="4"/>
        <v>46266</v>
      </c>
      <c r="P23" s="50">
        <f t="shared" si="4"/>
        <v>46296</v>
      </c>
      <c r="Q23" s="50">
        <f t="shared" si="4"/>
        <v>46327</v>
      </c>
      <c r="R23" s="50">
        <f t="shared" si="4"/>
        <v>46357</v>
      </c>
    </row>
    <row r="24" spans="1:22" x14ac:dyDescent="0.3">
      <c r="A24" s="28">
        <v>1</v>
      </c>
      <c r="B24" s="29" t="str">
        <f t="shared" ref="B24:B39" si="5">B5</f>
        <v>Project Schedule Variance (SV%)</v>
      </c>
      <c r="G24" s="51" t="str">
        <f t="shared" ref="G24:R24" ca="1" si="6">IF(G5="","",IF($D5="Higher",IF(G5&gt;=$E5,"GREEN",IF(G5&gt;=$F5,"AMBER","RED")),IF(G5&lt;=$E5,"GREEN",IF(G5&lt;=$F5,"AMBER","RED"))))</f>
        <v>RED</v>
      </c>
      <c r="H24" s="51" t="str">
        <f t="shared" ca="1" si="6"/>
        <v>AMBER</v>
      </c>
      <c r="I24" s="51" t="str">
        <f t="shared" ca="1" si="6"/>
        <v>AMBER</v>
      </c>
      <c r="J24" s="51" t="str">
        <f t="shared" ca="1" si="6"/>
        <v>AMBER</v>
      </c>
      <c r="K24" s="51" t="str">
        <f t="shared" ca="1" si="6"/>
        <v>AMBER</v>
      </c>
      <c r="L24" s="51" t="str">
        <f t="shared" ca="1" si="6"/>
        <v>RED</v>
      </c>
      <c r="M24" s="51" t="str">
        <f t="shared" ca="1" si="6"/>
        <v>RED</v>
      </c>
      <c r="N24" s="51" t="str">
        <f t="shared" ca="1" si="6"/>
        <v>AMBER</v>
      </c>
      <c r="O24" s="51" t="str">
        <f t="shared" ca="1" si="6"/>
        <v>AMBER</v>
      </c>
      <c r="P24" s="51" t="str">
        <f t="shared" ca="1" si="6"/>
        <v>RED</v>
      </c>
      <c r="Q24" s="51" t="str">
        <f t="shared" ca="1" si="6"/>
        <v/>
      </c>
      <c r="R24" s="51" t="str">
        <f t="shared" ca="1" si="6"/>
        <v/>
      </c>
    </row>
    <row r="25" spans="1:22" x14ac:dyDescent="0.3">
      <c r="A25" s="28">
        <v>2</v>
      </c>
      <c r="B25" s="29" t="str">
        <f t="shared" si="5"/>
        <v>Project Cost Variance (CV%)</v>
      </c>
      <c r="G25" s="51" t="str">
        <f t="shared" ref="G25:R25" ca="1" si="7">IF(G6="","",IF($D6="Higher",IF(G6&gt;=$E6,"GREEN",IF(G6&gt;=$F6,"AMBER","RED")),IF(G6&lt;=$E6,"GREEN",IF(G6&lt;=$F6,"AMBER","RED"))))</f>
        <v>AMBER</v>
      </c>
      <c r="H25" s="51" t="str">
        <f t="shared" ca="1" si="7"/>
        <v>AMBER</v>
      </c>
      <c r="I25" s="51" t="str">
        <f t="shared" ca="1" si="7"/>
        <v>AMBER</v>
      </c>
      <c r="J25" s="51" t="str">
        <f t="shared" ca="1" si="7"/>
        <v>AMBER</v>
      </c>
      <c r="K25" s="51" t="str">
        <f t="shared" ca="1" si="7"/>
        <v>AMBER</v>
      </c>
      <c r="L25" s="51" t="str">
        <f t="shared" ca="1" si="7"/>
        <v>AMBER</v>
      </c>
      <c r="M25" s="51" t="str">
        <f t="shared" ca="1" si="7"/>
        <v>AMBER</v>
      </c>
      <c r="N25" s="51" t="str">
        <f t="shared" ca="1" si="7"/>
        <v>AMBER</v>
      </c>
      <c r="O25" s="51" t="str">
        <f t="shared" ca="1" si="7"/>
        <v>AMBER</v>
      </c>
      <c r="P25" s="51" t="str">
        <f t="shared" ca="1" si="7"/>
        <v>AMBER</v>
      </c>
      <c r="Q25" s="51" t="str">
        <f t="shared" ca="1" si="7"/>
        <v/>
      </c>
      <c r="R25" s="51" t="str">
        <f t="shared" ca="1" si="7"/>
        <v/>
      </c>
    </row>
    <row r="26" spans="1:22" x14ac:dyDescent="0.3">
      <c r="A26" s="28">
        <v>3</v>
      </c>
      <c r="B26" s="29" t="str">
        <f t="shared" si="5"/>
        <v>Budget Utilization</v>
      </c>
      <c r="G26" s="51" t="str">
        <f t="shared" ref="G26:R26" ca="1" si="8">IF(G7="","",IF($D7="Higher",IF(G7&gt;=$E7,"GREEN",IF(G7&gt;=$F7,"AMBER","RED")),IF(G7&lt;=$E7,"GREEN",IF(G7&lt;=$F7,"AMBER","RED"))))</f>
        <v>GREEN</v>
      </c>
      <c r="H26" s="51" t="str">
        <f t="shared" ca="1" si="8"/>
        <v>GREEN</v>
      </c>
      <c r="I26" s="51" t="str">
        <f t="shared" ca="1" si="8"/>
        <v>GREEN</v>
      </c>
      <c r="J26" s="51" t="str">
        <f t="shared" ca="1" si="8"/>
        <v>GREEN</v>
      </c>
      <c r="K26" s="51" t="str">
        <f t="shared" ca="1" si="8"/>
        <v>GREEN</v>
      </c>
      <c r="L26" s="51" t="str">
        <f t="shared" ca="1" si="8"/>
        <v>GREEN</v>
      </c>
      <c r="M26" s="51" t="str">
        <f t="shared" ca="1" si="8"/>
        <v>GREEN</v>
      </c>
      <c r="N26" s="51" t="str">
        <f t="shared" ca="1" si="8"/>
        <v>GREEN</v>
      </c>
      <c r="O26" s="51" t="str">
        <f t="shared" ca="1" si="8"/>
        <v>GREEN</v>
      </c>
      <c r="P26" s="51" t="str">
        <f t="shared" ca="1" si="8"/>
        <v>GREEN</v>
      </c>
      <c r="Q26" s="51" t="str">
        <f t="shared" ca="1" si="8"/>
        <v/>
      </c>
      <c r="R26" s="51" t="str">
        <f t="shared" ca="1" si="8"/>
        <v/>
      </c>
    </row>
    <row r="27" spans="1:22" x14ac:dyDescent="0.3">
      <c r="A27" s="28">
        <v>4</v>
      </c>
      <c r="B27" s="29" t="str">
        <f t="shared" si="5"/>
        <v>On-Time Project Delivery</v>
      </c>
      <c r="G27" s="51" t="str">
        <f t="shared" ref="G27:R27" ca="1" si="9">IF(G8="","",IF($D8="Higher",IF(G8&gt;=$E8,"GREEN",IF(G8&gt;=$F8,"AMBER","RED")),IF(G8&lt;=$E8,"GREEN",IF(G8&lt;=$F8,"AMBER","RED"))))</f>
        <v/>
      </c>
      <c r="H27" s="51" t="str">
        <f t="shared" ca="1" si="9"/>
        <v/>
      </c>
      <c r="I27" s="51" t="str">
        <f t="shared" ca="1" si="9"/>
        <v/>
      </c>
      <c r="J27" s="51" t="str">
        <f t="shared" ca="1" si="9"/>
        <v>GREEN</v>
      </c>
      <c r="K27" s="51" t="str">
        <f t="shared" ca="1" si="9"/>
        <v>GREEN</v>
      </c>
      <c r="L27" s="51" t="str">
        <f t="shared" ca="1" si="9"/>
        <v>RED</v>
      </c>
      <c r="M27" s="51" t="str">
        <f t="shared" ca="1" si="9"/>
        <v>RED</v>
      </c>
      <c r="N27" s="51" t="str">
        <f t="shared" ca="1" si="9"/>
        <v>RED</v>
      </c>
      <c r="O27" s="51" t="str">
        <f t="shared" ca="1" si="9"/>
        <v>RED</v>
      </c>
      <c r="P27" s="51" t="str">
        <f t="shared" ca="1" si="9"/>
        <v>RED</v>
      </c>
      <c r="Q27" s="51" t="str">
        <f t="shared" ca="1" si="9"/>
        <v/>
      </c>
      <c r="R27" s="51" t="str">
        <f t="shared" ca="1" si="9"/>
        <v/>
      </c>
    </row>
    <row r="28" spans="1:22" x14ac:dyDescent="0.3">
      <c r="A28" s="28">
        <v>5</v>
      </c>
      <c r="B28" s="29" t="str">
        <f t="shared" si="5"/>
        <v>Scope Change Frequency</v>
      </c>
      <c r="G28" s="51" t="str">
        <f t="shared" ref="G28:R28" ca="1" si="10">IF(G9="","",IF($D9="Higher",IF(G9&gt;=$E9,"GREEN",IF(G9&gt;=$F9,"AMBER","RED")),IF(G9&lt;=$E9,"GREEN",IF(G9&lt;=$F9,"AMBER","RED"))))</f>
        <v>AMBER</v>
      </c>
      <c r="H28" s="51" t="str">
        <f t="shared" ca="1" si="10"/>
        <v>GREEN</v>
      </c>
      <c r="I28" s="51" t="str">
        <f t="shared" ca="1" si="10"/>
        <v>GREEN</v>
      </c>
      <c r="J28" s="51" t="str">
        <f t="shared" ca="1" si="10"/>
        <v>GREEN</v>
      </c>
      <c r="K28" s="51" t="str">
        <f t="shared" ca="1" si="10"/>
        <v>GREEN</v>
      </c>
      <c r="L28" s="51" t="str">
        <f t="shared" ca="1" si="10"/>
        <v>GREEN</v>
      </c>
      <c r="M28" s="51" t="str">
        <f t="shared" ca="1" si="10"/>
        <v>GREEN</v>
      </c>
      <c r="N28" s="51" t="str">
        <f t="shared" ca="1" si="10"/>
        <v>GREEN</v>
      </c>
      <c r="O28" s="51" t="str">
        <f t="shared" ca="1" si="10"/>
        <v>GREEN</v>
      </c>
      <c r="P28" s="51" t="str">
        <f t="shared" ca="1" si="10"/>
        <v>GREEN</v>
      </c>
      <c r="Q28" s="51" t="str">
        <f t="shared" ca="1" si="10"/>
        <v/>
      </c>
      <c r="R28" s="51" t="str">
        <f t="shared" ca="1" si="10"/>
        <v/>
      </c>
    </row>
    <row r="29" spans="1:22" x14ac:dyDescent="0.3">
      <c r="A29" s="28">
        <v>6</v>
      </c>
      <c r="B29" s="29" t="str">
        <f t="shared" si="5"/>
        <v>Risk Mitigation Effectiveness</v>
      </c>
      <c r="G29" s="51" t="str">
        <f t="shared" ref="G29:R29" ca="1" si="11">IF(G10="","",IF($D10="Higher",IF(G10&gt;=$E10,"GREEN",IF(G10&gt;=$F10,"AMBER","RED")),IF(G10&lt;=$E10,"GREEN",IF(G10&lt;=$F10,"AMBER","RED"))))</f>
        <v/>
      </c>
      <c r="H29" s="51" t="str">
        <f t="shared" ca="1" si="11"/>
        <v/>
      </c>
      <c r="I29" s="51" t="str">
        <f t="shared" ca="1" si="11"/>
        <v>GREEN</v>
      </c>
      <c r="J29" s="51" t="str">
        <f t="shared" ca="1" si="11"/>
        <v>GREEN</v>
      </c>
      <c r="K29" s="51" t="str">
        <f t="shared" ca="1" si="11"/>
        <v>GREEN</v>
      </c>
      <c r="L29" s="51" t="str">
        <f t="shared" ca="1" si="11"/>
        <v>AMBER</v>
      </c>
      <c r="M29" s="51" t="str">
        <f t="shared" ca="1" si="11"/>
        <v>AMBER</v>
      </c>
      <c r="N29" s="51" t="str">
        <f t="shared" ca="1" si="11"/>
        <v>AMBER</v>
      </c>
      <c r="O29" s="51" t="str">
        <f t="shared" ca="1" si="11"/>
        <v>AMBER</v>
      </c>
      <c r="P29" s="51" t="str">
        <f t="shared" ca="1" si="11"/>
        <v>AMBER</v>
      </c>
      <c r="Q29" s="51" t="str">
        <f t="shared" ca="1" si="11"/>
        <v/>
      </c>
      <c r="R29" s="51" t="str">
        <f t="shared" ca="1" si="11"/>
        <v/>
      </c>
    </row>
    <row r="30" spans="1:22" x14ac:dyDescent="0.3">
      <c r="A30" s="28">
        <v>7</v>
      </c>
      <c r="B30" s="29" t="str">
        <f t="shared" si="5"/>
        <v>Issue Resolution Time</v>
      </c>
      <c r="G30" s="51" t="str">
        <f t="shared" ref="G30:R30" ca="1" si="12">IF(G11="","",IF($D11="Higher",IF(G11&gt;=$E11,"GREEN",IF(G11&gt;=$F11,"AMBER","RED")),IF(G11&lt;=$E11,"GREEN",IF(G11&lt;=$F11,"AMBER","RED"))))</f>
        <v>AMBER</v>
      </c>
      <c r="H30" s="51" t="str">
        <f t="shared" ca="1" si="12"/>
        <v>RED</v>
      </c>
      <c r="I30" s="51" t="str">
        <f t="shared" ca="1" si="12"/>
        <v>AMBER</v>
      </c>
      <c r="J30" s="51" t="str">
        <f t="shared" ca="1" si="12"/>
        <v>GREEN</v>
      </c>
      <c r="K30" s="51" t="str">
        <f t="shared" ca="1" si="12"/>
        <v>AMBER</v>
      </c>
      <c r="L30" s="51" t="str">
        <f t="shared" ca="1" si="12"/>
        <v>GREEN</v>
      </c>
      <c r="M30" s="51" t="str">
        <f t="shared" ca="1" si="12"/>
        <v>AMBER</v>
      </c>
      <c r="N30" s="51" t="str">
        <f t="shared" ca="1" si="12"/>
        <v>AMBER</v>
      </c>
      <c r="O30" s="51" t="str">
        <f t="shared" ca="1" si="12"/>
        <v>AMBER</v>
      </c>
      <c r="P30" s="51" t="str">
        <f t="shared" ca="1" si="12"/>
        <v>GREEN</v>
      </c>
      <c r="Q30" s="51" t="str">
        <f t="shared" ca="1" si="12"/>
        <v/>
      </c>
      <c r="R30" s="51" t="str">
        <f t="shared" ca="1" si="12"/>
        <v/>
      </c>
    </row>
    <row r="31" spans="1:22" x14ac:dyDescent="0.3">
      <c r="A31" s="28">
        <v>8</v>
      </c>
      <c r="B31" s="29" t="str">
        <f t="shared" si="5"/>
        <v>Stakeholder Satisfaction</v>
      </c>
      <c r="G31" s="51" t="str">
        <f t="shared" ref="G31:R31" ca="1" si="13">IF(G12="","",IF($D12="Higher",IF(G12&gt;=$E12,"GREEN",IF(G12&gt;=$F12,"AMBER","RED")),IF(G12&lt;=$E12,"GREEN",IF(G12&lt;=$F12,"AMBER","RED"))))</f>
        <v>RED</v>
      </c>
      <c r="H31" s="51" t="str">
        <f t="shared" ca="1" si="13"/>
        <v>RED</v>
      </c>
      <c r="I31" s="51" t="str">
        <f t="shared" ca="1" si="13"/>
        <v>AMBER</v>
      </c>
      <c r="J31" s="51" t="str">
        <f t="shared" ca="1" si="13"/>
        <v>AMBER</v>
      </c>
      <c r="K31" s="51" t="str">
        <f t="shared" ca="1" si="13"/>
        <v>AMBER</v>
      </c>
      <c r="L31" s="51" t="str">
        <f t="shared" ca="1" si="13"/>
        <v>AMBER</v>
      </c>
      <c r="M31" s="51" t="str">
        <f t="shared" ca="1" si="13"/>
        <v>AMBER</v>
      </c>
      <c r="N31" s="51" t="str">
        <f t="shared" ca="1" si="13"/>
        <v>GREEN</v>
      </c>
      <c r="O31" s="51" t="str">
        <f t="shared" ca="1" si="13"/>
        <v>GREEN</v>
      </c>
      <c r="P31" s="51" t="str">
        <f t="shared" ca="1" si="13"/>
        <v>AMBER</v>
      </c>
      <c r="Q31" s="51" t="str">
        <f t="shared" ca="1" si="13"/>
        <v/>
      </c>
      <c r="R31" s="51" t="str">
        <f t="shared" ca="1" si="13"/>
        <v/>
      </c>
    </row>
    <row r="32" spans="1:22" x14ac:dyDescent="0.3">
      <c r="A32" s="28">
        <v>9</v>
      </c>
      <c r="B32" s="29" t="str">
        <f t="shared" si="5"/>
        <v>Resource Utilization Rate</v>
      </c>
      <c r="G32" s="51" t="str">
        <f t="shared" ref="G32:R32" ca="1" si="14">IF(G13="","",IF($D13="Higher",IF(G13&gt;=$E13,"GREEN",IF(G13&gt;=$F13,"AMBER","RED")),IF(G13&lt;=$E13,"GREEN",IF(G13&lt;=$F13,"AMBER","RED"))))</f>
        <v>AMBER</v>
      </c>
      <c r="H32" s="51" t="str">
        <f t="shared" ca="1" si="14"/>
        <v>AMBER</v>
      </c>
      <c r="I32" s="51" t="str">
        <f t="shared" ca="1" si="14"/>
        <v>AMBER</v>
      </c>
      <c r="J32" s="51" t="str">
        <f t="shared" ca="1" si="14"/>
        <v>AMBER</v>
      </c>
      <c r="K32" s="51" t="str">
        <f t="shared" ca="1" si="14"/>
        <v>AMBER</v>
      </c>
      <c r="L32" s="51" t="str">
        <f t="shared" ca="1" si="14"/>
        <v>AMBER</v>
      </c>
      <c r="M32" s="51" t="str">
        <f t="shared" ca="1" si="14"/>
        <v>AMBER</v>
      </c>
      <c r="N32" s="51" t="str">
        <f t="shared" ca="1" si="14"/>
        <v>AMBER</v>
      </c>
      <c r="O32" s="51" t="str">
        <f t="shared" ca="1" si="14"/>
        <v>AMBER</v>
      </c>
      <c r="P32" s="51" t="str">
        <f t="shared" ca="1" si="14"/>
        <v>GREEN</v>
      </c>
      <c r="Q32" s="51" t="str">
        <f t="shared" ca="1" si="14"/>
        <v/>
      </c>
      <c r="R32" s="51" t="str">
        <f t="shared" ca="1" si="14"/>
        <v/>
      </c>
    </row>
    <row r="33" spans="1:18" x14ac:dyDescent="0.3">
      <c r="A33" s="28">
        <v>10</v>
      </c>
      <c r="B33" s="29" t="str">
        <f t="shared" si="5"/>
        <v>Project Success Rate</v>
      </c>
      <c r="G33" s="51" t="str">
        <f t="shared" ref="G33:R33" ca="1" si="15">IF(G14="","",IF($D14="Higher",IF(G14&gt;=$E14,"GREEN",IF(G14&gt;=$F14,"AMBER","RED")),IF(G14&lt;=$E14,"GREEN",IF(G14&lt;=$F14,"AMBER","RED"))))</f>
        <v/>
      </c>
      <c r="H33" s="51" t="str">
        <f t="shared" ca="1" si="15"/>
        <v/>
      </c>
      <c r="I33" s="51" t="str">
        <f t="shared" ca="1" si="15"/>
        <v/>
      </c>
      <c r="J33" s="51" t="str">
        <f t="shared" ca="1" si="15"/>
        <v>GREEN</v>
      </c>
      <c r="K33" s="51" t="str">
        <f t="shared" ca="1" si="15"/>
        <v>GREEN</v>
      </c>
      <c r="L33" s="51" t="str">
        <f t="shared" ca="1" si="15"/>
        <v>RED</v>
      </c>
      <c r="M33" s="51" t="str">
        <f t="shared" ca="1" si="15"/>
        <v>RED</v>
      </c>
      <c r="N33" s="51" t="str">
        <f t="shared" ca="1" si="15"/>
        <v>RED</v>
      </c>
      <c r="O33" s="51" t="str">
        <f t="shared" ca="1" si="15"/>
        <v>RED</v>
      </c>
      <c r="P33" s="51" t="str">
        <f t="shared" ca="1" si="15"/>
        <v>RED</v>
      </c>
      <c r="Q33" s="51" t="str">
        <f t="shared" ca="1" si="15"/>
        <v/>
      </c>
      <c r="R33" s="51" t="str">
        <f t="shared" ca="1" si="15"/>
        <v/>
      </c>
    </row>
    <row r="34" spans="1:18" x14ac:dyDescent="0.3">
      <c r="A34" s="28">
        <v>11</v>
      </c>
      <c r="B34" s="29" t="str">
        <f t="shared" si="5"/>
        <v>Milestone Completion Rate</v>
      </c>
      <c r="G34" s="51" t="str">
        <f t="shared" ref="G34:R34" ca="1" si="16">IF(G15="","",IF($D15="Higher",IF(G15&gt;=$E15,"GREEN",IF(G15&gt;=$F15,"AMBER","RED")),IF(G15&lt;=$E15,"GREEN",IF(G15&lt;=$F15,"AMBER","RED"))))</f>
        <v>RED</v>
      </c>
      <c r="H34" s="51" t="str">
        <f t="shared" ca="1" si="16"/>
        <v>RED</v>
      </c>
      <c r="I34" s="51" t="str">
        <f t="shared" ca="1" si="16"/>
        <v>GREEN</v>
      </c>
      <c r="J34" s="51" t="str">
        <f t="shared" ca="1" si="16"/>
        <v>AMBER</v>
      </c>
      <c r="K34" s="51" t="str">
        <f t="shared" ca="1" si="16"/>
        <v>RED</v>
      </c>
      <c r="L34" s="51" t="str">
        <f t="shared" ca="1" si="16"/>
        <v>RED</v>
      </c>
      <c r="M34" s="51" t="str">
        <f t="shared" ca="1" si="16"/>
        <v>RED</v>
      </c>
      <c r="N34" s="51" t="str">
        <f t="shared" ca="1" si="16"/>
        <v>RED</v>
      </c>
      <c r="O34" s="51" t="str">
        <f t="shared" ca="1" si="16"/>
        <v>GREEN</v>
      </c>
      <c r="P34" s="51" t="str">
        <f t="shared" ca="1" si="16"/>
        <v>RED</v>
      </c>
      <c r="Q34" s="51" t="str">
        <f t="shared" ca="1" si="16"/>
        <v/>
      </c>
      <c r="R34" s="51" t="str">
        <f t="shared" ca="1" si="16"/>
        <v/>
      </c>
    </row>
    <row r="35" spans="1:18" x14ac:dyDescent="0.3">
      <c r="A35" s="28">
        <v>12</v>
      </c>
      <c r="B35" s="29" t="str">
        <f t="shared" si="5"/>
        <v>Project Quality Index</v>
      </c>
      <c r="G35" s="51" t="str">
        <f t="shared" ref="G35:R35" ca="1" si="17">IF(G16="","",IF($D16="Higher",IF(G16&gt;=$E16,"GREEN",IF(G16&gt;=$F16,"AMBER","RED")),IF(G16&lt;=$E16,"GREEN",IF(G16&lt;=$F16,"AMBER","RED"))))</f>
        <v>GREEN</v>
      </c>
      <c r="H35" s="51" t="str">
        <f t="shared" ca="1" si="17"/>
        <v>RED</v>
      </c>
      <c r="I35" s="51" t="str">
        <f t="shared" ca="1" si="17"/>
        <v>GREEN</v>
      </c>
      <c r="J35" s="51" t="str">
        <f t="shared" ca="1" si="17"/>
        <v>RED</v>
      </c>
      <c r="K35" s="51" t="str">
        <f t="shared" ca="1" si="17"/>
        <v>RED</v>
      </c>
      <c r="L35" s="51" t="str">
        <f t="shared" ca="1" si="17"/>
        <v>GREEN</v>
      </c>
      <c r="M35" s="51" t="str">
        <f t="shared" ca="1" si="17"/>
        <v>RED</v>
      </c>
      <c r="N35" s="51" t="str">
        <f t="shared" ca="1" si="17"/>
        <v>GREEN</v>
      </c>
      <c r="O35" s="51" t="str">
        <f t="shared" ca="1" si="17"/>
        <v>GREEN</v>
      </c>
      <c r="P35" s="51" t="str">
        <f t="shared" ca="1" si="17"/>
        <v>GREEN</v>
      </c>
      <c r="Q35" s="51" t="str">
        <f t="shared" ca="1" si="17"/>
        <v/>
      </c>
      <c r="R35" s="51" t="str">
        <f t="shared" ca="1" si="17"/>
        <v/>
      </c>
    </row>
    <row r="36" spans="1:18" x14ac:dyDescent="0.3">
      <c r="A36" s="28">
        <v>13</v>
      </c>
      <c r="B36" s="29" t="str">
        <f t="shared" si="5"/>
        <v>Change Request Approval Time</v>
      </c>
      <c r="G36" s="51" t="str">
        <f t="shared" ref="G36:R36" ca="1" si="18">IF(G17="","",IF($D17="Higher",IF(G17&gt;=$E17,"GREEN",IF(G17&gt;=$F17,"AMBER","RED")),IF(G17&lt;=$E17,"GREEN",IF(G17&lt;=$F17,"AMBER","RED"))))</f>
        <v>AMBER</v>
      </c>
      <c r="H36" s="51" t="str">
        <f t="shared" ca="1" si="18"/>
        <v>AMBER</v>
      </c>
      <c r="I36" s="51" t="str">
        <f t="shared" ca="1" si="18"/>
        <v>AMBER</v>
      </c>
      <c r="J36" s="51" t="str">
        <f t="shared" ca="1" si="18"/>
        <v>AMBER</v>
      </c>
      <c r="K36" s="51" t="str">
        <f t="shared" ca="1" si="18"/>
        <v>AMBER</v>
      </c>
      <c r="L36" s="51" t="str">
        <f t="shared" ca="1" si="18"/>
        <v>GREEN</v>
      </c>
      <c r="M36" s="51" t="str">
        <f t="shared" ca="1" si="18"/>
        <v>GREEN</v>
      </c>
      <c r="N36" s="51" t="str">
        <f t="shared" ca="1" si="18"/>
        <v>AMBER</v>
      </c>
      <c r="O36" s="51" t="str">
        <f t="shared" ca="1" si="18"/>
        <v>AMBER</v>
      </c>
      <c r="P36" s="51" t="str">
        <f t="shared" ca="1" si="18"/>
        <v>GREEN</v>
      </c>
      <c r="Q36" s="51" t="str">
        <f t="shared" ca="1" si="18"/>
        <v/>
      </c>
      <c r="R36" s="51" t="str">
        <f t="shared" ca="1" si="18"/>
        <v/>
      </c>
    </row>
    <row r="37" spans="1:18" x14ac:dyDescent="0.3">
      <c r="A37" s="28">
        <v>14</v>
      </c>
      <c r="B37" s="29" t="str">
        <f t="shared" si="5"/>
        <v>Team Productivity Index</v>
      </c>
      <c r="G37" s="51" t="str">
        <f t="shared" ref="G37:R37" ca="1" si="19">IF(G18="","",IF($D18="Higher",IF(G18&gt;=$E18,"GREEN",IF(G18&gt;=$F18,"AMBER","RED")),IF(G18&lt;=$E18,"GREEN",IF(G18&lt;=$F18,"AMBER","RED"))))</f>
        <v>AMBER</v>
      </c>
      <c r="H37" s="51" t="str">
        <f t="shared" ca="1" si="19"/>
        <v>AMBER</v>
      </c>
      <c r="I37" s="51" t="str">
        <f t="shared" ca="1" si="19"/>
        <v>AMBER</v>
      </c>
      <c r="J37" s="51" t="str">
        <f t="shared" ca="1" si="19"/>
        <v>AMBER</v>
      </c>
      <c r="K37" s="51" t="str">
        <f t="shared" ca="1" si="19"/>
        <v>AMBER</v>
      </c>
      <c r="L37" s="51" t="str">
        <f t="shared" ca="1" si="19"/>
        <v>AMBER</v>
      </c>
      <c r="M37" s="51" t="str">
        <f t="shared" ca="1" si="19"/>
        <v>GREEN</v>
      </c>
      <c r="N37" s="51" t="str">
        <f t="shared" ca="1" si="19"/>
        <v>AMBER</v>
      </c>
      <c r="O37" s="51" t="str">
        <f t="shared" ca="1" si="19"/>
        <v>AMBER</v>
      </c>
      <c r="P37" s="51" t="str">
        <f t="shared" ca="1" si="19"/>
        <v>AMBER</v>
      </c>
      <c r="Q37" s="51" t="str">
        <f t="shared" ca="1" si="19"/>
        <v/>
      </c>
      <c r="R37" s="51" t="str">
        <f t="shared" ca="1" si="19"/>
        <v/>
      </c>
    </row>
    <row r="38" spans="1:18" x14ac:dyDescent="0.3">
      <c r="A38" s="28">
        <v>15</v>
      </c>
      <c r="B38" s="29" t="str">
        <f t="shared" si="5"/>
        <v>Benefits Realization</v>
      </c>
      <c r="G38" s="51" t="str">
        <f t="shared" ref="G38:R38" ca="1" si="20">IF(G19="","",IF($D19="Higher",IF(G19&gt;=$E19,"GREEN",IF(G19&gt;=$F19,"AMBER","RED")),IF(G19&lt;=$E19,"GREEN",IF(G19&lt;=$F19,"AMBER","RED"))))</f>
        <v/>
      </c>
      <c r="H38" s="51" t="str">
        <f t="shared" ca="1" si="20"/>
        <v/>
      </c>
      <c r="I38" s="51" t="str">
        <f t="shared" ca="1" si="20"/>
        <v/>
      </c>
      <c r="J38" s="51" t="str">
        <f t="shared" ca="1" si="20"/>
        <v>GREEN</v>
      </c>
      <c r="K38" s="51" t="str">
        <f t="shared" ca="1" si="20"/>
        <v>AMBER</v>
      </c>
      <c r="L38" s="51" t="str">
        <f t="shared" ca="1" si="20"/>
        <v>GREEN</v>
      </c>
      <c r="M38" s="51" t="str">
        <f t="shared" ca="1" si="20"/>
        <v>AMBER</v>
      </c>
      <c r="N38" s="51" t="str">
        <f t="shared" ca="1" si="20"/>
        <v>AMBER</v>
      </c>
      <c r="O38" s="51" t="str">
        <f t="shared" ca="1" si="20"/>
        <v>AMBER</v>
      </c>
      <c r="P38" s="51" t="str">
        <f t="shared" ca="1" si="20"/>
        <v>GREEN</v>
      </c>
      <c r="Q38" s="51" t="str">
        <f t="shared" ca="1" si="20"/>
        <v/>
      </c>
      <c r="R38" s="51" t="str">
        <f t="shared" ca="1" si="20"/>
        <v/>
      </c>
    </row>
    <row r="39" spans="1:18" x14ac:dyDescent="0.3">
      <c r="A39" s="28">
        <v>16</v>
      </c>
      <c r="B39" s="29" t="str">
        <f t="shared" si="5"/>
        <v>Continuous Improvement Initiatives</v>
      </c>
      <c r="G39" s="51" t="str">
        <f t="shared" ref="G39:R39" ca="1" si="21">IF(G20="","",IF($D20="Higher",IF(G20&gt;=$E20,"GREEN",IF(G20&gt;=$F20,"AMBER","RED")),IF(G20&lt;=$E20,"GREEN",IF(G20&lt;=$F20,"AMBER","RED"))))</f>
        <v>AMBER</v>
      </c>
      <c r="H39" s="51" t="str">
        <f t="shared" ca="1" si="21"/>
        <v>GREEN</v>
      </c>
      <c r="I39" s="51" t="str">
        <f t="shared" ca="1" si="21"/>
        <v>RED</v>
      </c>
      <c r="J39" s="51" t="str">
        <f t="shared" ca="1" si="21"/>
        <v>GREEN</v>
      </c>
      <c r="K39" s="51" t="str">
        <f t="shared" ca="1" si="21"/>
        <v>AMBER</v>
      </c>
      <c r="L39" s="51" t="str">
        <f t="shared" ca="1" si="21"/>
        <v>AMBER</v>
      </c>
      <c r="M39" s="51" t="str">
        <f t="shared" ca="1" si="21"/>
        <v>GREEN</v>
      </c>
      <c r="N39" s="51" t="str">
        <f t="shared" ca="1" si="21"/>
        <v>AMBER</v>
      </c>
      <c r="O39" s="51" t="str">
        <f t="shared" ca="1" si="21"/>
        <v>RED</v>
      </c>
      <c r="P39" s="51" t="str">
        <f t="shared" ca="1" si="21"/>
        <v>RED</v>
      </c>
      <c r="Q39" s="51" t="str">
        <f t="shared" ca="1" si="21"/>
        <v/>
      </c>
      <c r="R39" s="51" t="str">
        <f t="shared" ca="1" si="21"/>
        <v/>
      </c>
    </row>
    <row r="41" spans="1:18" x14ac:dyDescent="0.3">
      <c r="B41" s="24" t="s">
        <v>134</v>
      </c>
      <c r="G41" s="28">
        <f t="shared" ref="G41:R41" ca="1" si="22">COUNTIF(G24:G39,"GREEN")</f>
        <v>2</v>
      </c>
      <c r="H41" s="28">
        <f t="shared" ca="1" si="22"/>
        <v>3</v>
      </c>
      <c r="I41" s="28">
        <f t="shared" ca="1" si="22"/>
        <v>5</v>
      </c>
      <c r="J41" s="28">
        <f t="shared" ca="1" si="22"/>
        <v>8</v>
      </c>
      <c r="K41" s="28">
        <f t="shared" ca="1" si="22"/>
        <v>5</v>
      </c>
      <c r="L41" s="28">
        <f t="shared" ca="1" si="22"/>
        <v>6</v>
      </c>
      <c r="M41" s="28">
        <f t="shared" ca="1" si="22"/>
        <v>5</v>
      </c>
      <c r="N41" s="28">
        <f t="shared" ca="1" si="22"/>
        <v>4</v>
      </c>
      <c r="O41" s="28">
        <f t="shared" ca="1" si="22"/>
        <v>5</v>
      </c>
      <c r="P41" s="28">
        <f t="shared" ca="1" si="22"/>
        <v>7</v>
      </c>
      <c r="Q41" s="28">
        <f t="shared" ca="1" si="22"/>
        <v>0</v>
      </c>
      <c r="R41" s="28">
        <f t="shared" ca="1" si="22"/>
        <v>0</v>
      </c>
    </row>
    <row r="42" spans="1:18" x14ac:dyDescent="0.3">
      <c r="B42" s="24" t="s">
        <v>135</v>
      </c>
      <c r="G42" s="28">
        <f t="shared" ref="G42:R42" ca="1" si="23">COUNTIF(G24:G39,"AMBER")</f>
        <v>7</v>
      </c>
      <c r="H42" s="28">
        <f t="shared" ca="1" si="23"/>
        <v>5</v>
      </c>
      <c r="I42" s="28">
        <f t="shared" ca="1" si="23"/>
        <v>7</v>
      </c>
      <c r="J42" s="28">
        <f t="shared" ca="1" si="23"/>
        <v>7</v>
      </c>
      <c r="K42" s="28">
        <f t="shared" ca="1" si="23"/>
        <v>9</v>
      </c>
      <c r="L42" s="28">
        <f t="shared" ca="1" si="23"/>
        <v>6</v>
      </c>
      <c r="M42" s="28">
        <f t="shared" ca="1" si="23"/>
        <v>6</v>
      </c>
      <c r="N42" s="28">
        <f t="shared" ca="1" si="23"/>
        <v>9</v>
      </c>
      <c r="O42" s="28">
        <f t="shared" ca="1" si="23"/>
        <v>8</v>
      </c>
      <c r="P42" s="28">
        <f t="shared" ca="1" si="23"/>
        <v>4</v>
      </c>
      <c r="Q42" s="28">
        <f t="shared" ca="1" si="23"/>
        <v>0</v>
      </c>
      <c r="R42" s="28">
        <f t="shared" ca="1" si="23"/>
        <v>0</v>
      </c>
    </row>
    <row r="43" spans="1:18" x14ac:dyDescent="0.3">
      <c r="B43" s="24" t="s">
        <v>136</v>
      </c>
      <c r="G43" s="28">
        <f t="shared" ref="G43:R43" ca="1" si="24">COUNTIF(G24:G39,"RED")</f>
        <v>3</v>
      </c>
      <c r="H43" s="28">
        <f t="shared" ca="1" si="24"/>
        <v>4</v>
      </c>
      <c r="I43" s="28">
        <f t="shared" ca="1" si="24"/>
        <v>1</v>
      </c>
      <c r="J43" s="28">
        <f t="shared" ca="1" si="24"/>
        <v>1</v>
      </c>
      <c r="K43" s="28">
        <f t="shared" ca="1" si="24"/>
        <v>2</v>
      </c>
      <c r="L43" s="28">
        <f t="shared" ca="1" si="24"/>
        <v>4</v>
      </c>
      <c r="M43" s="28">
        <f t="shared" ca="1" si="24"/>
        <v>5</v>
      </c>
      <c r="N43" s="28">
        <f t="shared" ca="1" si="24"/>
        <v>3</v>
      </c>
      <c r="O43" s="28">
        <f t="shared" ca="1" si="24"/>
        <v>3</v>
      </c>
      <c r="P43" s="28">
        <f t="shared" ca="1" si="24"/>
        <v>5</v>
      </c>
      <c r="Q43" s="28">
        <f t="shared" ca="1" si="24"/>
        <v>0</v>
      </c>
      <c r="R43" s="28">
        <f t="shared" ca="1" si="24"/>
        <v>0</v>
      </c>
    </row>
    <row r="44" spans="1:18" x14ac:dyDescent="0.3">
      <c r="B44" s="24" t="s">
        <v>137</v>
      </c>
      <c r="G44" s="52">
        <f t="shared" ref="G44:R44" ca="1" si="25">IF(SUM(G41:G43)=0,"",G41/SUM(G41:G43))</f>
        <v>0.16666666666666666</v>
      </c>
      <c r="H44" s="52">
        <f t="shared" ca="1" si="25"/>
        <v>0.25</v>
      </c>
      <c r="I44" s="52">
        <f t="shared" ca="1" si="25"/>
        <v>0.38461538461538464</v>
      </c>
      <c r="J44" s="52">
        <f t="shared" ca="1" si="25"/>
        <v>0.5</v>
      </c>
      <c r="K44" s="52">
        <f t="shared" ca="1" si="25"/>
        <v>0.3125</v>
      </c>
      <c r="L44" s="52">
        <f t="shared" ca="1" si="25"/>
        <v>0.375</v>
      </c>
      <c r="M44" s="52">
        <f t="shared" ca="1" si="25"/>
        <v>0.3125</v>
      </c>
      <c r="N44" s="52">
        <f t="shared" ca="1" si="25"/>
        <v>0.25</v>
      </c>
      <c r="O44" s="52">
        <f t="shared" ca="1" si="25"/>
        <v>0.3125</v>
      </c>
      <c r="P44" s="52">
        <f t="shared" ca="1" si="25"/>
        <v>0.4375</v>
      </c>
      <c r="Q44" s="52" t="str">
        <f t="shared" ca="1" si="25"/>
        <v/>
      </c>
      <c r="R44" s="52" t="str">
        <f t="shared" ca="1" si="25"/>
        <v/>
      </c>
    </row>
  </sheetData>
  <conditionalFormatting sqref="G24:R39">
    <cfRule type="cellIs" dxfId="18" priority="5" operator="equal">
      <formula>"GREEN"</formula>
    </cfRule>
    <cfRule type="cellIs" dxfId="17" priority="6" operator="equal">
      <formula>"AMBER"</formula>
    </cfRule>
    <cfRule type="cellIs" dxfId="16" priority="7" operator="equal">
      <formula>"RED"</formula>
    </cfRule>
  </conditionalFormatting>
  <conditionalFormatting sqref="T5:T20">
    <cfRule type="cellIs" dxfId="15" priority="2" operator="equal">
      <formula>"GREEN"</formula>
    </cfRule>
    <cfRule type="cellIs" dxfId="14" priority="3" operator="equal">
      <formula>"AMBER"</formula>
    </cfRule>
    <cfRule type="cellIs" dxfId="13" priority="4" operator="equal">
      <formula>"RED"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M165"/>
  <sheetViews>
    <sheetView showGridLines="0" tabSelected="1" zoomScaleNormal="100" workbookViewId="0"/>
  </sheetViews>
  <sheetFormatPr defaultColWidth="8.6640625" defaultRowHeight="14.4" x14ac:dyDescent="0.3"/>
  <cols>
    <col min="1" max="1" width="30" customWidth="1"/>
  </cols>
  <sheetData>
    <row r="1" spans="1:1" ht="21" x14ac:dyDescent="0.4">
      <c r="A1" s="40" t="s">
        <v>138</v>
      </c>
    </row>
    <row r="2" spans="1:1" x14ac:dyDescent="0.3">
      <c r="A2" s="41" t="s">
        <v>139</v>
      </c>
    </row>
    <row r="148" spans="1:13" x14ac:dyDescent="0.3">
      <c r="A148" s="53" t="s">
        <v>140</v>
      </c>
    </row>
    <row r="149" spans="1:13" x14ac:dyDescent="0.3">
      <c r="A149" s="24" t="s">
        <v>141</v>
      </c>
    </row>
    <row r="150" spans="1:13" x14ac:dyDescent="0.3">
      <c r="A150" s="29" t="str">
        <f>KPI_Tracking!B5</f>
        <v>Project Schedule Variance (SV%)</v>
      </c>
      <c r="B150" s="54">
        <f>KPI_Tracking!$E5</f>
        <v>0</v>
      </c>
      <c r="C150" s="54">
        <f>KPI_Tracking!$E5</f>
        <v>0</v>
      </c>
      <c r="D150" s="54">
        <f>KPI_Tracking!$E5</f>
        <v>0</v>
      </c>
      <c r="E150" s="54">
        <f>KPI_Tracking!$E5</f>
        <v>0</v>
      </c>
      <c r="F150" s="54">
        <f>KPI_Tracking!$E5</f>
        <v>0</v>
      </c>
      <c r="G150" s="54">
        <f>KPI_Tracking!$E5</f>
        <v>0</v>
      </c>
      <c r="H150" s="54">
        <f>KPI_Tracking!$E5</f>
        <v>0</v>
      </c>
      <c r="I150" s="54">
        <f>KPI_Tracking!$E5</f>
        <v>0</v>
      </c>
      <c r="J150" s="54">
        <f>KPI_Tracking!$E5</f>
        <v>0</v>
      </c>
      <c r="K150" s="54">
        <f>KPI_Tracking!$E5</f>
        <v>0</v>
      </c>
      <c r="L150" s="54">
        <f>KPI_Tracking!$E5</f>
        <v>0</v>
      </c>
      <c r="M150" s="54">
        <f>KPI_Tracking!$E5</f>
        <v>0</v>
      </c>
    </row>
    <row r="151" spans="1:13" x14ac:dyDescent="0.3">
      <c r="A151" s="29" t="str">
        <f>KPI_Tracking!B6</f>
        <v>Project Cost Variance (CV%)</v>
      </c>
      <c r="B151" s="54">
        <f>KPI_Tracking!$E6</f>
        <v>0</v>
      </c>
      <c r="C151" s="54">
        <f>KPI_Tracking!$E6</f>
        <v>0</v>
      </c>
      <c r="D151" s="54">
        <f>KPI_Tracking!$E6</f>
        <v>0</v>
      </c>
      <c r="E151" s="54">
        <f>KPI_Tracking!$E6</f>
        <v>0</v>
      </c>
      <c r="F151" s="54">
        <f>KPI_Tracking!$E6</f>
        <v>0</v>
      </c>
      <c r="G151" s="54">
        <f>KPI_Tracking!$E6</f>
        <v>0</v>
      </c>
      <c r="H151" s="54">
        <f>KPI_Tracking!$E6</f>
        <v>0</v>
      </c>
      <c r="I151" s="54">
        <f>KPI_Tracking!$E6</f>
        <v>0</v>
      </c>
      <c r="J151" s="54">
        <f>KPI_Tracking!$E6</f>
        <v>0</v>
      </c>
      <c r="K151" s="54">
        <f>KPI_Tracking!$E6</f>
        <v>0</v>
      </c>
      <c r="L151" s="54">
        <f>KPI_Tracking!$E6</f>
        <v>0</v>
      </c>
      <c r="M151" s="54">
        <f>KPI_Tracking!$E6</f>
        <v>0</v>
      </c>
    </row>
    <row r="152" spans="1:13" x14ac:dyDescent="0.3">
      <c r="A152" s="29" t="str">
        <f>KPI_Tracking!B7</f>
        <v>Budget Utilization</v>
      </c>
      <c r="B152" s="54">
        <f>KPI_Tracking!$E7</f>
        <v>1</v>
      </c>
      <c r="C152" s="54">
        <f>KPI_Tracking!$E7</f>
        <v>1</v>
      </c>
      <c r="D152" s="54">
        <f>KPI_Tracking!$E7</f>
        <v>1</v>
      </c>
      <c r="E152" s="54">
        <f>KPI_Tracking!$E7</f>
        <v>1</v>
      </c>
      <c r="F152" s="54">
        <f>KPI_Tracking!$E7</f>
        <v>1</v>
      </c>
      <c r="G152" s="54">
        <f>KPI_Tracking!$E7</f>
        <v>1</v>
      </c>
      <c r="H152" s="54">
        <f>KPI_Tracking!$E7</f>
        <v>1</v>
      </c>
      <c r="I152" s="54">
        <f>KPI_Tracking!$E7</f>
        <v>1</v>
      </c>
      <c r="J152" s="54">
        <f>KPI_Tracking!$E7</f>
        <v>1</v>
      </c>
      <c r="K152" s="54">
        <f>KPI_Tracking!$E7</f>
        <v>1</v>
      </c>
      <c r="L152" s="54">
        <f>KPI_Tracking!$E7</f>
        <v>1</v>
      </c>
      <c r="M152" s="54">
        <f>KPI_Tracking!$E7</f>
        <v>1</v>
      </c>
    </row>
    <row r="153" spans="1:13" x14ac:dyDescent="0.3">
      <c r="A153" s="29" t="str">
        <f>KPI_Tracking!B8</f>
        <v>On-Time Project Delivery</v>
      </c>
      <c r="B153" s="54">
        <f>KPI_Tracking!$E8</f>
        <v>0.9</v>
      </c>
      <c r="C153" s="54">
        <f>KPI_Tracking!$E8</f>
        <v>0.9</v>
      </c>
      <c r="D153" s="54">
        <f>KPI_Tracking!$E8</f>
        <v>0.9</v>
      </c>
      <c r="E153" s="54">
        <f>KPI_Tracking!$E8</f>
        <v>0.9</v>
      </c>
      <c r="F153" s="54">
        <f>KPI_Tracking!$E8</f>
        <v>0.9</v>
      </c>
      <c r="G153" s="54">
        <f>KPI_Tracking!$E8</f>
        <v>0.9</v>
      </c>
      <c r="H153" s="54">
        <f>KPI_Tracking!$E8</f>
        <v>0.9</v>
      </c>
      <c r="I153" s="54">
        <f>KPI_Tracking!$E8</f>
        <v>0.9</v>
      </c>
      <c r="J153" s="54">
        <f>KPI_Tracking!$E8</f>
        <v>0.9</v>
      </c>
      <c r="K153" s="54">
        <f>KPI_Tracking!$E8</f>
        <v>0.9</v>
      </c>
      <c r="L153" s="54">
        <f>KPI_Tracking!$E8</f>
        <v>0.9</v>
      </c>
      <c r="M153" s="54">
        <f>KPI_Tracking!$E8</f>
        <v>0.9</v>
      </c>
    </row>
    <row r="154" spans="1:13" x14ac:dyDescent="0.3">
      <c r="A154" s="29" t="str">
        <f>KPI_Tracking!B9</f>
        <v>Scope Change Frequency</v>
      </c>
      <c r="B154" s="55">
        <f>KPI_Tracking!$E9</f>
        <v>0.5</v>
      </c>
      <c r="C154" s="55">
        <f>KPI_Tracking!$E9</f>
        <v>0.5</v>
      </c>
      <c r="D154" s="55">
        <f>KPI_Tracking!$E9</f>
        <v>0.5</v>
      </c>
      <c r="E154" s="55">
        <f>KPI_Tracking!$E9</f>
        <v>0.5</v>
      </c>
      <c r="F154" s="55">
        <f>KPI_Tracking!$E9</f>
        <v>0.5</v>
      </c>
      <c r="G154" s="55">
        <f>KPI_Tracking!$E9</f>
        <v>0.5</v>
      </c>
      <c r="H154" s="55">
        <f>KPI_Tracking!$E9</f>
        <v>0.5</v>
      </c>
      <c r="I154" s="55">
        <f>KPI_Tracking!$E9</f>
        <v>0.5</v>
      </c>
      <c r="J154" s="55">
        <f>KPI_Tracking!$E9</f>
        <v>0.5</v>
      </c>
      <c r="K154" s="55">
        <f>KPI_Tracking!$E9</f>
        <v>0.5</v>
      </c>
      <c r="L154" s="55">
        <f>KPI_Tracking!$E9</f>
        <v>0.5</v>
      </c>
      <c r="M154" s="55">
        <f>KPI_Tracking!$E9</f>
        <v>0.5</v>
      </c>
    </row>
    <row r="155" spans="1:13" x14ac:dyDescent="0.3">
      <c r="A155" s="29" t="str">
        <f>KPI_Tracking!B10</f>
        <v>Risk Mitigation Effectiveness</v>
      </c>
      <c r="B155" s="54">
        <f>KPI_Tracking!$E10</f>
        <v>0.85</v>
      </c>
      <c r="C155" s="54">
        <f>KPI_Tracking!$E10</f>
        <v>0.85</v>
      </c>
      <c r="D155" s="54">
        <f>KPI_Tracking!$E10</f>
        <v>0.85</v>
      </c>
      <c r="E155" s="54">
        <f>KPI_Tracking!$E10</f>
        <v>0.85</v>
      </c>
      <c r="F155" s="54">
        <f>KPI_Tracking!$E10</f>
        <v>0.85</v>
      </c>
      <c r="G155" s="54">
        <f>KPI_Tracking!$E10</f>
        <v>0.85</v>
      </c>
      <c r="H155" s="54">
        <f>KPI_Tracking!$E10</f>
        <v>0.85</v>
      </c>
      <c r="I155" s="54">
        <f>KPI_Tracking!$E10</f>
        <v>0.85</v>
      </c>
      <c r="J155" s="54">
        <f>KPI_Tracking!$E10</f>
        <v>0.85</v>
      </c>
      <c r="K155" s="54">
        <f>KPI_Tracking!$E10</f>
        <v>0.85</v>
      </c>
      <c r="L155" s="54">
        <f>KPI_Tracking!$E10</f>
        <v>0.85</v>
      </c>
      <c r="M155" s="54">
        <f>KPI_Tracking!$E10</f>
        <v>0.85</v>
      </c>
    </row>
    <row r="156" spans="1:13" x14ac:dyDescent="0.3">
      <c r="A156" s="29" t="str">
        <f>KPI_Tracking!B11</f>
        <v>Issue Resolution Time</v>
      </c>
      <c r="B156" s="56">
        <f>KPI_Tracking!$E11</f>
        <v>7</v>
      </c>
      <c r="C156" s="56">
        <f>KPI_Tracking!$E11</f>
        <v>7</v>
      </c>
      <c r="D156" s="56">
        <f>KPI_Tracking!$E11</f>
        <v>7</v>
      </c>
      <c r="E156" s="56">
        <f>KPI_Tracking!$E11</f>
        <v>7</v>
      </c>
      <c r="F156" s="56">
        <f>KPI_Tracking!$E11</f>
        <v>7</v>
      </c>
      <c r="G156" s="56">
        <f>KPI_Tracking!$E11</f>
        <v>7</v>
      </c>
      <c r="H156" s="56">
        <f>KPI_Tracking!$E11</f>
        <v>7</v>
      </c>
      <c r="I156" s="56">
        <f>KPI_Tracking!$E11</f>
        <v>7</v>
      </c>
      <c r="J156" s="56">
        <f>KPI_Tracking!$E11</f>
        <v>7</v>
      </c>
      <c r="K156" s="56">
        <f>KPI_Tracking!$E11</f>
        <v>7</v>
      </c>
      <c r="L156" s="56">
        <f>KPI_Tracking!$E11</f>
        <v>7</v>
      </c>
      <c r="M156" s="56">
        <f>KPI_Tracking!$E11</f>
        <v>7</v>
      </c>
    </row>
    <row r="157" spans="1:13" x14ac:dyDescent="0.3">
      <c r="A157" s="29" t="str">
        <f>KPI_Tracking!B12</f>
        <v>Stakeholder Satisfaction</v>
      </c>
      <c r="B157" s="55">
        <f>KPI_Tracking!$E12</f>
        <v>4</v>
      </c>
      <c r="C157" s="55">
        <f>KPI_Tracking!$E12</f>
        <v>4</v>
      </c>
      <c r="D157" s="55">
        <f>KPI_Tracking!$E12</f>
        <v>4</v>
      </c>
      <c r="E157" s="55">
        <f>KPI_Tracking!$E12</f>
        <v>4</v>
      </c>
      <c r="F157" s="55">
        <f>KPI_Tracking!$E12</f>
        <v>4</v>
      </c>
      <c r="G157" s="55">
        <f>KPI_Tracking!$E12</f>
        <v>4</v>
      </c>
      <c r="H157" s="55">
        <f>KPI_Tracking!$E12</f>
        <v>4</v>
      </c>
      <c r="I157" s="55">
        <f>KPI_Tracking!$E12</f>
        <v>4</v>
      </c>
      <c r="J157" s="55">
        <f>KPI_Tracking!$E12</f>
        <v>4</v>
      </c>
      <c r="K157" s="55">
        <f>KPI_Tracking!$E12</f>
        <v>4</v>
      </c>
      <c r="L157" s="55">
        <f>KPI_Tracking!$E12</f>
        <v>4</v>
      </c>
      <c r="M157" s="55">
        <f>KPI_Tracking!$E12</f>
        <v>4</v>
      </c>
    </row>
    <row r="158" spans="1:13" x14ac:dyDescent="0.3">
      <c r="A158" s="29" t="str">
        <f>KPI_Tracking!B13</f>
        <v>Resource Utilization Rate</v>
      </c>
      <c r="B158" s="54">
        <f>KPI_Tracking!$E13</f>
        <v>0.85</v>
      </c>
      <c r="C158" s="54">
        <f>KPI_Tracking!$E13</f>
        <v>0.85</v>
      </c>
      <c r="D158" s="54">
        <f>KPI_Tracking!$E13</f>
        <v>0.85</v>
      </c>
      <c r="E158" s="54">
        <f>KPI_Tracking!$E13</f>
        <v>0.85</v>
      </c>
      <c r="F158" s="54">
        <f>KPI_Tracking!$E13</f>
        <v>0.85</v>
      </c>
      <c r="G158" s="54">
        <f>KPI_Tracking!$E13</f>
        <v>0.85</v>
      </c>
      <c r="H158" s="54">
        <f>KPI_Tracking!$E13</f>
        <v>0.85</v>
      </c>
      <c r="I158" s="54">
        <f>KPI_Tracking!$E13</f>
        <v>0.85</v>
      </c>
      <c r="J158" s="54">
        <f>KPI_Tracking!$E13</f>
        <v>0.85</v>
      </c>
      <c r="K158" s="54">
        <f>KPI_Tracking!$E13</f>
        <v>0.85</v>
      </c>
      <c r="L158" s="54">
        <f>KPI_Tracking!$E13</f>
        <v>0.85</v>
      </c>
      <c r="M158" s="54">
        <f>KPI_Tracking!$E13</f>
        <v>0.85</v>
      </c>
    </row>
    <row r="159" spans="1:13" x14ac:dyDescent="0.3">
      <c r="A159" s="29" t="str">
        <f>KPI_Tracking!B14</f>
        <v>Project Success Rate</v>
      </c>
      <c r="B159" s="54">
        <f>KPI_Tracking!$E14</f>
        <v>0.8</v>
      </c>
      <c r="C159" s="54">
        <f>KPI_Tracking!$E14</f>
        <v>0.8</v>
      </c>
      <c r="D159" s="54">
        <f>KPI_Tracking!$E14</f>
        <v>0.8</v>
      </c>
      <c r="E159" s="54">
        <f>KPI_Tracking!$E14</f>
        <v>0.8</v>
      </c>
      <c r="F159" s="54">
        <f>KPI_Tracking!$E14</f>
        <v>0.8</v>
      </c>
      <c r="G159" s="54">
        <f>KPI_Tracking!$E14</f>
        <v>0.8</v>
      </c>
      <c r="H159" s="54">
        <f>KPI_Tracking!$E14</f>
        <v>0.8</v>
      </c>
      <c r="I159" s="54">
        <f>KPI_Tracking!$E14</f>
        <v>0.8</v>
      </c>
      <c r="J159" s="54">
        <f>KPI_Tracking!$E14</f>
        <v>0.8</v>
      </c>
      <c r="K159" s="54">
        <f>KPI_Tracking!$E14</f>
        <v>0.8</v>
      </c>
      <c r="L159" s="54">
        <f>KPI_Tracking!$E14</f>
        <v>0.8</v>
      </c>
      <c r="M159" s="54">
        <f>KPI_Tracking!$E14</f>
        <v>0.8</v>
      </c>
    </row>
    <row r="160" spans="1:13" x14ac:dyDescent="0.3">
      <c r="A160" s="29" t="str">
        <f>KPI_Tracking!B15</f>
        <v>Milestone Completion Rate</v>
      </c>
      <c r="B160" s="54">
        <f>KPI_Tracking!$E15</f>
        <v>0.9</v>
      </c>
      <c r="C160" s="54">
        <f>KPI_Tracking!$E15</f>
        <v>0.9</v>
      </c>
      <c r="D160" s="54">
        <f>KPI_Tracking!$E15</f>
        <v>0.9</v>
      </c>
      <c r="E160" s="54">
        <f>KPI_Tracking!$E15</f>
        <v>0.9</v>
      </c>
      <c r="F160" s="54">
        <f>KPI_Tracking!$E15</f>
        <v>0.9</v>
      </c>
      <c r="G160" s="54">
        <f>KPI_Tracking!$E15</f>
        <v>0.9</v>
      </c>
      <c r="H160" s="54">
        <f>KPI_Tracking!$E15</f>
        <v>0.9</v>
      </c>
      <c r="I160" s="54">
        <f>KPI_Tracking!$E15</f>
        <v>0.9</v>
      </c>
      <c r="J160" s="54">
        <f>KPI_Tracking!$E15</f>
        <v>0.9</v>
      </c>
      <c r="K160" s="54">
        <f>KPI_Tracking!$E15</f>
        <v>0.9</v>
      </c>
      <c r="L160" s="54">
        <f>KPI_Tracking!$E15</f>
        <v>0.9</v>
      </c>
      <c r="M160" s="54">
        <f>KPI_Tracking!$E15</f>
        <v>0.9</v>
      </c>
    </row>
    <row r="161" spans="1:13" x14ac:dyDescent="0.3">
      <c r="A161" s="29" t="str">
        <f>KPI_Tracking!B16</f>
        <v>Project Quality Index</v>
      </c>
      <c r="B161" s="54">
        <f>KPI_Tracking!$E16</f>
        <v>0.95</v>
      </c>
      <c r="C161" s="54">
        <f>KPI_Tracking!$E16</f>
        <v>0.95</v>
      </c>
      <c r="D161" s="54">
        <f>KPI_Tracking!$E16</f>
        <v>0.95</v>
      </c>
      <c r="E161" s="54">
        <f>KPI_Tracking!$E16</f>
        <v>0.95</v>
      </c>
      <c r="F161" s="54">
        <f>KPI_Tracking!$E16</f>
        <v>0.95</v>
      </c>
      <c r="G161" s="54">
        <f>KPI_Tracking!$E16</f>
        <v>0.95</v>
      </c>
      <c r="H161" s="54">
        <f>KPI_Tracking!$E16</f>
        <v>0.95</v>
      </c>
      <c r="I161" s="54">
        <f>KPI_Tracking!$E16</f>
        <v>0.95</v>
      </c>
      <c r="J161" s="54">
        <f>KPI_Tracking!$E16</f>
        <v>0.95</v>
      </c>
      <c r="K161" s="54">
        <f>KPI_Tracking!$E16</f>
        <v>0.95</v>
      </c>
      <c r="L161" s="54">
        <f>KPI_Tracking!$E16</f>
        <v>0.95</v>
      </c>
      <c r="M161" s="54">
        <f>KPI_Tracking!$E16</f>
        <v>0.95</v>
      </c>
    </row>
    <row r="162" spans="1:13" x14ac:dyDescent="0.3">
      <c r="A162" s="29" t="str">
        <f>KPI_Tracking!B17</f>
        <v>Change Request Approval Time</v>
      </c>
      <c r="B162" s="56">
        <f>KPI_Tracking!$E17</f>
        <v>5</v>
      </c>
      <c r="C162" s="56">
        <f>KPI_Tracking!$E17</f>
        <v>5</v>
      </c>
      <c r="D162" s="56">
        <f>KPI_Tracking!$E17</f>
        <v>5</v>
      </c>
      <c r="E162" s="56">
        <f>KPI_Tracking!$E17</f>
        <v>5</v>
      </c>
      <c r="F162" s="56">
        <f>KPI_Tracking!$E17</f>
        <v>5</v>
      </c>
      <c r="G162" s="56">
        <f>KPI_Tracking!$E17</f>
        <v>5</v>
      </c>
      <c r="H162" s="56">
        <f>KPI_Tracking!$E17</f>
        <v>5</v>
      </c>
      <c r="I162" s="56">
        <f>KPI_Tracking!$E17</f>
        <v>5</v>
      </c>
      <c r="J162" s="56">
        <f>KPI_Tracking!$E17</f>
        <v>5</v>
      </c>
      <c r="K162" s="56">
        <f>KPI_Tracking!$E17</f>
        <v>5</v>
      </c>
      <c r="L162" s="56">
        <f>KPI_Tracking!$E17</f>
        <v>5</v>
      </c>
      <c r="M162" s="56">
        <f>KPI_Tracking!$E17</f>
        <v>5</v>
      </c>
    </row>
    <row r="163" spans="1:13" x14ac:dyDescent="0.3">
      <c r="A163" s="29" t="str">
        <f>KPI_Tracking!B18</f>
        <v>Team Productivity Index</v>
      </c>
      <c r="B163" s="54">
        <f>KPI_Tracking!$E18</f>
        <v>1</v>
      </c>
      <c r="C163" s="54">
        <f>KPI_Tracking!$E18</f>
        <v>1</v>
      </c>
      <c r="D163" s="54">
        <f>KPI_Tracking!$E18</f>
        <v>1</v>
      </c>
      <c r="E163" s="54">
        <f>KPI_Tracking!$E18</f>
        <v>1</v>
      </c>
      <c r="F163" s="54">
        <f>KPI_Tracking!$E18</f>
        <v>1</v>
      </c>
      <c r="G163" s="54">
        <f>KPI_Tracking!$E18</f>
        <v>1</v>
      </c>
      <c r="H163" s="54">
        <f>KPI_Tracking!$E18</f>
        <v>1</v>
      </c>
      <c r="I163" s="54">
        <f>KPI_Tracking!$E18</f>
        <v>1</v>
      </c>
      <c r="J163" s="54">
        <f>KPI_Tracking!$E18</f>
        <v>1</v>
      </c>
      <c r="K163" s="54">
        <f>KPI_Tracking!$E18</f>
        <v>1</v>
      </c>
      <c r="L163" s="54">
        <f>KPI_Tracking!$E18</f>
        <v>1</v>
      </c>
      <c r="M163" s="54">
        <f>KPI_Tracking!$E18</f>
        <v>1</v>
      </c>
    </row>
    <row r="164" spans="1:13" x14ac:dyDescent="0.3">
      <c r="A164" s="29" t="str">
        <f>KPI_Tracking!B19</f>
        <v>Benefits Realization</v>
      </c>
      <c r="B164" s="54">
        <f>KPI_Tracking!$E19</f>
        <v>0.9</v>
      </c>
      <c r="C164" s="54">
        <f>KPI_Tracking!$E19</f>
        <v>0.9</v>
      </c>
      <c r="D164" s="54">
        <f>KPI_Tracking!$E19</f>
        <v>0.9</v>
      </c>
      <c r="E164" s="54">
        <f>KPI_Tracking!$E19</f>
        <v>0.9</v>
      </c>
      <c r="F164" s="54">
        <f>KPI_Tracking!$E19</f>
        <v>0.9</v>
      </c>
      <c r="G164" s="54">
        <f>KPI_Tracking!$E19</f>
        <v>0.9</v>
      </c>
      <c r="H164" s="54">
        <f>KPI_Tracking!$E19</f>
        <v>0.9</v>
      </c>
      <c r="I164" s="54">
        <f>KPI_Tracking!$E19</f>
        <v>0.9</v>
      </c>
      <c r="J164" s="54">
        <f>KPI_Tracking!$E19</f>
        <v>0.9</v>
      </c>
      <c r="K164" s="54">
        <f>KPI_Tracking!$E19</f>
        <v>0.9</v>
      </c>
      <c r="L164" s="54">
        <f>KPI_Tracking!$E19</f>
        <v>0.9</v>
      </c>
      <c r="M164" s="54">
        <f>KPI_Tracking!$E19</f>
        <v>0.9</v>
      </c>
    </row>
    <row r="165" spans="1:13" x14ac:dyDescent="0.3">
      <c r="A165" s="29" t="str">
        <f>KPI_Tracking!B20</f>
        <v>Continuous Improvement Initiatives</v>
      </c>
      <c r="B165" s="57">
        <f>KPI_Tracking!$E20</f>
        <v>2</v>
      </c>
      <c r="C165" s="57">
        <f>KPI_Tracking!$E20</f>
        <v>2</v>
      </c>
      <c r="D165" s="57">
        <f>KPI_Tracking!$E20</f>
        <v>2</v>
      </c>
      <c r="E165" s="57">
        <f>KPI_Tracking!$E20</f>
        <v>2</v>
      </c>
      <c r="F165" s="57">
        <f>KPI_Tracking!$E20</f>
        <v>2</v>
      </c>
      <c r="G165" s="57">
        <f>KPI_Tracking!$E20</f>
        <v>2</v>
      </c>
      <c r="H165" s="57">
        <f>KPI_Tracking!$E20</f>
        <v>2</v>
      </c>
      <c r="I165" s="57">
        <f>KPI_Tracking!$E20</f>
        <v>2</v>
      </c>
      <c r="J165" s="57">
        <f>KPI_Tracking!$E20</f>
        <v>2</v>
      </c>
      <c r="K165" s="57">
        <f>KPI_Tracking!$E20</f>
        <v>2</v>
      </c>
      <c r="L165" s="57">
        <f>KPI_Tracking!$E20</f>
        <v>2</v>
      </c>
      <c r="M165" s="57">
        <f>KPI_Tracking!$E20</f>
        <v>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M24"/>
  <sheetViews>
    <sheetView showGridLines="0" zoomScaleNormal="100" workbookViewId="0">
      <pane xSplit="2" ySplit="4" topLeftCell="C9" activePane="bottomRight" state="frozen"/>
      <selection pane="topRight" activeCell="C1" sqref="C1"/>
      <selection pane="bottomLeft" activeCell="A5" sqref="A5"/>
      <selection pane="bottomRight" activeCell="G6" sqref="G6"/>
    </sheetView>
  </sheetViews>
  <sheetFormatPr defaultColWidth="8.6640625" defaultRowHeight="14.4" x14ac:dyDescent="0.3"/>
  <cols>
    <col min="1" max="1" width="4" customWidth="1"/>
    <col min="2" max="2" width="30" customWidth="1"/>
    <col min="3" max="3" width="34" customWidth="1"/>
    <col min="4" max="4" width="48" customWidth="1"/>
    <col min="5" max="5" width="12" customWidth="1"/>
    <col min="6" max="6" width="10" customWidth="1"/>
    <col min="7" max="8" width="12" customWidth="1"/>
    <col min="9" max="9" width="14" customWidth="1"/>
    <col min="10" max="10" width="20" customWidth="1"/>
    <col min="11" max="11" width="8" customWidth="1"/>
    <col min="12" max="12" width="13" customWidth="1"/>
    <col min="13" max="13" width="48" customWidth="1"/>
  </cols>
  <sheetData>
    <row r="1" spans="1:13" ht="21" x14ac:dyDescent="0.4">
      <c r="A1" s="40" t="s">
        <v>142</v>
      </c>
    </row>
    <row r="2" spans="1:13" x14ac:dyDescent="0.3">
      <c r="A2" s="41" t="s">
        <v>143</v>
      </c>
    </row>
    <row r="4" spans="1:13" ht="31.5" customHeight="1" x14ac:dyDescent="0.3">
      <c r="A4" s="42" t="s">
        <v>125</v>
      </c>
      <c r="B4" s="42" t="s">
        <v>93</v>
      </c>
      <c r="C4" s="42" t="s">
        <v>144</v>
      </c>
      <c r="D4" s="42" t="s">
        <v>145</v>
      </c>
      <c r="E4" s="42" t="s">
        <v>126</v>
      </c>
      <c r="F4" s="42" t="s">
        <v>127</v>
      </c>
      <c r="G4" s="42" t="s">
        <v>146</v>
      </c>
      <c r="H4" s="42" t="s">
        <v>128</v>
      </c>
      <c r="I4" s="42" t="s">
        <v>147</v>
      </c>
      <c r="J4" s="42" t="s">
        <v>148</v>
      </c>
      <c r="K4" s="42" t="s">
        <v>149</v>
      </c>
      <c r="L4" s="42" t="s">
        <v>150</v>
      </c>
      <c r="M4" s="42" t="s">
        <v>151</v>
      </c>
    </row>
    <row r="5" spans="1:13" ht="43.5" customHeight="1" x14ac:dyDescent="0.3">
      <c r="A5" s="28">
        <v>1</v>
      </c>
      <c r="B5" s="58" t="s">
        <v>152</v>
      </c>
      <c r="C5" s="59" t="s">
        <v>153</v>
      </c>
      <c r="D5" s="59" t="s">
        <v>154</v>
      </c>
      <c r="E5" s="28" t="s">
        <v>155</v>
      </c>
      <c r="F5" s="60" t="s">
        <v>156</v>
      </c>
      <c r="G5" s="61">
        <v>0</v>
      </c>
      <c r="H5" s="61">
        <v>-0.05</v>
      </c>
      <c r="I5" s="28" t="s">
        <v>157</v>
      </c>
      <c r="J5" s="59" t="s">
        <v>30</v>
      </c>
      <c r="K5" s="28" t="s">
        <v>158</v>
      </c>
      <c r="L5" s="62" t="s">
        <v>159</v>
      </c>
      <c r="M5" s="59" t="s">
        <v>160</v>
      </c>
    </row>
    <row r="6" spans="1:13" ht="43.5" customHeight="1" x14ac:dyDescent="0.3">
      <c r="A6" s="28">
        <v>2</v>
      </c>
      <c r="B6" s="58" t="s">
        <v>161</v>
      </c>
      <c r="C6" s="59" t="s">
        <v>162</v>
      </c>
      <c r="D6" s="59" t="s">
        <v>163</v>
      </c>
      <c r="E6" s="28" t="s">
        <v>155</v>
      </c>
      <c r="F6" s="60" t="s">
        <v>156</v>
      </c>
      <c r="G6" s="61">
        <v>0</v>
      </c>
      <c r="H6" s="61">
        <v>-0.05</v>
      </c>
      <c r="I6" s="28" t="s">
        <v>157</v>
      </c>
      <c r="J6" s="59" t="s">
        <v>30</v>
      </c>
      <c r="K6" s="28" t="s">
        <v>158</v>
      </c>
      <c r="L6" s="62" t="s">
        <v>164</v>
      </c>
      <c r="M6" s="59" t="s">
        <v>165</v>
      </c>
    </row>
    <row r="7" spans="1:13" ht="43.5" customHeight="1" x14ac:dyDescent="0.3">
      <c r="A7" s="28">
        <v>3</v>
      </c>
      <c r="B7" s="58" t="s">
        <v>166</v>
      </c>
      <c r="C7" s="59" t="s">
        <v>167</v>
      </c>
      <c r="D7" s="59" t="s">
        <v>168</v>
      </c>
      <c r="E7" s="28" t="s">
        <v>155</v>
      </c>
      <c r="F7" s="60" t="s">
        <v>169</v>
      </c>
      <c r="G7" s="61">
        <v>1</v>
      </c>
      <c r="H7" s="61">
        <v>1.05</v>
      </c>
      <c r="I7" s="28" t="s">
        <v>157</v>
      </c>
      <c r="J7" s="59" t="s">
        <v>30</v>
      </c>
      <c r="K7" s="28" t="s">
        <v>158</v>
      </c>
      <c r="L7" s="62" t="s">
        <v>170</v>
      </c>
      <c r="M7" s="59" t="s">
        <v>171</v>
      </c>
    </row>
    <row r="8" spans="1:13" ht="43.5" customHeight="1" x14ac:dyDescent="0.3">
      <c r="A8" s="28">
        <v>4</v>
      </c>
      <c r="B8" s="58" t="s">
        <v>172</v>
      </c>
      <c r="C8" s="59" t="s">
        <v>173</v>
      </c>
      <c r="D8" s="59" t="s">
        <v>174</v>
      </c>
      <c r="E8" s="28" t="s">
        <v>155</v>
      </c>
      <c r="F8" s="60" t="s">
        <v>156</v>
      </c>
      <c r="G8" s="61">
        <v>0.9</v>
      </c>
      <c r="H8" s="61">
        <v>0.8</v>
      </c>
      <c r="I8" s="28" t="s">
        <v>157</v>
      </c>
      <c r="J8" s="59" t="s">
        <v>28</v>
      </c>
      <c r="K8" s="28" t="s">
        <v>175</v>
      </c>
      <c r="L8" s="62" t="s">
        <v>176</v>
      </c>
      <c r="M8" s="59" t="s">
        <v>177</v>
      </c>
    </row>
    <row r="9" spans="1:13" ht="43.5" customHeight="1" x14ac:dyDescent="0.3">
      <c r="A9" s="28">
        <v>5</v>
      </c>
      <c r="B9" s="58" t="s">
        <v>178</v>
      </c>
      <c r="C9" s="59" t="s">
        <v>179</v>
      </c>
      <c r="D9" s="59" t="s">
        <v>180</v>
      </c>
      <c r="E9" s="28" t="s">
        <v>181</v>
      </c>
      <c r="F9" s="60" t="s">
        <v>169</v>
      </c>
      <c r="G9" s="63">
        <v>0.5</v>
      </c>
      <c r="H9" s="63">
        <v>1</v>
      </c>
      <c r="I9" s="28" t="s">
        <v>157</v>
      </c>
      <c r="J9" s="59" t="s">
        <v>182</v>
      </c>
      <c r="K9" s="28" t="s">
        <v>158</v>
      </c>
      <c r="L9" s="62" t="s">
        <v>183</v>
      </c>
      <c r="M9" s="59" t="s">
        <v>184</v>
      </c>
    </row>
    <row r="10" spans="1:13" ht="43.5" customHeight="1" x14ac:dyDescent="0.3">
      <c r="A10" s="28">
        <v>6</v>
      </c>
      <c r="B10" s="58" t="s">
        <v>185</v>
      </c>
      <c r="C10" s="59" t="s">
        <v>186</v>
      </c>
      <c r="D10" s="59" t="s">
        <v>187</v>
      </c>
      <c r="E10" s="28" t="s">
        <v>155</v>
      </c>
      <c r="F10" s="60" t="s">
        <v>156</v>
      </c>
      <c r="G10" s="61">
        <v>0.85</v>
      </c>
      <c r="H10" s="61">
        <v>0.7</v>
      </c>
      <c r="I10" s="28" t="s">
        <v>157</v>
      </c>
      <c r="J10" s="59" t="s">
        <v>34</v>
      </c>
      <c r="K10" s="28" t="s">
        <v>175</v>
      </c>
      <c r="L10" s="62" t="s">
        <v>188</v>
      </c>
      <c r="M10" s="59" t="s">
        <v>189</v>
      </c>
    </row>
    <row r="11" spans="1:13" ht="43.5" customHeight="1" x14ac:dyDescent="0.3">
      <c r="A11" s="28">
        <v>7</v>
      </c>
      <c r="B11" s="58" t="s">
        <v>190</v>
      </c>
      <c r="C11" s="59" t="s">
        <v>191</v>
      </c>
      <c r="D11" s="59" t="s">
        <v>192</v>
      </c>
      <c r="E11" s="28" t="s">
        <v>193</v>
      </c>
      <c r="F11" s="60" t="s">
        <v>169</v>
      </c>
      <c r="G11" s="64">
        <v>7</v>
      </c>
      <c r="H11" s="64">
        <v>14</v>
      </c>
      <c r="I11" s="28" t="s">
        <v>157</v>
      </c>
      <c r="J11" s="59" t="s">
        <v>36</v>
      </c>
      <c r="K11" s="28" t="s">
        <v>158</v>
      </c>
      <c r="L11" s="62" t="s">
        <v>194</v>
      </c>
      <c r="M11" s="59" t="s">
        <v>195</v>
      </c>
    </row>
    <row r="12" spans="1:13" ht="43.5" customHeight="1" x14ac:dyDescent="0.3">
      <c r="A12" s="28">
        <v>8</v>
      </c>
      <c r="B12" s="58" t="s">
        <v>196</v>
      </c>
      <c r="C12" s="59" t="s">
        <v>197</v>
      </c>
      <c r="D12" s="59" t="s">
        <v>198</v>
      </c>
      <c r="E12" s="28" t="s">
        <v>199</v>
      </c>
      <c r="F12" s="60" t="s">
        <v>156</v>
      </c>
      <c r="G12" s="63">
        <v>4</v>
      </c>
      <c r="H12" s="63">
        <v>3.5</v>
      </c>
      <c r="I12" s="28" t="s">
        <v>200</v>
      </c>
      <c r="J12" s="59" t="s">
        <v>38</v>
      </c>
      <c r="K12" s="28" t="s">
        <v>158</v>
      </c>
      <c r="L12" s="62" t="s">
        <v>201</v>
      </c>
      <c r="M12" s="59" t="s">
        <v>202</v>
      </c>
    </row>
    <row r="13" spans="1:13" ht="43.5" customHeight="1" x14ac:dyDescent="0.3">
      <c r="A13" s="28">
        <v>9</v>
      </c>
      <c r="B13" s="58" t="s">
        <v>203</v>
      </c>
      <c r="C13" s="59" t="s">
        <v>204</v>
      </c>
      <c r="D13" s="59" t="s">
        <v>205</v>
      </c>
      <c r="E13" s="28" t="s">
        <v>155</v>
      </c>
      <c r="F13" s="60" t="s">
        <v>156</v>
      </c>
      <c r="G13" s="61">
        <v>0.85</v>
      </c>
      <c r="H13" s="61">
        <v>0.75</v>
      </c>
      <c r="I13" s="28" t="s">
        <v>157</v>
      </c>
      <c r="J13" s="59" t="s">
        <v>40</v>
      </c>
      <c r="K13" s="28" t="s">
        <v>158</v>
      </c>
      <c r="L13" s="62" t="s">
        <v>159</v>
      </c>
      <c r="M13" s="59" t="s">
        <v>206</v>
      </c>
    </row>
    <row r="14" spans="1:13" ht="43.5" customHeight="1" x14ac:dyDescent="0.3">
      <c r="A14" s="28">
        <v>10</v>
      </c>
      <c r="B14" s="58" t="s">
        <v>207</v>
      </c>
      <c r="C14" s="59" t="s">
        <v>208</v>
      </c>
      <c r="D14" s="59" t="s">
        <v>209</v>
      </c>
      <c r="E14" s="28" t="s">
        <v>155</v>
      </c>
      <c r="F14" s="60" t="s">
        <v>156</v>
      </c>
      <c r="G14" s="61">
        <v>0.8</v>
      </c>
      <c r="H14" s="61">
        <v>0.65</v>
      </c>
      <c r="I14" s="28" t="s">
        <v>157</v>
      </c>
      <c r="J14" s="59" t="s">
        <v>28</v>
      </c>
      <c r="K14" s="28" t="s">
        <v>175</v>
      </c>
      <c r="L14" s="62" t="s">
        <v>164</v>
      </c>
      <c r="M14" s="59" t="s">
        <v>210</v>
      </c>
    </row>
    <row r="15" spans="1:13" ht="43.5" customHeight="1" x14ac:dyDescent="0.3">
      <c r="A15" s="28">
        <v>11</v>
      </c>
      <c r="B15" s="58" t="s">
        <v>211</v>
      </c>
      <c r="C15" s="59" t="s">
        <v>212</v>
      </c>
      <c r="D15" s="59" t="s">
        <v>213</v>
      </c>
      <c r="E15" s="28" t="s">
        <v>155</v>
      </c>
      <c r="F15" s="60" t="s">
        <v>156</v>
      </c>
      <c r="G15" s="61">
        <v>0.9</v>
      </c>
      <c r="H15" s="61">
        <v>0.8</v>
      </c>
      <c r="I15" s="28" t="s">
        <v>157</v>
      </c>
      <c r="J15" s="59" t="s">
        <v>42</v>
      </c>
      <c r="K15" s="28" t="s">
        <v>158</v>
      </c>
      <c r="L15" s="62" t="s">
        <v>170</v>
      </c>
      <c r="M15" s="59" t="s">
        <v>214</v>
      </c>
    </row>
    <row r="16" spans="1:13" ht="43.5" customHeight="1" x14ac:dyDescent="0.3">
      <c r="A16" s="28">
        <v>12</v>
      </c>
      <c r="B16" s="58" t="s">
        <v>215</v>
      </c>
      <c r="C16" s="59" t="s">
        <v>216</v>
      </c>
      <c r="D16" s="59" t="s">
        <v>217</v>
      </c>
      <c r="E16" s="28" t="s">
        <v>155</v>
      </c>
      <c r="F16" s="60" t="s">
        <v>156</v>
      </c>
      <c r="G16" s="61">
        <v>0.95</v>
      </c>
      <c r="H16" s="61">
        <v>0.85</v>
      </c>
      <c r="I16" s="28" t="s">
        <v>157</v>
      </c>
      <c r="J16" s="59" t="s">
        <v>44</v>
      </c>
      <c r="K16" s="28" t="s">
        <v>158</v>
      </c>
      <c r="L16" s="62" t="s">
        <v>176</v>
      </c>
      <c r="M16" s="59" t="s">
        <v>218</v>
      </c>
    </row>
    <row r="17" spans="1:13" ht="43.5" customHeight="1" x14ac:dyDescent="0.3">
      <c r="A17" s="28">
        <v>13</v>
      </c>
      <c r="B17" s="58" t="s">
        <v>219</v>
      </c>
      <c r="C17" s="59" t="s">
        <v>220</v>
      </c>
      <c r="D17" s="59" t="s">
        <v>221</v>
      </c>
      <c r="E17" s="28" t="s">
        <v>193</v>
      </c>
      <c r="F17" s="60" t="s">
        <v>169</v>
      </c>
      <c r="G17" s="64">
        <v>5</v>
      </c>
      <c r="H17" s="64">
        <v>10</v>
      </c>
      <c r="I17" s="28" t="s">
        <v>157</v>
      </c>
      <c r="J17" s="59" t="s">
        <v>32</v>
      </c>
      <c r="K17" s="28" t="s">
        <v>158</v>
      </c>
      <c r="L17" s="62" t="s">
        <v>183</v>
      </c>
      <c r="M17" s="59" t="s">
        <v>222</v>
      </c>
    </row>
    <row r="18" spans="1:13" ht="43.5" customHeight="1" x14ac:dyDescent="0.3">
      <c r="A18" s="28">
        <v>14</v>
      </c>
      <c r="B18" s="58" t="s">
        <v>223</v>
      </c>
      <c r="C18" s="59" t="s">
        <v>224</v>
      </c>
      <c r="D18" s="59" t="s">
        <v>225</v>
      </c>
      <c r="E18" s="28" t="s">
        <v>226</v>
      </c>
      <c r="F18" s="60" t="s">
        <v>156</v>
      </c>
      <c r="G18" s="61">
        <v>1</v>
      </c>
      <c r="H18" s="61">
        <v>0.9</v>
      </c>
      <c r="I18" s="28" t="s">
        <v>157</v>
      </c>
      <c r="J18" s="59" t="s">
        <v>40</v>
      </c>
      <c r="K18" s="28" t="s">
        <v>158</v>
      </c>
      <c r="L18" s="62" t="s">
        <v>188</v>
      </c>
      <c r="M18" s="59" t="s">
        <v>227</v>
      </c>
    </row>
    <row r="19" spans="1:13" ht="43.5" customHeight="1" x14ac:dyDescent="0.3">
      <c r="A19" s="28">
        <v>15</v>
      </c>
      <c r="B19" s="58" t="s">
        <v>228</v>
      </c>
      <c r="C19" s="59" t="s">
        <v>229</v>
      </c>
      <c r="D19" s="59" t="s">
        <v>230</v>
      </c>
      <c r="E19" s="28" t="s">
        <v>155</v>
      </c>
      <c r="F19" s="60" t="s">
        <v>156</v>
      </c>
      <c r="G19" s="61">
        <v>0.9</v>
      </c>
      <c r="H19" s="61">
        <v>0.75</v>
      </c>
      <c r="I19" s="28" t="s">
        <v>231</v>
      </c>
      <c r="J19" s="59" t="s">
        <v>46</v>
      </c>
      <c r="K19" s="28" t="s">
        <v>158</v>
      </c>
      <c r="L19" s="62" t="s">
        <v>194</v>
      </c>
      <c r="M19" s="59" t="s">
        <v>232</v>
      </c>
    </row>
    <row r="20" spans="1:13" ht="43.5" customHeight="1" x14ac:dyDescent="0.3">
      <c r="A20" s="28">
        <v>16</v>
      </c>
      <c r="B20" s="58" t="s">
        <v>233</v>
      </c>
      <c r="C20" s="59" t="s">
        <v>234</v>
      </c>
      <c r="D20" s="59" t="s">
        <v>235</v>
      </c>
      <c r="E20" s="28" t="s">
        <v>236</v>
      </c>
      <c r="F20" s="60" t="s">
        <v>156</v>
      </c>
      <c r="G20" s="65">
        <v>2</v>
      </c>
      <c r="H20" s="65">
        <v>1</v>
      </c>
      <c r="I20" s="28" t="s">
        <v>157</v>
      </c>
      <c r="J20" s="59" t="s">
        <v>48</v>
      </c>
      <c r="K20" s="28" t="s">
        <v>158</v>
      </c>
      <c r="L20" s="62" t="s">
        <v>201</v>
      </c>
      <c r="M20" s="59" t="s">
        <v>237</v>
      </c>
    </row>
    <row r="22" spans="1:13" x14ac:dyDescent="0.3">
      <c r="B22" s="66" t="s">
        <v>238</v>
      </c>
    </row>
    <row r="23" spans="1:13" x14ac:dyDescent="0.3">
      <c r="B23" s="66" t="s">
        <v>239</v>
      </c>
    </row>
    <row r="24" spans="1:13" x14ac:dyDescent="0.3">
      <c r="B24" s="66" t="s">
        <v>240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entry" error="Pick a value from the list" xr:uid="{00000000-0002-0000-0400-000000000000}">
          <x14:formula1>
            <xm:f>Settings!$F$4:$F$5</xm:f>
          </x14:formula1>
          <x14:formula2>
            <xm:f>0</xm:f>
          </x14:formula2>
          <xm:sqref>F5:F20</xm:sqref>
        </x14:dataValidation>
        <x14:dataValidation type="list" allowBlank="1" errorTitle="Invalid entry" error="Pick a value from the list" xr:uid="{00000000-0002-0000-0400-000001000000}">
          <x14:formula1>
            <xm:f>Settings!$P$4:$P$30</xm:f>
          </x14:formula1>
          <x14:formula2>
            <xm:f>0</xm:f>
          </x14:formula2>
          <xm:sqref>L5:L20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J1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7" customWidth="1"/>
    <col min="2" max="2" width="12" customWidth="1"/>
    <col min="3" max="3" width="32" customWidth="1"/>
    <col min="4" max="7" width="11" customWidth="1"/>
    <col min="8" max="8" width="50" customWidth="1"/>
    <col min="9" max="10" width="14" customWidth="1"/>
  </cols>
  <sheetData>
    <row r="1" spans="1:10" ht="21" x14ac:dyDescent="0.4">
      <c r="A1" s="40" t="s">
        <v>241</v>
      </c>
    </row>
    <row r="2" spans="1:10" x14ac:dyDescent="0.3">
      <c r="A2" s="41" t="s">
        <v>242</v>
      </c>
    </row>
    <row r="4" spans="1:10" ht="31.5" customHeight="1" x14ac:dyDescent="0.3">
      <c r="A4" s="42" t="s">
        <v>243</v>
      </c>
      <c r="B4" s="42" t="s">
        <v>244</v>
      </c>
      <c r="C4" s="42" t="s">
        <v>93</v>
      </c>
      <c r="D4" s="42" t="s">
        <v>245</v>
      </c>
      <c r="E4" s="42" t="s">
        <v>246</v>
      </c>
      <c r="F4" s="42" t="s">
        <v>247</v>
      </c>
      <c r="G4" s="42" t="s">
        <v>248</v>
      </c>
      <c r="H4" s="42" t="s">
        <v>249</v>
      </c>
      <c r="I4" s="42" t="s">
        <v>250</v>
      </c>
      <c r="J4" s="42" t="s">
        <v>251</v>
      </c>
    </row>
    <row r="5" spans="1:10" x14ac:dyDescent="0.3">
      <c r="A5" s="67">
        <f t="shared" ref="A5:A36" si="0">IF(B5="","",ROW()-4)</f>
        <v>1</v>
      </c>
      <c r="B5" s="68">
        <v>46027</v>
      </c>
      <c r="C5" s="69" t="s">
        <v>172</v>
      </c>
      <c r="D5" s="70">
        <v>0.85</v>
      </c>
      <c r="E5" s="70">
        <v>0.9</v>
      </c>
      <c r="F5" s="70">
        <v>0.75</v>
      </c>
      <c r="G5" s="70">
        <v>0.8</v>
      </c>
      <c r="H5" s="69" t="s">
        <v>252</v>
      </c>
      <c r="I5" s="69" t="s">
        <v>159</v>
      </c>
      <c r="J5" s="69" t="s">
        <v>201</v>
      </c>
    </row>
    <row r="6" spans="1:10" x14ac:dyDescent="0.3">
      <c r="A6" s="67">
        <f t="shared" si="0"/>
        <v>2</v>
      </c>
      <c r="B6" s="68">
        <v>46114</v>
      </c>
      <c r="C6" s="69" t="s">
        <v>190</v>
      </c>
      <c r="D6" s="71">
        <v>10</v>
      </c>
      <c r="E6" s="71">
        <v>7</v>
      </c>
      <c r="F6" s="71">
        <v>20</v>
      </c>
      <c r="G6" s="71">
        <v>14</v>
      </c>
      <c r="H6" s="69" t="s">
        <v>253</v>
      </c>
      <c r="I6" s="69" t="s">
        <v>164</v>
      </c>
      <c r="J6" s="69" t="s">
        <v>201</v>
      </c>
    </row>
    <row r="7" spans="1:10" x14ac:dyDescent="0.3">
      <c r="A7" s="67" t="str">
        <f t="shared" si="0"/>
        <v/>
      </c>
      <c r="B7" s="68"/>
      <c r="C7" s="69"/>
      <c r="D7" s="69"/>
      <c r="E7" s="69"/>
      <c r="F7" s="69"/>
      <c r="G7" s="69"/>
      <c r="H7" s="69"/>
      <c r="I7" s="69"/>
      <c r="J7" s="69"/>
    </row>
    <row r="8" spans="1:10" x14ac:dyDescent="0.3">
      <c r="A8" s="67" t="str">
        <f t="shared" si="0"/>
        <v/>
      </c>
      <c r="B8" s="68"/>
      <c r="C8" s="69"/>
      <c r="D8" s="69"/>
      <c r="E8" s="69"/>
      <c r="F8" s="69"/>
      <c r="G8" s="69"/>
      <c r="H8" s="69"/>
      <c r="I8" s="69"/>
      <c r="J8" s="69"/>
    </row>
    <row r="9" spans="1:10" x14ac:dyDescent="0.3">
      <c r="A9" s="67" t="str">
        <f t="shared" si="0"/>
        <v/>
      </c>
      <c r="B9" s="68"/>
      <c r="C9" s="69"/>
      <c r="D9" s="69"/>
      <c r="E9" s="69"/>
      <c r="F9" s="69"/>
      <c r="G9" s="69"/>
      <c r="H9" s="69"/>
      <c r="I9" s="69"/>
      <c r="J9" s="69"/>
    </row>
    <row r="10" spans="1:10" x14ac:dyDescent="0.3">
      <c r="A10" s="67" t="str">
        <f t="shared" si="0"/>
        <v/>
      </c>
      <c r="B10" s="68"/>
      <c r="C10" s="69"/>
      <c r="D10" s="69"/>
      <c r="E10" s="69"/>
      <c r="F10" s="69"/>
      <c r="G10" s="69"/>
      <c r="H10" s="69"/>
      <c r="I10" s="69"/>
      <c r="J10" s="69"/>
    </row>
    <row r="11" spans="1:10" x14ac:dyDescent="0.3">
      <c r="A11" s="67" t="str">
        <f t="shared" si="0"/>
        <v/>
      </c>
      <c r="B11" s="68"/>
      <c r="C11" s="69"/>
      <c r="D11" s="69"/>
      <c r="E11" s="69"/>
      <c r="F11" s="69"/>
      <c r="G11" s="69"/>
      <c r="H11" s="69"/>
      <c r="I11" s="69"/>
      <c r="J11" s="69"/>
    </row>
    <row r="12" spans="1:10" x14ac:dyDescent="0.3">
      <c r="A12" s="67" t="str">
        <f t="shared" si="0"/>
        <v/>
      </c>
      <c r="B12" s="68"/>
      <c r="C12" s="69"/>
      <c r="D12" s="69"/>
      <c r="E12" s="69"/>
      <c r="F12" s="69"/>
      <c r="G12" s="69"/>
      <c r="H12" s="69"/>
      <c r="I12" s="69"/>
      <c r="J12" s="69"/>
    </row>
    <row r="13" spans="1:10" x14ac:dyDescent="0.3">
      <c r="A13" s="67" t="str">
        <f t="shared" si="0"/>
        <v/>
      </c>
      <c r="B13" s="68"/>
      <c r="C13" s="69"/>
      <c r="D13" s="69"/>
      <c r="E13" s="69"/>
      <c r="F13" s="69"/>
      <c r="G13" s="69"/>
      <c r="H13" s="69"/>
      <c r="I13" s="69"/>
      <c r="J13" s="69"/>
    </row>
    <row r="14" spans="1:10" x14ac:dyDescent="0.3">
      <c r="A14" s="67" t="str">
        <f t="shared" si="0"/>
        <v/>
      </c>
      <c r="B14" s="68"/>
      <c r="C14" s="69"/>
      <c r="D14" s="69"/>
      <c r="E14" s="69"/>
      <c r="F14" s="69"/>
      <c r="G14" s="69"/>
      <c r="H14" s="69"/>
      <c r="I14" s="69"/>
      <c r="J14" s="69"/>
    </row>
    <row r="15" spans="1:10" x14ac:dyDescent="0.3">
      <c r="A15" s="67" t="str">
        <f t="shared" si="0"/>
        <v/>
      </c>
      <c r="B15" s="68"/>
      <c r="C15" s="69"/>
      <c r="D15" s="69"/>
      <c r="E15" s="69"/>
      <c r="F15" s="69"/>
      <c r="G15" s="69"/>
      <c r="H15" s="69"/>
      <c r="I15" s="69"/>
      <c r="J15" s="69"/>
    </row>
    <row r="16" spans="1:10" x14ac:dyDescent="0.3">
      <c r="A16" s="67" t="str">
        <f t="shared" si="0"/>
        <v/>
      </c>
      <c r="B16" s="68"/>
      <c r="C16" s="69"/>
      <c r="D16" s="69"/>
      <c r="E16" s="69"/>
      <c r="F16" s="69"/>
      <c r="G16" s="69"/>
      <c r="H16" s="69"/>
      <c r="I16" s="69"/>
      <c r="J16" s="69"/>
    </row>
    <row r="17" spans="1:10" x14ac:dyDescent="0.3">
      <c r="A17" s="67" t="str">
        <f t="shared" si="0"/>
        <v/>
      </c>
      <c r="B17" s="68"/>
      <c r="C17" s="69"/>
      <c r="D17" s="69"/>
      <c r="E17" s="69"/>
      <c r="F17" s="69"/>
      <c r="G17" s="69"/>
      <c r="H17" s="69"/>
      <c r="I17" s="69"/>
      <c r="J17" s="69"/>
    </row>
    <row r="18" spans="1:10" x14ac:dyDescent="0.3">
      <c r="A18" s="67" t="str">
        <f t="shared" si="0"/>
        <v/>
      </c>
      <c r="B18" s="68"/>
      <c r="C18" s="69"/>
      <c r="D18" s="69"/>
      <c r="E18" s="69"/>
      <c r="F18" s="69"/>
      <c r="G18" s="69"/>
      <c r="H18" s="69"/>
      <c r="I18" s="69"/>
      <c r="J18" s="69"/>
    </row>
    <row r="19" spans="1:10" x14ac:dyDescent="0.3">
      <c r="A19" s="67" t="str">
        <f t="shared" si="0"/>
        <v/>
      </c>
      <c r="B19" s="68"/>
      <c r="C19" s="69"/>
      <c r="D19" s="69"/>
      <c r="E19" s="69"/>
      <c r="F19" s="69"/>
      <c r="G19" s="69"/>
      <c r="H19" s="69"/>
      <c r="I19" s="69"/>
      <c r="J19" s="69"/>
    </row>
    <row r="20" spans="1:10" x14ac:dyDescent="0.3">
      <c r="A20" s="67" t="str">
        <f t="shared" si="0"/>
        <v/>
      </c>
      <c r="B20" s="68"/>
      <c r="C20" s="69"/>
      <c r="D20" s="69"/>
      <c r="E20" s="69"/>
      <c r="F20" s="69"/>
      <c r="G20" s="69"/>
      <c r="H20" s="69"/>
      <c r="I20" s="69"/>
      <c r="J20" s="69"/>
    </row>
    <row r="21" spans="1:10" x14ac:dyDescent="0.3">
      <c r="A21" s="67" t="str">
        <f t="shared" si="0"/>
        <v/>
      </c>
      <c r="B21" s="68"/>
      <c r="C21" s="69"/>
      <c r="D21" s="69"/>
      <c r="E21" s="69"/>
      <c r="F21" s="69"/>
      <c r="G21" s="69"/>
      <c r="H21" s="69"/>
      <c r="I21" s="69"/>
      <c r="J21" s="69"/>
    </row>
    <row r="22" spans="1:10" x14ac:dyDescent="0.3">
      <c r="A22" s="67" t="str">
        <f t="shared" si="0"/>
        <v/>
      </c>
      <c r="B22" s="68"/>
      <c r="C22" s="69"/>
      <c r="D22" s="69"/>
      <c r="E22" s="69"/>
      <c r="F22" s="69"/>
      <c r="G22" s="69"/>
      <c r="H22" s="69"/>
      <c r="I22" s="69"/>
      <c r="J22" s="69"/>
    </row>
    <row r="23" spans="1:10" x14ac:dyDescent="0.3">
      <c r="A23" s="67" t="str">
        <f t="shared" si="0"/>
        <v/>
      </c>
      <c r="B23" s="68"/>
      <c r="C23" s="69"/>
      <c r="D23" s="69"/>
      <c r="E23" s="69"/>
      <c r="F23" s="69"/>
      <c r="G23" s="69"/>
      <c r="H23" s="69"/>
      <c r="I23" s="69"/>
      <c r="J23" s="69"/>
    </row>
    <row r="24" spans="1:10" x14ac:dyDescent="0.3">
      <c r="A24" s="67" t="str">
        <f t="shared" si="0"/>
        <v/>
      </c>
      <c r="B24" s="68"/>
      <c r="C24" s="69"/>
      <c r="D24" s="69"/>
      <c r="E24" s="69"/>
      <c r="F24" s="69"/>
      <c r="G24" s="69"/>
      <c r="H24" s="69"/>
      <c r="I24" s="69"/>
      <c r="J24" s="69"/>
    </row>
    <row r="25" spans="1:10" x14ac:dyDescent="0.3">
      <c r="A25" s="67" t="str">
        <f t="shared" si="0"/>
        <v/>
      </c>
      <c r="B25" s="68"/>
      <c r="C25" s="69"/>
      <c r="D25" s="69"/>
      <c r="E25" s="69"/>
      <c r="F25" s="69"/>
      <c r="G25" s="69"/>
      <c r="H25" s="69"/>
      <c r="I25" s="69"/>
      <c r="J25" s="69"/>
    </row>
    <row r="26" spans="1:10" x14ac:dyDescent="0.3">
      <c r="A26" s="67" t="str">
        <f t="shared" si="0"/>
        <v/>
      </c>
      <c r="B26" s="68"/>
      <c r="C26" s="69"/>
      <c r="D26" s="69"/>
      <c r="E26" s="69"/>
      <c r="F26" s="69"/>
      <c r="G26" s="69"/>
      <c r="H26" s="69"/>
      <c r="I26" s="69"/>
      <c r="J26" s="69"/>
    </row>
    <row r="27" spans="1:10" x14ac:dyDescent="0.3">
      <c r="A27" s="67" t="str">
        <f t="shared" si="0"/>
        <v/>
      </c>
      <c r="B27" s="68"/>
      <c r="C27" s="69"/>
      <c r="D27" s="69"/>
      <c r="E27" s="69"/>
      <c r="F27" s="69"/>
      <c r="G27" s="69"/>
      <c r="H27" s="69"/>
      <c r="I27" s="69"/>
      <c r="J27" s="69"/>
    </row>
    <row r="28" spans="1:10" x14ac:dyDescent="0.3">
      <c r="A28" s="67" t="str">
        <f t="shared" si="0"/>
        <v/>
      </c>
      <c r="B28" s="68"/>
      <c r="C28" s="69"/>
      <c r="D28" s="69"/>
      <c r="E28" s="69"/>
      <c r="F28" s="69"/>
      <c r="G28" s="69"/>
      <c r="H28" s="69"/>
      <c r="I28" s="69"/>
      <c r="J28" s="69"/>
    </row>
    <row r="29" spans="1:10" x14ac:dyDescent="0.3">
      <c r="A29" s="67" t="str">
        <f t="shared" si="0"/>
        <v/>
      </c>
      <c r="B29" s="68"/>
      <c r="C29" s="69"/>
      <c r="D29" s="69"/>
      <c r="E29" s="69"/>
      <c r="F29" s="69"/>
      <c r="G29" s="69"/>
      <c r="H29" s="69"/>
      <c r="I29" s="69"/>
      <c r="J29" s="69"/>
    </row>
    <row r="30" spans="1:10" x14ac:dyDescent="0.3">
      <c r="A30" s="67" t="str">
        <f t="shared" si="0"/>
        <v/>
      </c>
      <c r="B30" s="68"/>
      <c r="C30" s="69"/>
      <c r="D30" s="69"/>
      <c r="E30" s="69"/>
      <c r="F30" s="69"/>
      <c r="G30" s="69"/>
      <c r="H30" s="69"/>
      <c r="I30" s="69"/>
      <c r="J30" s="69"/>
    </row>
    <row r="31" spans="1:10" x14ac:dyDescent="0.3">
      <c r="A31" s="67" t="str">
        <f t="shared" si="0"/>
        <v/>
      </c>
      <c r="B31" s="68"/>
      <c r="C31" s="69"/>
      <c r="D31" s="69"/>
      <c r="E31" s="69"/>
      <c r="F31" s="69"/>
      <c r="G31" s="69"/>
      <c r="H31" s="69"/>
      <c r="I31" s="69"/>
      <c r="J31" s="69"/>
    </row>
    <row r="32" spans="1:10" x14ac:dyDescent="0.3">
      <c r="A32" s="67" t="str">
        <f t="shared" si="0"/>
        <v/>
      </c>
      <c r="B32" s="68"/>
      <c r="C32" s="69"/>
      <c r="D32" s="69"/>
      <c r="E32" s="69"/>
      <c r="F32" s="69"/>
      <c r="G32" s="69"/>
      <c r="H32" s="69"/>
      <c r="I32" s="69"/>
      <c r="J32" s="69"/>
    </row>
    <row r="33" spans="1:10" x14ac:dyDescent="0.3">
      <c r="A33" s="67" t="str">
        <f t="shared" si="0"/>
        <v/>
      </c>
      <c r="B33" s="68"/>
      <c r="C33" s="69"/>
      <c r="D33" s="69"/>
      <c r="E33" s="69"/>
      <c r="F33" s="69"/>
      <c r="G33" s="69"/>
      <c r="H33" s="69"/>
      <c r="I33" s="69"/>
      <c r="J33" s="69"/>
    </row>
    <row r="34" spans="1:10" x14ac:dyDescent="0.3">
      <c r="A34" s="67" t="str">
        <f t="shared" si="0"/>
        <v/>
      </c>
      <c r="B34" s="68"/>
      <c r="C34" s="69"/>
      <c r="D34" s="69"/>
      <c r="E34" s="69"/>
      <c r="F34" s="69"/>
      <c r="G34" s="69"/>
      <c r="H34" s="69"/>
      <c r="I34" s="69"/>
      <c r="J34" s="69"/>
    </row>
    <row r="35" spans="1:10" x14ac:dyDescent="0.3">
      <c r="A35" s="67" t="str">
        <f t="shared" si="0"/>
        <v/>
      </c>
      <c r="B35" s="68"/>
      <c r="C35" s="69"/>
      <c r="D35" s="69"/>
      <c r="E35" s="69"/>
      <c r="F35" s="69"/>
      <c r="G35" s="69"/>
      <c r="H35" s="69"/>
      <c r="I35" s="69"/>
      <c r="J35" s="69"/>
    </row>
    <row r="36" spans="1:10" x14ac:dyDescent="0.3">
      <c r="A36" s="67" t="str">
        <f t="shared" si="0"/>
        <v/>
      </c>
      <c r="B36" s="68"/>
      <c r="C36" s="69"/>
      <c r="D36" s="69"/>
      <c r="E36" s="69"/>
      <c r="F36" s="69"/>
      <c r="G36" s="69"/>
      <c r="H36" s="69"/>
      <c r="I36" s="69"/>
      <c r="J36" s="69"/>
    </row>
    <row r="37" spans="1:10" x14ac:dyDescent="0.3">
      <c r="A37" s="67" t="str">
        <f t="shared" ref="A37:A68" si="1">IF(B37="","",ROW()-4)</f>
        <v/>
      </c>
      <c r="B37" s="68"/>
      <c r="C37" s="69"/>
      <c r="D37" s="69"/>
      <c r="E37" s="69"/>
      <c r="F37" s="69"/>
      <c r="G37" s="69"/>
      <c r="H37" s="69"/>
      <c r="I37" s="69"/>
      <c r="J37" s="69"/>
    </row>
    <row r="38" spans="1:10" x14ac:dyDescent="0.3">
      <c r="A38" s="67" t="str">
        <f t="shared" si="1"/>
        <v/>
      </c>
      <c r="B38" s="68"/>
      <c r="C38" s="69"/>
      <c r="D38" s="69"/>
      <c r="E38" s="69"/>
      <c r="F38" s="69"/>
      <c r="G38" s="69"/>
      <c r="H38" s="69"/>
      <c r="I38" s="69"/>
      <c r="J38" s="69"/>
    </row>
    <row r="39" spans="1:10" x14ac:dyDescent="0.3">
      <c r="A39" s="67" t="str">
        <f t="shared" si="1"/>
        <v/>
      </c>
      <c r="B39" s="68"/>
      <c r="C39" s="69"/>
      <c r="D39" s="69"/>
      <c r="E39" s="69"/>
      <c r="F39" s="69"/>
      <c r="G39" s="69"/>
      <c r="H39" s="69"/>
      <c r="I39" s="69"/>
      <c r="J39" s="69"/>
    </row>
    <row r="40" spans="1:10" x14ac:dyDescent="0.3">
      <c r="A40" s="67" t="str">
        <f t="shared" si="1"/>
        <v/>
      </c>
      <c r="B40" s="68"/>
      <c r="C40" s="69"/>
      <c r="D40" s="69"/>
      <c r="E40" s="69"/>
      <c r="F40" s="69"/>
      <c r="G40" s="69"/>
      <c r="H40" s="69"/>
      <c r="I40" s="69"/>
      <c r="J40" s="69"/>
    </row>
    <row r="41" spans="1:10" x14ac:dyDescent="0.3">
      <c r="A41" s="67" t="str">
        <f t="shared" si="1"/>
        <v/>
      </c>
      <c r="B41" s="68"/>
      <c r="C41" s="69"/>
      <c r="D41" s="69"/>
      <c r="E41" s="69"/>
      <c r="F41" s="69"/>
      <c r="G41" s="69"/>
      <c r="H41" s="69"/>
      <c r="I41" s="69"/>
      <c r="J41" s="69"/>
    </row>
    <row r="42" spans="1:10" x14ac:dyDescent="0.3">
      <c r="A42" s="67" t="str">
        <f t="shared" si="1"/>
        <v/>
      </c>
      <c r="B42" s="68"/>
      <c r="C42" s="69"/>
      <c r="D42" s="69"/>
      <c r="E42" s="69"/>
      <c r="F42" s="69"/>
      <c r="G42" s="69"/>
      <c r="H42" s="69"/>
      <c r="I42" s="69"/>
      <c r="J42" s="69"/>
    </row>
    <row r="43" spans="1:10" x14ac:dyDescent="0.3">
      <c r="A43" s="67" t="str">
        <f t="shared" si="1"/>
        <v/>
      </c>
      <c r="B43" s="68"/>
      <c r="C43" s="69"/>
      <c r="D43" s="69"/>
      <c r="E43" s="69"/>
      <c r="F43" s="69"/>
      <c r="G43" s="69"/>
      <c r="H43" s="69"/>
      <c r="I43" s="69"/>
      <c r="J43" s="69"/>
    </row>
    <row r="44" spans="1:10" x14ac:dyDescent="0.3">
      <c r="A44" s="67" t="str">
        <f t="shared" si="1"/>
        <v/>
      </c>
      <c r="B44" s="68"/>
      <c r="C44" s="69"/>
      <c r="D44" s="69"/>
      <c r="E44" s="69"/>
      <c r="F44" s="69"/>
      <c r="G44" s="69"/>
      <c r="H44" s="69"/>
      <c r="I44" s="69"/>
      <c r="J44" s="69"/>
    </row>
    <row r="45" spans="1:10" x14ac:dyDescent="0.3">
      <c r="A45" s="67" t="str">
        <f t="shared" si="1"/>
        <v/>
      </c>
      <c r="B45" s="68"/>
      <c r="C45" s="69"/>
      <c r="D45" s="69"/>
      <c r="E45" s="69"/>
      <c r="F45" s="69"/>
      <c r="G45" s="69"/>
      <c r="H45" s="69"/>
      <c r="I45" s="69"/>
      <c r="J45" s="69"/>
    </row>
    <row r="46" spans="1:10" x14ac:dyDescent="0.3">
      <c r="A46" s="67" t="str">
        <f t="shared" si="1"/>
        <v/>
      </c>
      <c r="B46" s="68"/>
      <c r="C46" s="69"/>
      <c r="D46" s="69"/>
      <c r="E46" s="69"/>
      <c r="F46" s="69"/>
      <c r="G46" s="69"/>
      <c r="H46" s="69"/>
      <c r="I46" s="69"/>
      <c r="J46" s="69"/>
    </row>
    <row r="47" spans="1:10" x14ac:dyDescent="0.3">
      <c r="A47" s="67" t="str">
        <f t="shared" si="1"/>
        <v/>
      </c>
      <c r="B47" s="68"/>
      <c r="C47" s="69"/>
      <c r="D47" s="69"/>
      <c r="E47" s="69"/>
      <c r="F47" s="69"/>
      <c r="G47" s="69"/>
      <c r="H47" s="69"/>
      <c r="I47" s="69"/>
      <c r="J47" s="69"/>
    </row>
    <row r="48" spans="1:10" x14ac:dyDescent="0.3">
      <c r="A48" s="67" t="str">
        <f t="shared" si="1"/>
        <v/>
      </c>
      <c r="B48" s="68"/>
      <c r="C48" s="69"/>
      <c r="D48" s="69"/>
      <c r="E48" s="69"/>
      <c r="F48" s="69"/>
      <c r="G48" s="69"/>
      <c r="H48" s="69"/>
      <c r="I48" s="69"/>
      <c r="J48" s="69"/>
    </row>
    <row r="49" spans="1:10" x14ac:dyDescent="0.3">
      <c r="A49" s="67" t="str">
        <f t="shared" si="1"/>
        <v/>
      </c>
      <c r="B49" s="68"/>
      <c r="C49" s="69"/>
      <c r="D49" s="69"/>
      <c r="E49" s="69"/>
      <c r="F49" s="69"/>
      <c r="G49" s="69"/>
      <c r="H49" s="69"/>
      <c r="I49" s="69"/>
      <c r="J49" s="69"/>
    </row>
    <row r="50" spans="1:10" x14ac:dyDescent="0.3">
      <c r="A50" s="67" t="str">
        <f t="shared" si="1"/>
        <v/>
      </c>
      <c r="B50" s="68"/>
      <c r="C50" s="69"/>
      <c r="D50" s="69"/>
      <c r="E50" s="69"/>
      <c r="F50" s="69"/>
      <c r="G50" s="69"/>
      <c r="H50" s="69"/>
      <c r="I50" s="69"/>
      <c r="J50" s="69"/>
    </row>
    <row r="51" spans="1:10" x14ac:dyDescent="0.3">
      <c r="A51" s="67" t="str">
        <f t="shared" si="1"/>
        <v/>
      </c>
      <c r="B51" s="68"/>
      <c r="C51" s="69"/>
      <c r="D51" s="69"/>
      <c r="E51" s="69"/>
      <c r="F51" s="69"/>
      <c r="G51" s="69"/>
      <c r="H51" s="69"/>
      <c r="I51" s="69"/>
      <c r="J51" s="69"/>
    </row>
    <row r="52" spans="1:10" x14ac:dyDescent="0.3">
      <c r="A52" s="67" t="str">
        <f t="shared" si="1"/>
        <v/>
      </c>
      <c r="B52" s="68"/>
      <c r="C52" s="69"/>
      <c r="D52" s="69"/>
      <c r="E52" s="69"/>
      <c r="F52" s="69"/>
      <c r="G52" s="69"/>
      <c r="H52" s="69"/>
      <c r="I52" s="69"/>
      <c r="J52" s="69"/>
    </row>
    <row r="53" spans="1:10" x14ac:dyDescent="0.3">
      <c r="A53" s="67" t="str">
        <f t="shared" si="1"/>
        <v/>
      </c>
      <c r="B53" s="68"/>
      <c r="C53" s="69"/>
      <c r="D53" s="69"/>
      <c r="E53" s="69"/>
      <c r="F53" s="69"/>
      <c r="G53" s="69"/>
      <c r="H53" s="69"/>
      <c r="I53" s="69"/>
      <c r="J53" s="69"/>
    </row>
    <row r="54" spans="1:10" x14ac:dyDescent="0.3">
      <c r="A54" s="67" t="str">
        <f t="shared" si="1"/>
        <v/>
      </c>
      <c r="B54" s="68"/>
      <c r="C54" s="69"/>
      <c r="D54" s="69"/>
      <c r="E54" s="69"/>
      <c r="F54" s="69"/>
      <c r="G54" s="69"/>
      <c r="H54" s="69"/>
      <c r="I54" s="69"/>
      <c r="J54" s="69"/>
    </row>
    <row r="55" spans="1:10" x14ac:dyDescent="0.3">
      <c r="A55" s="67" t="str">
        <f t="shared" si="1"/>
        <v/>
      </c>
      <c r="B55" s="68"/>
      <c r="C55" s="69"/>
      <c r="D55" s="69"/>
      <c r="E55" s="69"/>
      <c r="F55" s="69"/>
      <c r="G55" s="69"/>
      <c r="H55" s="69"/>
      <c r="I55" s="69"/>
      <c r="J55" s="69"/>
    </row>
    <row r="56" spans="1:10" x14ac:dyDescent="0.3">
      <c r="A56" s="67" t="str">
        <f t="shared" si="1"/>
        <v/>
      </c>
      <c r="B56" s="68"/>
      <c r="C56" s="69"/>
      <c r="D56" s="69"/>
      <c r="E56" s="69"/>
      <c r="F56" s="69"/>
      <c r="G56" s="69"/>
      <c r="H56" s="69"/>
      <c r="I56" s="69"/>
      <c r="J56" s="69"/>
    </row>
    <row r="57" spans="1:10" x14ac:dyDescent="0.3">
      <c r="A57" s="67" t="str">
        <f t="shared" si="1"/>
        <v/>
      </c>
      <c r="B57" s="68"/>
      <c r="C57" s="69"/>
      <c r="D57" s="69"/>
      <c r="E57" s="69"/>
      <c r="F57" s="69"/>
      <c r="G57" s="69"/>
      <c r="H57" s="69"/>
      <c r="I57" s="69"/>
      <c r="J57" s="69"/>
    </row>
    <row r="58" spans="1:10" x14ac:dyDescent="0.3">
      <c r="A58" s="67" t="str">
        <f t="shared" si="1"/>
        <v/>
      </c>
      <c r="B58" s="68"/>
      <c r="C58" s="69"/>
      <c r="D58" s="69"/>
      <c r="E58" s="69"/>
      <c r="F58" s="69"/>
      <c r="G58" s="69"/>
      <c r="H58" s="69"/>
      <c r="I58" s="69"/>
      <c r="J58" s="69"/>
    </row>
    <row r="59" spans="1:10" x14ac:dyDescent="0.3">
      <c r="A59" s="67" t="str">
        <f t="shared" si="1"/>
        <v/>
      </c>
      <c r="B59" s="68"/>
      <c r="C59" s="69"/>
      <c r="D59" s="69"/>
      <c r="E59" s="69"/>
      <c r="F59" s="69"/>
      <c r="G59" s="69"/>
      <c r="H59" s="69"/>
      <c r="I59" s="69"/>
      <c r="J59" s="69"/>
    </row>
    <row r="60" spans="1:10" x14ac:dyDescent="0.3">
      <c r="A60" s="67" t="str">
        <f t="shared" si="1"/>
        <v/>
      </c>
      <c r="B60" s="68"/>
      <c r="C60" s="69"/>
      <c r="D60" s="69"/>
      <c r="E60" s="69"/>
      <c r="F60" s="69"/>
      <c r="G60" s="69"/>
      <c r="H60" s="69"/>
      <c r="I60" s="69"/>
      <c r="J60" s="69"/>
    </row>
    <row r="61" spans="1:10" x14ac:dyDescent="0.3">
      <c r="A61" s="67" t="str">
        <f t="shared" si="1"/>
        <v/>
      </c>
      <c r="B61" s="68"/>
      <c r="C61" s="69"/>
      <c r="D61" s="69"/>
      <c r="E61" s="69"/>
      <c r="F61" s="69"/>
      <c r="G61" s="69"/>
      <c r="H61" s="69"/>
      <c r="I61" s="69"/>
      <c r="J61" s="69"/>
    </row>
    <row r="62" spans="1:10" x14ac:dyDescent="0.3">
      <c r="A62" s="67" t="str">
        <f t="shared" si="1"/>
        <v/>
      </c>
      <c r="B62" s="68"/>
      <c r="C62" s="69"/>
      <c r="D62" s="69"/>
      <c r="E62" s="69"/>
      <c r="F62" s="69"/>
      <c r="G62" s="69"/>
      <c r="H62" s="69"/>
      <c r="I62" s="69"/>
      <c r="J62" s="69"/>
    </row>
    <row r="63" spans="1:10" x14ac:dyDescent="0.3">
      <c r="A63" s="67" t="str">
        <f t="shared" si="1"/>
        <v/>
      </c>
      <c r="B63" s="68"/>
      <c r="C63" s="69"/>
      <c r="D63" s="69"/>
      <c r="E63" s="69"/>
      <c r="F63" s="69"/>
      <c r="G63" s="69"/>
      <c r="H63" s="69"/>
      <c r="I63" s="69"/>
      <c r="J63" s="69"/>
    </row>
    <row r="64" spans="1:10" x14ac:dyDescent="0.3">
      <c r="A64" s="67" t="str">
        <f t="shared" si="1"/>
        <v/>
      </c>
      <c r="B64" s="68"/>
      <c r="C64" s="69"/>
      <c r="D64" s="69"/>
      <c r="E64" s="69"/>
      <c r="F64" s="69"/>
      <c r="G64" s="69"/>
      <c r="H64" s="69"/>
      <c r="I64" s="69"/>
      <c r="J64" s="69"/>
    </row>
    <row r="65" spans="1:10" x14ac:dyDescent="0.3">
      <c r="A65" s="67" t="str">
        <f t="shared" si="1"/>
        <v/>
      </c>
      <c r="B65" s="68"/>
      <c r="C65" s="69"/>
      <c r="D65" s="69"/>
      <c r="E65" s="69"/>
      <c r="F65" s="69"/>
      <c r="G65" s="69"/>
      <c r="H65" s="69"/>
      <c r="I65" s="69"/>
      <c r="J65" s="69"/>
    </row>
    <row r="66" spans="1:10" x14ac:dyDescent="0.3">
      <c r="A66" s="67" t="str">
        <f t="shared" si="1"/>
        <v/>
      </c>
      <c r="B66" s="68"/>
      <c r="C66" s="69"/>
      <c r="D66" s="69"/>
      <c r="E66" s="69"/>
      <c r="F66" s="69"/>
      <c r="G66" s="69"/>
      <c r="H66" s="69"/>
      <c r="I66" s="69"/>
      <c r="J66" s="69"/>
    </row>
    <row r="67" spans="1:10" x14ac:dyDescent="0.3">
      <c r="A67" s="67" t="str">
        <f t="shared" si="1"/>
        <v/>
      </c>
      <c r="B67" s="68"/>
      <c r="C67" s="69"/>
      <c r="D67" s="69"/>
      <c r="E67" s="69"/>
      <c r="F67" s="69"/>
      <c r="G67" s="69"/>
      <c r="H67" s="69"/>
      <c r="I67" s="69"/>
      <c r="J67" s="69"/>
    </row>
    <row r="68" spans="1:10" x14ac:dyDescent="0.3">
      <c r="A68" s="67" t="str">
        <f t="shared" si="1"/>
        <v/>
      </c>
      <c r="B68" s="68"/>
      <c r="C68" s="69"/>
      <c r="D68" s="69"/>
      <c r="E68" s="69"/>
      <c r="F68" s="69"/>
      <c r="G68" s="69"/>
      <c r="H68" s="69"/>
      <c r="I68" s="69"/>
      <c r="J68" s="69"/>
    </row>
    <row r="69" spans="1:10" x14ac:dyDescent="0.3">
      <c r="A69" s="67" t="str">
        <f t="shared" ref="A69:A100" si="2">IF(B69="","",ROW()-4)</f>
        <v/>
      </c>
      <c r="B69" s="68"/>
      <c r="C69" s="69"/>
      <c r="D69" s="69"/>
      <c r="E69" s="69"/>
      <c r="F69" s="69"/>
      <c r="G69" s="69"/>
      <c r="H69" s="69"/>
      <c r="I69" s="69"/>
      <c r="J69" s="69"/>
    </row>
    <row r="70" spans="1:10" x14ac:dyDescent="0.3">
      <c r="A70" s="67" t="str">
        <f t="shared" si="2"/>
        <v/>
      </c>
      <c r="B70" s="68"/>
      <c r="C70" s="69"/>
      <c r="D70" s="69"/>
      <c r="E70" s="69"/>
      <c r="F70" s="69"/>
      <c r="G70" s="69"/>
      <c r="H70" s="69"/>
      <c r="I70" s="69"/>
      <c r="J70" s="69"/>
    </row>
    <row r="71" spans="1:10" x14ac:dyDescent="0.3">
      <c r="A71" s="67" t="str">
        <f t="shared" si="2"/>
        <v/>
      </c>
      <c r="B71" s="68"/>
      <c r="C71" s="69"/>
      <c r="D71" s="69"/>
      <c r="E71" s="69"/>
      <c r="F71" s="69"/>
      <c r="G71" s="69"/>
      <c r="H71" s="69"/>
      <c r="I71" s="69"/>
      <c r="J71" s="69"/>
    </row>
    <row r="72" spans="1:10" x14ac:dyDescent="0.3">
      <c r="A72" s="67" t="str">
        <f t="shared" si="2"/>
        <v/>
      </c>
      <c r="B72" s="68"/>
      <c r="C72" s="69"/>
      <c r="D72" s="69"/>
      <c r="E72" s="69"/>
      <c r="F72" s="69"/>
      <c r="G72" s="69"/>
      <c r="H72" s="69"/>
      <c r="I72" s="69"/>
      <c r="J72" s="69"/>
    </row>
    <row r="73" spans="1:10" x14ac:dyDescent="0.3">
      <c r="A73" s="67" t="str">
        <f t="shared" si="2"/>
        <v/>
      </c>
      <c r="B73" s="68"/>
      <c r="C73" s="69"/>
      <c r="D73" s="69"/>
      <c r="E73" s="69"/>
      <c r="F73" s="69"/>
      <c r="G73" s="69"/>
      <c r="H73" s="69"/>
      <c r="I73" s="69"/>
      <c r="J73" s="69"/>
    </row>
    <row r="74" spans="1:10" x14ac:dyDescent="0.3">
      <c r="A74" s="67" t="str">
        <f t="shared" si="2"/>
        <v/>
      </c>
      <c r="B74" s="68"/>
      <c r="C74" s="69"/>
      <c r="D74" s="69"/>
      <c r="E74" s="69"/>
      <c r="F74" s="69"/>
      <c r="G74" s="69"/>
      <c r="H74" s="69"/>
      <c r="I74" s="69"/>
      <c r="J74" s="69"/>
    </row>
    <row r="75" spans="1:10" x14ac:dyDescent="0.3">
      <c r="A75" s="67" t="str">
        <f t="shared" si="2"/>
        <v/>
      </c>
      <c r="B75" s="68"/>
      <c r="C75" s="69"/>
      <c r="D75" s="69"/>
      <c r="E75" s="69"/>
      <c r="F75" s="69"/>
      <c r="G75" s="69"/>
      <c r="H75" s="69"/>
      <c r="I75" s="69"/>
      <c r="J75" s="69"/>
    </row>
    <row r="76" spans="1:10" x14ac:dyDescent="0.3">
      <c r="A76" s="67" t="str">
        <f t="shared" si="2"/>
        <v/>
      </c>
      <c r="B76" s="68"/>
      <c r="C76" s="69"/>
      <c r="D76" s="69"/>
      <c r="E76" s="69"/>
      <c r="F76" s="69"/>
      <c r="G76" s="69"/>
      <c r="H76" s="69"/>
      <c r="I76" s="69"/>
      <c r="J76" s="69"/>
    </row>
    <row r="77" spans="1:10" x14ac:dyDescent="0.3">
      <c r="A77" s="67" t="str">
        <f t="shared" si="2"/>
        <v/>
      </c>
      <c r="B77" s="68"/>
      <c r="C77" s="69"/>
      <c r="D77" s="69"/>
      <c r="E77" s="69"/>
      <c r="F77" s="69"/>
      <c r="G77" s="69"/>
      <c r="H77" s="69"/>
      <c r="I77" s="69"/>
      <c r="J77" s="69"/>
    </row>
    <row r="78" spans="1:10" x14ac:dyDescent="0.3">
      <c r="A78" s="67" t="str">
        <f t="shared" si="2"/>
        <v/>
      </c>
      <c r="B78" s="68"/>
      <c r="C78" s="69"/>
      <c r="D78" s="69"/>
      <c r="E78" s="69"/>
      <c r="F78" s="69"/>
      <c r="G78" s="69"/>
      <c r="H78" s="69"/>
      <c r="I78" s="69"/>
      <c r="J78" s="69"/>
    </row>
    <row r="79" spans="1:10" x14ac:dyDescent="0.3">
      <c r="A79" s="67" t="str">
        <f t="shared" si="2"/>
        <v/>
      </c>
      <c r="B79" s="68"/>
      <c r="C79" s="69"/>
      <c r="D79" s="69"/>
      <c r="E79" s="69"/>
      <c r="F79" s="69"/>
      <c r="G79" s="69"/>
      <c r="H79" s="69"/>
      <c r="I79" s="69"/>
      <c r="J79" s="69"/>
    </row>
    <row r="80" spans="1:10" x14ac:dyDescent="0.3">
      <c r="A80" s="67" t="str">
        <f t="shared" si="2"/>
        <v/>
      </c>
      <c r="B80" s="68"/>
      <c r="C80" s="69"/>
      <c r="D80" s="69"/>
      <c r="E80" s="69"/>
      <c r="F80" s="69"/>
      <c r="G80" s="69"/>
      <c r="H80" s="69"/>
      <c r="I80" s="69"/>
      <c r="J80" s="69"/>
    </row>
    <row r="81" spans="1:10" x14ac:dyDescent="0.3">
      <c r="A81" s="67" t="str">
        <f t="shared" si="2"/>
        <v/>
      </c>
      <c r="B81" s="68"/>
      <c r="C81" s="69"/>
      <c r="D81" s="69"/>
      <c r="E81" s="69"/>
      <c r="F81" s="69"/>
      <c r="G81" s="69"/>
      <c r="H81" s="69"/>
      <c r="I81" s="69"/>
      <c r="J81" s="69"/>
    </row>
    <row r="82" spans="1:10" x14ac:dyDescent="0.3">
      <c r="A82" s="67" t="str">
        <f t="shared" si="2"/>
        <v/>
      </c>
      <c r="B82" s="68"/>
      <c r="C82" s="69"/>
      <c r="D82" s="69"/>
      <c r="E82" s="69"/>
      <c r="F82" s="69"/>
      <c r="G82" s="69"/>
      <c r="H82" s="69"/>
      <c r="I82" s="69"/>
      <c r="J82" s="69"/>
    </row>
    <row r="83" spans="1:10" x14ac:dyDescent="0.3">
      <c r="A83" s="67" t="str">
        <f t="shared" si="2"/>
        <v/>
      </c>
      <c r="B83" s="68"/>
      <c r="C83" s="69"/>
      <c r="D83" s="69"/>
      <c r="E83" s="69"/>
      <c r="F83" s="69"/>
      <c r="G83" s="69"/>
      <c r="H83" s="69"/>
      <c r="I83" s="69"/>
      <c r="J83" s="69"/>
    </row>
    <row r="84" spans="1:10" x14ac:dyDescent="0.3">
      <c r="A84" s="67" t="str">
        <f t="shared" si="2"/>
        <v/>
      </c>
      <c r="B84" s="68"/>
      <c r="C84" s="69"/>
      <c r="D84" s="69"/>
      <c r="E84" s="69"/>
      <c r="F84" s="69"/>
      <c r="G84" s="69"/>
      <c r="H84" s="69"/>
      <c r="I84" s="69"/>
      <c r="J84" s="69"/>
    </row>
    <row r="85" spans="1:10" x14ac:dyDescent="0.3">
      <c r="A85" s="67" t="str">
        <f t="shared" si="2"/>
        <v/>
      </c>
      <c r="B85" s="68"/>
      <c r="C85" s="69"/>
      <c r="D85" s="69"/>
      <c r="E85" s="69"/>
      <c r="F85" s="69"/>
      <c r="G85" s="69"/>
      <c r="H85" s="69"/>
      <c r="I85" s="69"/>
      <c r="J85" s="69"/>
    </row>
    <row r="86" spans="1:10" x14ac:dyDescent="0.3">
      <c r="A86" s="67" t="str">
        <f t="shared" si="2"/>
        <v/>
      </c>
      <c r="B86" s="68"/>
      <c r="C86" s="69"/>
      <c r="D86" s="69"/>
      <c r="E86" s="69"/>
      <c r="F86" s="69"/>
      <c r="G86" s="69"/>
      <c r="H86" s="69"/>
      <c r="I86" s="69"/>
      <c r="J86" s="69"/>
    </row>
    <row r="87" spans="1:10" x14ac:dyDescent="0.3">
      <c r="A87" s="67" t="str">
        <f t="shared" si="2"/>
        <v/>
      </c>
      <c r="B87" s="68"/>
      <c r="C87" s="69"/>
      <c r="D87" s="69"/>
      <c r="E87" s="69"/>
      <c r="F87" s="69"/>
      <c r="G87" s="69"/>
      <c r="H87" s="69"/>
      <c r="I87" s="69"/>
      <c r="J87" s="69"/>
    </row>
    <row r="88" spans="1:10" x14ac:dyDescent="0.3">
      <c r="A88" s="67" t="str">
        <f t="shared" si="2"/>
        <v/>
      </c>
      <c r="B88" s="68"/>
      <c r="C88" s="69"/>
      <c r="D88" s="69"/>
      <c r="E88" s="69"/>
      <c r="F88" s="69"/>
      <c r="G88" s="69"/>
      <c r="H88" s="69"/>
      <c r="I88" s="69"/>
      <c r="J88" s="69"/>
    </row>
    <row r="89" spans="1:10" x14ac:dyDescent="0.3">
      <c r="A89" s="67" t="str">
        <f t="shared" si="2"/>
        <v/>
      </c>
      <c r="B89" s="68"/>
      <c r="C89" s="69"/>
      <c r="D89" s="69"/>
      <c r="E89" s="69"/>
      <c r="F89" s="69"/>
      <c r="G89" s="69"/>
      <c r="H89" s="69"/>
      <c r="I89" s="69"/>
      <c r="J89" s="69"/>
    </row>
    <row r="90" spans="1:10" x14ac:dyDescent="0.3">
      <c r="A90" s="67" t="str">
        <f t="shared" si="2"/>
        <v/>
      </c>
      <c r="B90" s="68"/>
      <c r="C90" s="69"/>
      <c r="D90" s="69"/>
      <c r="E90" s="69"/>
      <c r="F90" s="69"/>
      <c r="G90" s="69"/>
      <c r="H90" s="69"/>
      <c r="I90" s="69"/>
      <c r="J90" s="69"/>
    </row>
    <row r="91" spans="1:10" x14ac:dyDescent="0.3">
      <c r="A91" s="67" t="str">
        <f t="shared" si="2"/>
        <v/>
      </c>
      <c r="B91" s="68"/>
      <c r="C91" s="69"/>
      <c r="D91" s="69"/>
      <c r="E91" s="69"/>
      <c r="F91" s="69"/>
      <c r="G91" s="69"/>
      <c r="H91" s="69"/>
      <c r="I91" s="69"/>
      <c r="J91" s="69"/>
    </row>
    <row r="92" spans="1:10" x14ac:dyDescent="0.3">
      <c r="A92" s="67" t="str">
        <f t="shared" si="2"/>
        <v/>
      </c>
      <c r="B92" s="68"/>
      <c r="C92" s="69"/>
      <c r="D92" s="69"/>
      <c r="E92" s="69"/>
      <c r="F92" s="69"/>
      <c r="G92" s="69"/>
      <c r="H92" s="69"/>
      <c r="I92" s="69"/>
      <c r="J92" s="69"/>
    </row>
    <row r="93" spans="1:10" x14ac:dyDescent="0.3">
      <c r="A93" s="67" t="str">
        <f t="shared" si="2"/>
        <v/>
      </c>
      <c r="B93" s="68"/>
      <c r="C93" s="69"/>
      <c r="D93" s="69"/>
      <c r="E93" s="69"/>
      <c r="F93" s="69"/>
      <c r="G93" s="69"/>
      <c r="H93" s="69"/>
      <c r="I93" s="69"/>
      <c r="J93" s="69"/>
    </row>
    <row r="94" spans="1:10" x14ac:dyDescent="0.3">
      <c r="A94" s="67" t="str">
        <f t="shared" si="2"/>
        <v/>
      </c>
      <c r="B94" s="68"/>
      <c r="C94" s="69"/>
      <c r="D94" s="69"/>
      <c r="E94" s="69"/>
      <c r="F94" s="69"/>
      <c r="G94" s="69"/>
      <c r="H94" s="69"/>
      <c r="I94" s="69"/>
      <c r="J94" s="69"/>
    </row>
    <row r="95" spans="1:10" x14ac:dyDescent="0.3">
      <c r="A95" s="67" t="str">
        <f t="shared" si="2"/>
        <v/>
      </c>
      <c r="B95" s="68"/>
      <c r="C95" s="69"/>
      <c r="D95" s="69"/>
      <c r="E95" s="69"/>
      <c r="F95" s="69"/>
      <c r="G95" s="69"/>
      <c r="H95" s="69"/>
      <c r="I95" s="69"/>
      <c r="J95" s="69"/>
    </row>
    <row r="96" spans="1:10" x14ac:dyDescent="0.3">
      <c r="A96" s="67" t="str">
        <f t="shared" si="2"/>
        <v/>
      </c>
      <c r="B96" s="68"/>
      <c r="C96" s="69"/>
      <c r="D96" s="69"/>
      <c r="E96" s="69"/>
      <c r="F96" s="69"/>
      <c r="G96" s="69"/>
      <c r="H96" s="69"/>
      <c r="I96" s="69"/>
      <c r="J96" s="69"/>
    </row>
    <row r="97" spans="1:10" x14ac:dyDescent="0.3">
      <c r="A97" s="67" t="str">
        <f t="shared" si="2"/>
        <v/>
      </c>
      <c r="B97" s="68"/>
      <c r="C97" s="69"/>
      <c r="D97" s="69"/>
      <c r="E97" s="69"/>
      <c r="F97" s="69"/>
      <c r="G97" s="69"/>
      <c r="H97" s="69"/>
      <c r="I97" s="69"/>
      <c r="J97" s="69"/>
    </row>
    <row r="98" spans="1:10" x14ac:dyDescent="0.3">
      <c r="A98" s="67" t="str">
        <f t="shared" si="2"/>
        <v/>
      </c>
      <c r="B98" s="68"/>
      <c r="C98" s="69"/>
      <c r="D98" s="69"/>
      <c r="E98" s="69"/>
      <c r="F98" s="69"/>
      <c r="G98" s="69"/>
      <c r="H98" s="69"/>
      <c r="I98" s="69"/>
      <c r="J98" s="69"/>
    </row>
    <row r="99" spans="1:10" x14ac:dyDescent="0.3">
      <c r="A99" s="67" t="str">
        <f t="shared" si="2"/>
        <v/>
      </c>
      <c r="B99" s="68"/>
      <c r="C99" s="69"/>
      <c r="D99" s="69"/>
      <c r="E99" s="69"/>
      <c r="F99" s="69"/>
      <c r="G99" s="69"/>
      <c r="H99" s="69"/>
      <c r="I99" s="69"/>
      <c r="J99" s="69"/>
    </row>
    <row r="100" spans="1:10" x14ac:dyDescent="0.3">
      <c r="A100" s="67" t="str">
        <f t="shared" si="2"/>
        <v/>
      </c>
      <c r="B100" s="68"/>
      <c r="C100" s="69"/>
      <c r="D100" s="69"/>
      <c r="E100" s="69"/>
      <c r="F100" s="69"/>
      <c r="G100" s="69"/>
      <c r="H100" s="69"/>
      <c r="I100" s="69"/>
      <c r="J100" s="69"/>
    </row>
    <row r="101" spans="1:10" x14ac:dyDescent="0.3">
      <c r="A101" s="67" t="str">
        <f t="shared" ref="A101:A132" si="3">IF(B101="","",ROW()-4)</f>
        <v/>
      </c>
      <c r="B101" s="68"/>
      <c r="C101" s="69"/>
      <c r="D101" s="69"/>
      <c r="E101" s="69"/>
      <c r="F101" s="69"/>
      <c r="G101" s="69"/>
      <c r="H101" s="69"/>
      <c r="I101" s="69"/>
      <c r="J101" s="69"/>
    </row>
    <row r="102" spans="1:10" x14ac:dyDescent="0.3">
      <c r="A102" s="67" t="str">
        <f t="shared" si="3"/>
        <v/>
      </c>
      <c r="B102" s="68"/>
      <c r="C102" s="69"/>
      <c r="D102" s="69"/>
      <c r="E102" s="69"/>
      <c r="F102" s="69"/>
      <c r="G102" s="69"/>
      <c r="H102" s="69"/>
      <c r="I102" s="69"/>
      <c r="J102" s="69"/>
    </row>
    <row r="103" spans="1:10" x14ac:dyDescent="0.3">
      <c r="A103" s="67" t="str">
        <f t="shared" si="3"/>
        <v/>
      </c>
      <c r="B103" s="68"/>
      <c r="C103" s="69"/>
      <c r="D103" s="69"/>
      <c r="E103" s="69"/>
      <c r="F103" s="69"/>
      <c r="G103" s="69"/>
      <c r="H103" s="69"/>
      <c r="I103" s="69"/>
      <c r="J103" s="69"/>
    </row>
    <row r="104" spans="1:10" x14ac:dyDescent="0.3">
      <c r="A104" s="67" t="str">
        <f t="shared" si="3"/>
        <v/>
      </c>
      <c r="B104" s="68"/>
      <c r="C104" s="69"/>
      <c r="D104" s="69"/>
      <c r="E104" s="69"/>
      <c r="F104" s="69"/>
      <c r="G104" s="69"/>
      <c r="H104" s="69"/>
      <c r="I104" s="69"/>
      <c r="J104" s="69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entry" error="Pick a value from the list" xr:uid="{00000000-0002-0000-0500-000000000000}">
          <x14:formula1>
            <xm:f>KPI_Targets!$B$5:$B$20</xm:f>
          </x14:formula1>
          <x14:formula2>
            <xm:f>0</xm:f>
          </x14:formula2>
          <xm:sqref>C5:C104</xm:sqref>
        </x14:dataValidation>
        <x14:dataValidation type="list" allowBlank="1" errorTitle="Invalid entry" error="Pick a value from the list" xr:uid="{00000000-0002-0000-0500-000001000000}">
          <x14:formula1>
            <xm:f>Settings!$P$4:$P$30</xm:f>
          </x14:formula1>
          <x14:formula2>
            <xm:f>0</xm:f>
          </x14:formula2>
          <xm:sqref>I5:J104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5A11"/>
  </sheetPr>
  <dimension ref="A1:O5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9" customWidth="1"/>
    <col min="2" max="2" width="11" customWidth="1"/>
    <col min="3" max="3" width="30" customWidth="1"/>
    <col min="4" max="4" width="10" customWidth="1"/>
    <col min="5" max="5" width="11" customWidth="1"/>
    <col min="6" max="6" width="34" customWidth="1"/>
    <col min="7" max="7" width="38" customWidth="1"/>
    <col min="8" max="8" width="12" customWidth="1"/>
    <col min="9" max="9" width="11" customWidth="1"/>
    <col min="10" max="11" width="12" customWidth="1"/>
    <col min="12" max="12" width="11" customWidth="1"/>
    <col min="13" max="14" width="12" customWidth="1"/>
    <col min="15" max="15" width="26" customWidth="1"/>
  </cols>
  <sheetData>
    <row r="1" spans="1:15" ht="21" x14ac:dyDescent="0.4">
      <c r="A1" s="40" t="s">
        <v>254</v>
      </c>
    </row>
    <row r="2" spans="1:15" x14ac:dyDescent="0.3">
      <c r="A2" s="41" t="s">
        <v>255</v>
      </c>
    </row>
    <row r="3" spans="1:15" x14ac:dyDescent="0.3">
      <c r="E3" s="72" t="s">
        <v>256</v>
      </c>
    </row>
    <row r="4" spans="1:15" ht="31.5" customHeight="1" x14ac:dyDescent="0.3">
      <c r="A4" s="42" t="s">
        <v>257</v>
      </c>
      <c r="B4" s="42" t="s">
        <v>258</v>
      </c>
      <c r="C4" s="42" t="s">
        <v>259</v>
      </c>
      <c r="D4" s="42" t="s">
        <v>260</v>
      </c>
      <c r="E4" s="42" t="s">
        <v>261</v>
      </c>
      <c r="F4" s="42" t="s">
        <v>262</v>
      </c>
      <c r="G4" s="42" t="s">
        <v>263</v>
      </c>
      <c r="H4" s="42" t="s">
        <v>150</v>
      </c>
      <c r="I4" s="42" t="s">
        <v>264</v>
      </c>
      <c r="J4" s="42" t="s">
        <v>99</v>
      </c>
      <c r="K4" s="42" t="s">
        <v>265</v>
      </c>
      <c r="L4" s="42" t="s">
        <v>266</v>
      </c>
      <c r="M4" s="42" t="s">
        <v>267</v>
      </c>
      <c r="N4" s="42" t="s">
        <v>268</v>
      </c>
      <c r="O4" s="42" t="s">
        <v>269</v>
      </c>
    </row>
    <row r="5" spans="1:15" x14ac:dyDescent="0.3">
      <c r="A5" s="69" t="s">
        <v>270</v>
      </c>
      <c r="B5" s="68">
        <v>46056</v>
      </c>
      <c r="C5" s="69" t="s">
        <v>152</v>
      </c>
      <c r="D5" s="69" t="s">
        <v>271</v>
      </c>
      <c r="E5" s="69">
        <v>-0.08</v>
      </c>
      <c r="F5" s="69" t="s">
        <v>272</v>
      </c>
      <c r="G5" s="69" t="s">
        <v>273</v>
      </c>
      <c r="H5" s="69" t="s">
        <v>159</v>
      </c>
      <c r="I5" s="68">
        <v>46081</v>
      </c>
      <c r="J5" s="69" t="s">
        <v>274</v>
      </c>
      <c r="K5" s="68">
        <v>46073</v>
      </c>
      <c r="L5" s="69">
        <v>-0.03</v>
      </c>
      <c r="M5" s="67" t="str">
        <f>IF(OR(C5="",E5="",L5=""),"",IF(INDEX(KPI_Targets!$F$5:$F$20,MATCH(C5,KPI_Targets!$B$5:$B$20,0))="Higher",IF(L5&gt;E5,"Improved",IF(L5=E5,"No change","Worse")),IF(L5&lt;E5,"Improved",IF(L5=E5,"No change","Worse"))))</f>
        <v>Improved</v>
      </c>
      <c r="N5" s="67" t="str">
        <f t="shared" ref="N5:N68" ca="1" si="0">IF(B5="","",IF(OR(J5="Implemented",J5="Cancelled"),"Closed",IF(AND(I5&lt;&gt;"",I5&lt;TODAY()),"OVERDUE","On track")))</f>
        <v>Closed</v>
      </c>
      <c r="O5" s="69"/>
    </row>
    <row r="6" spans="1:15" x14ac:dyDescent="0.3">
      <c r="A6" s="69" t="s">
        <v>275</v>
      </c>
      <c r="B6" s="68">
        <v>46063</v>
      </c>
      <c r="C6" s="69" t="s">
        <v>190</v>
      </c>
      <c r="D6" s="69"/>
      <c r="E6" s="69">
        <v>15.5</v>
      </c>
      <c r="F6" s="69" t="s">
        <v>276</v>
      </c>
      <c r="G6" s="69" t="s">
        <v>277</v>
      </c>
      <c r="H6" s="69" t="s">
        <v>164</v>
      </c>
      <c r="I6" s="68">
        <v>46096</v>
      </c>
      <c r="J6" s="69" t="s">
        <v>274</v>
      </c>
      <c r="K6" s="68">
        <v>46091</v>
      </c>
      <c r="L6" s="69">
        <v>8.1999999999999993</v>
      </c>
      <c r="M6" s="67" t="str">
        <f>IF(OR(C6="",E6="",L6=""),"",IF(INDEX(KPI_Targets!$F$5:$F$20,MATCH(C6,KPI_Targets!$B$5:$B$20,0))="Higher",IF(L6&gt;E6,"Improved",IF(L6=E6,"No change","Worse")),IF(L6&lt;E6,"Improved",IF(L6=E6,"No change","Worse"))))</f>
        <v>Improved</v>
      </c>
      <c r="N6" s="67" t="str">
        <f t="shared" ca="1" si="0"/>
        <v>Closed</v>
      </c>
      <c r="O6" s="69"/>
    </row>
    <row r="7" spans="1:15" x14ac:dyDescent="0.3">
      <c r="A7" s="69" t="s">
        <v>278</v>
      </c>
      <c r="B7" s="68">
        <v>46086</v>
      </c>
      <c r="C7" s="69" t="s">
        <v>219</v>
      </c>
      <c r="D7" s="69"/>
      <c r="E7" s="69">
        <v>9.5</v>
      </c>
      <c r="F7" s="69" t="s">
        <v>279</v>
      </c>
      <c r="G7" s="69" t="s">
        <v>280</v>
      </c>
      <c r="H7" s="69" t="s">
        <v>201</v>
      </c>
      <c r="I7" s="68">
        <v>46112</v>
      </c>
      <c r="J7" s="69" t="s">
        <v>274</v>
      </c>
      <c r="K7" s="68">
        <v>46106</v>
      </c>
      <c r="L7" s="69">
        <v>6</v>
      </c>
      <c r="M7" s="67" t="str">
        <f>IF(OR(C7="",E7="",L7=""),"",IF(INDEX(KPI_Targets!$F$5:$F$20,MATCH(C7,KPI_Targets!$B$5:$B$20,0))="Higher",IF(L7&gt;E7,"Improved",IF(L7=E7,"No change","Worse")),IF(L7&lt;E7,"Improved",IF(L7=E7,"No change","Worse"))))</f>
        <v>Improved</v>
      </c>
      <c r="N7" s="67" t="str">
        <f t="shared" ca="1" si="0"/>
        <v>Closed</v>
      </c>
      <c r="O7" s="69"/>
    </row>
    <row r="8" spans="1:15" x14ac:dyDescent="0.3">
      <c r="A8" s="69" t="s">
        <v>281</v>
      </c>
      <c r="B8" s="68">
        <v>46120</v>
      </c>
      <c r="C8" s="69" t="s">
        <v>161</v>
      </c>
      <c r="D8" s="69" t="s">
        <v>282</v>
      </c>
      <c r="E8" s="69">
        <v>-7.0000000000000007E-2</v>
      </c>
      <c r="F8" s="69" t="s">
        <v>283</v>
      </c>
      <c r="G8" s="69" t="s">
        <v>284</v>
      </c>
      <c r="H8" s="69" t="s">
        <v>183</v>
      </c>
      <c r="I8" s="68">
        <v>46157</v>
      </c>
      <c r="J8" s="69" t="s">
        <v>274</v>
      </c>
      <c r="K8" s="68">
        <v>46154</v>
      </c>
      <c r="L8" s="69">
        <v>-0.05</v>
      </c>
      <c r="M8" s="67" t="str">
        <f>IF(OR(C8="",E8="",L8=""),"",IF(INDEX(KPI_Targets!$F$5:$F$20,MATCH(C8,KPI_Targets!$B$5:$B$20,0))="Higher",IF(L8&gt;E8,"Improved",IF(L8=E8,"No change","Worse")),IF(L8&lt;E8,"Improved",IF(L8=E8,"No change","Worse"))))</f>
        <v>Improved</v>
      </c>
      <c r="N8" s="67" t="str">
        <f t="shared" ca="1" si="0"/>
        <v>Closed</v>
      </c>
      <c r="O8" s="69"/>
    </row>
    <row r="9" spans="1:15" x14ac:dyDescent="0.3">
      <c r="A9" s="69" t="s">
        <v>285</v>
      </c>
      <c r="B9" s="68">
        <v>46148</v>
      </c>
      <c r="C9" s="69" t="s">
        <v>215</v>
      </c>
      <c r="D9" s="69"/>
      <c r="E9" s="69">
        <v>0.8</v>
      </c>
      <c r="F9" s="69" t="s">
        <v>286</v>
      </c>
      <c r="G9" s="69" t="s">
        <v>287</v>
      </c>
      <c r="H9" s="69" t="s">
        <v>170</v>
      </c>
      <c r="I9" s="68">
        <v>46172</v>
      </c>
      <c r="J9" s="69" t="s">
        <v>274</v>
      </c>
      <c r="K9" s="68">
        <v>46175</v>
      </c>
      <c r="L9" s="69">
        <v>0.9</v>
      </c>
      <c r="M9" s="67" t="str">
        <f>IF(OR(C9="",E9="",L9=""),"",IF(INDEX(KPI_Targets!$F$5:$F$20,MATCH(C9,KPI_Targets!$B$5:$B$20,0))="Higher",IF(L9&gt;E9,"Improved",IF(L9=E9,"No change","Worse")),IF(L9&lt;E9,"Improved",IF(L9=E9,"No change","Worse"))))</f>
        <v>Improved</v>
      </c>
      <c r="N9" s="67" t="str">
        <f t="shared" ca="1" si="0"/>
        <v>Closed</v>
      </c>
      <c r="O9" s="69"/>
    </row>
    <row r="10" spans="1:15" x14ac:dyDescent="0.3">
      <c r="A10" s="69" t="s">
        <v>288</v>
      </c>
      <c r="B10" s="68">
        <v>46177</v>
      </c>
      <c r="C10" s="69" t="s">
        <v>178</v>
      </c>
      <c r="D10" s="69"/>
      <c r="E10" s="69">
        <v>1.1000000000000001</v>
      </c>
      <c r="F10" s="69" t="s">
        <v>289</v>
      </c>
      <c r="G10" s="69" t="s">
        <v>290</v>
      </c>
      <c r="H10" s="69" t="s">
        <v>188</v>
      </c>
      <c r="I10" s="68">
        <v>46218</v>
      </c>
      <c r="J10" s="69" t="s">
        <v>274</v>
      </c>
      <c r="K10" s="68">
        <v>46213</v>
      </c>
      <c r="L10" s="69">
        <v>0.6</v>
      </c>
      <c r="M10" s="67" t="str">
        <f>IF(OR(C10="",E10="",L10=""),"",IF(INDEX(KPI_Targets!$F$5:$F$20,MATCH(C10,KPI_Targets!$B$5:$B$20,0))="Higher",IF(L10&gt;E10,"Improved",IF(L10=E10,"No change","Worse")),IF(L10&lt;E10,"Improved",IF(L10=E10,"No change","Worse"))))</f>
        <v>Improved</v>
      </c>
      <c r="N10" s="67" t="str">
        <f t="shared" ca="1" si="0"/>
        <v>Closed</v>
      </c>
      <c r="O10" s="69"/>
    </row>
    <row r="11" spans="1:15" x14ac:dyDescent="0.3">
      <c r="A11" s="69" t="s">
        <v>291</v>
      </c>
      <c r="B11" s="68">
        <v>46239</v>
      </c>
      <c r="C11" s="69" t="s">
        <v>211</v>
      </c>
      <c r="D11" s="69" t="s">
        <v>292</v>
      </c>
      <c r="E11" s="69">
        <v>0.75</v>
      </c>
      <c r="F11" s="69" t="s">
        <v>293</v>
      </c>
      <c r="G11" s="69" t="s">
        <v>294</v>
      </c>
      <c r="H11" s="69" t="s">
        <v>159</v>
      </c>
      <c r="I11" s="68">
        <v>46280</v>
      </c>
      <c r="J11" s="69" t="s">
        <v>274</v>
      </c>
      <c r="K11" s="68">
        <v>46285</v>
      </c>
      <c r="L11" s="69">
        <v>0.83</v>
      </c>
      <c r="M11" s="67" t="str">
        <f>IF(OR(C11="",E11="",L11=""),"",IF(INDEX(KPI_Targets!$F$5:$F$20,MATCH(C11,KPI_Targets!$B$5:$B$20,0))="Higher",IF(L11&gt;E11,"Improved",IF(L11=E11,"No change","Worse")),IF(L11&lt;E11,"Improved",IF(L11=E11,"No change","Worse"))))</f>
        <v>Improved</v>
      </c>
      <c r="N11" s="67" t="str">
        <f t="shared" ca="1" si="0"/>
        <v>Closed</v>
      </c>
      <c r="O11" s="69"/>
    </row>
    <row r="12" spans="1:15" x14ac:dyDescent="0.3">
      <c r="A12" s="69" t="s">
        <v>295</v>
      </c>
      <c r="B12" s="68">
        <v>46272</v>
      </c>
      <c r="C12" s="69" t="s">
        <v>223</v>
      </c>
      <c r="D12" s="69"/>
      <c r="E12" s="69">
        <v>0.91</v>
      </c>
      <c r="F12" s="69" t="s">
        <v>296</v>
      </c>
      <c r="G12" s="69" t="s">
        <v>297</v>
      </c>
      <c r="H12" s="69" t="s">
        <v>176</v>
      </c>
      <c r="I12" s="68">
        <v>46310</v>
      </c>
      <c r="J12" s="69" t="s">
        <v>298</v>
      </c>
      <c r="K12" s="68"/>
      <c r="L12" s="69"/>
      <c r="M12" s="67" t="str">
        <f>IF(OR(C12="",E12="",L12=""),"",IF(INDEX(KPI_Targets!$F$5:$F$20,MATCH(C12,KPI_Targets!$B$5:$B$20,0))="Higher",IF(L12&gt;E12,"Improved",IF(L12=E12,"No change","Worse")),IF(L12&lt;E12,"Improved",IF(L12=E12,"No change","Worse"))))</f>
        <v/>
      </c>
      <c r="N12" s="67" t="str">
        <f t="shared" ca="1" si="0"/>
        <v>OVERDUE</v>
      </c>
      <c r="O12" s="69"/>
    </row>
    <row r="13" spans="1:15" x14ac:dyDescent="0.3">
      <c r="A13" s="69" t="s">
        <v>299</v>
      </c>
      <c r="B13" s="68">
        <v>46301</v>
      </c>
      <c r="C13" s="69" t="s">
        <v>161</v>
      </c>
      <c r="D13" s="69" t="s">
        <v>292</v>
      </c>
      <c r="E13" s="69">
        <v>-0.06</v>
      </c>
      <c r="F13" s="69" t="s">
        <v>300</v>
      </c>
      <c r="G13" s="69" t="s">
        <v>301</v>
      </c>
      <c r="H13" s="69" t="s">
        <v>159</v>
      </c>
      <c r="I13" s="68">
        <v>46315</v>
      </c>
      <c r="J13" s="69" t="s">
        <v>302</v>
      </c>
      <c r="K13" s="68"/>
      <c r="L13" s="69"/>
      <c r="M13" s="67" t="str">
        <f>IF(OR(C13="",E13="",L13=""),"",IF(INDEX(KPI_Targets!$F$5:$F$20,MATCH(C13,KPI_Targets!$B$5:$B$20,0))="Higher",IF(L13&gt;E13,"Improved",IF(L13=E13,"No change","Worse")),IF(L13&lt;E13,"Improved",IF(L13=E13,"No change","Worse"))))</f>
        <v/>
      </c>
      <c r="N13" s="67" t="str">
        <f t="shared" ca="1" si="0"/>
        <v>OVERDUE</v>
      </c>
      <c r="O13" s="69"/>
    </row>
    <row r="14" spans="1:15" x14ac:dyDescent="0.3">
      <c r="A14" s="69" t="s">
        <v>303</v>
      </c>
      <c r="B14" s="68">
        <v>46303</v>
      </c>
      <c r="C14" s="69" t="s">
        <v>203</v>
      </c>
      <c r="D14" s="69"/>
      <c r="E14" s="69">
        <v>0.78</v>
      </c>
      <c r="F14" s="69" t="s">
        <v>304</v>
      </c>
      <c r="G14" s="69" t="s">
        <v>305</v>
      </c>
      <c r="H14" s="69" t="s">
        <v>170</v>
      </c>
      <c r="I14" s="68">
        <v>46341</v>
      </c>
      <c r="J14" s="69" t="s">
        <v>302</v>
      </c>
      <c r="K14" s="68"/>
      <c r="L14" s="69"/>
      <c r="M14" s="67" t="str">
        <f>IF(OR(C14="",E14="",L14=""),"",IF(INDEX(KPI_Targets!$F$5:$F$20,MATCH(C14,KPI_Targets!$B$5:$B$20,0))="Higher",IF(L14&gt;E14,"Improved",IF(L14=E14,"No change","Worse")),IF(L14&lt;E14,"Improved",IF(L14=E14,"No change","Worse"))))</f>
        <v/>
      </c>
      <c r="N14" s="67" t="str">
        <f t="shared" ca="1" si="0"/>
        <v>On track</v>
      </c>
      <c r="O14" s="69"/>
    </row>
    <row r="15" spans="1:15" x14ac:dyDescent="0.3">
      <c r="A15" s="69"/>
      <c r="B15" s="68"/>
      <c r="C15" s="69"/>
      <c r="D15" s="69"/>
      <c r="E15" s="69"/>
      <c r="F15" s="69"/>
      <c r="G15" s="69"/>
      <c r="H15" s="69"/>
      <c r="I15" s="68"/>
      <c r="J15" s="69"/>
      <c r="K15" s="68"/>
      <c r="L15" s="69"/>
      <c r="M15" s="67" t="str">
        <f>IF(OR(C15="",E15="",L15=""),"",IF(INDEX(KPI_Targets!$F$5:$F$20,MATCH(C15,KPI_Targets!$B$5:$B$20,0))="Higher",IF(L15&gt;E15,"Improved",IF(L15=E15,"No change","Worse")),IF(L15&lt;E15,"Improved",IF(L15=E15,"No change","Worse"))))</f>
        <v/>
      </c>
      <c r="N15" s="67" t="str">
        <f t="shared" ca="1" si="0"/>
        <v/>
      </c>
      <c r="O15" s="69"/>
    </row>
    <row r="16" spans="1:15" x14ac:dyDescent="0.3">
      <c r="A16" s="69"/>
      <c r="B16" s="68"/>
      <c r="C16" s="69"/>
      <c r="D16" s="69"/>
      <c r="E16" s="69"/>
      <c r="F16" s="69"/>
      <c r="G16" s="69"/>
      <c r="H16" s="69"/>
      <c r="I16" s="68"/>
      <c r="J16" s="69"/>
      <c r="K16" s="68"/>
      <c r="L16" s="69"/>
      <c r="M16" s="67" t="str">
        <f>IF(OR(C16="",E16="",L16=""),"",IF(INDEX(KPI_Targets!$F$5:$F$20,MATCH(C16,KPI_Targets!$B$5:$B$20,0))="Higher",IF(L16&gt;E16,"Improved",IF(L16=E16,"No change","Worse")),IF(L16&lt;E16,"Improved",IF(L16=E16,"No change","Worse"))))</f>
        <v/>
      </c>
      <c r="N16" s="67" t="str">
        <f t="shared" ca="1" si="0"/>
        <v/>
      </c>
      <c r="O16" s="69"/>
    </row>
    <row r="17" spans="1:15" x14ac:dyDescent="0.3">
      <c r="A17" s="69"/>
      <c r="B17" s="68"/>
      <c r="C17" s="69"/>
      <c r="D17" s="69"/>
      <c r="E17" s="69"/>
      <c r="F17" s="69"/>
      <c r="G17" s="69"/>
      <c r="H17" s="69"/>
      <c r="I17" s="68"/>
      <c r="J17" s="69"/>
      <c r="K17" s="68"/>
      <c r="L17" s="69"/>
      <c r="M17" s="67" t="str">
        <f>IF(OR(C17="",E17="",L17=""),"",IF(INDEX(KPI_Targets!$F$5:$F$20,MATCH(C17,KPI_Targets!$B$5:$B$20,0))="Higher",IF(L17&gt;E17,"Improved",IF(L17=E17,"No change","Worse")),IF(L17&lt;E17,"Improved",IF(L17=E17,"No change","Worse"))))</f>
        <v/>
      </c>
      <c r="N17" s="67" t="str">
        <f t="shared" ca="1" si="0"/>
        <v/>
      </c>
      <c r="O17" s="69"/>
    </row>
    <row r="18" spans="1:15" x14ac:dyDescent="0.3">
      <c r="A18" s="69"/>
      <c r="B18" s="68"/>
      <c r="C18" s="69"/>
      <c r="D18" s="69"/>
      <c r="E18" s="69"/>
      <c r="F18" s="69"/>
      <c r="G18" s="69"/>
      <c r="H18" s="69"/>
      <c r="I18" s="68"/>
      <c r="J18" s="69"/>
      <c r="K18" s="68"/>
      <c r="L18" s="69"/>
      <c r="M18" s="67" t="str">
        <f>IF(OR(C18="",E18="",L18=""),"",IF(INDEX(KPI_Targets!$F$5:$F$20,MATCH(C18,KPI_Targets!$B$5:$B$20,0))="Higher",IF(L18&gt;E18,"Improved",IF(L18=E18,"No change","Worse")),IF(L18&lt;E18,"Improved",IF(L18=E18,"No change","Worse"))))</f>
        <v/>
      </c>
      <c r="N18" s="67" t="str">
        <f t="shared" ca="1" si="0"/>
        <v/>
      </c>
      <c r="O18" s="69"/>
    </row>
    <row r="19" spans="1:15" x14ac:dyDescent="0.3">
      <c r="A19" s="69"/>
      <c r="B19" s="68"/>
      <c r="C19" s="69"/>
      <c r="D19" s="69"/>
      <c r="E19" s="69"/>
      <c r="F19" s="69"/>
      <c r="G19" s="69"/>
      <c r="H19" s="69"/>
      <c r="I19" s="68"/>
      <c r="J19" s="69"/>
      <c r="K19" s="68"/>
      <c r="L19" s="69"/>
      <c r="M19" s="67" t="str">
        <f>IF(OR(C19="",E19="",L19=""),"",IF(INDEX(KPI_Targets!$F$5:$F$20,MATCH(C19,KPI_Targets!$B$5:$B$20,0))="Higher",IF(L19&gt;E19,"Improved",IF(L19=E19,"No change","Worse")),IF(L19&lt;E19,"Improved",IF(L19=E19,"No change","Worse"))))</f>
        <v/>
      </c>
      <c r="N19" s="67" t="str">
        <f t="shared" ca="1" si="0"/>
        <v/>
      </c>
      <c r="O19" s="69"/>
    </row>
    <row r="20" spans="1:15" x14ac:dyDescent="0.3">
      <c r="A20" s="69"/>
      <c r="B20" s="68"/>
      <c r="C20" s="69"/>
      <c r="D20" s="69"/>
      <c r="E20" s="69"/>
      <c r="F20" s="69"/>
      <c r="G20" s="69"/>
      <c r="H20" s="69"/>
      <c r="I20" s="68"/>
      <c r="J20" s="69"/>
      <c r="K20" s="68"/>
      <c r="L20" s="69"/>
      <c r="M20" s="67" t="str">
        <f>IF(OR(C20="",E20="",L20=""),"",IF(INDEX(KPI_Targets!$F$5:$F$20,MATCH(C20,KPI_Targets!$B$5:$B$20,0))="Higher",IF(L20&gt;E20,"Improved",IF(L20=E20,"No change","Worse")),IF(L20&lt;E20,"Improved",IF(L20=E20,"No change","Worse"))))</f>
        <v/>
      </c>
      <c r="N20" s="67" t="str">
        <f t="shared" ca="1" si="0"/>
        <v/>
      </c>
      <c r="O20" s="69"/>
    </row>
    <row r="21" spans="1:15" x14ac:dyDescent="0.3">
      <c r="A21" s="69"/>
      <c r="B21" s="68"/>
      <c r="C21" s="69"/>
      <c r="D21" s="69"/>
      <c r="E21" s="69"/>
      <c r="F21" s="69"/>
      <c r="G21" s="69"/>
      <c r="H21" s="69"/>
      <c r="I21" s="68"/>
      <c r="J21" s="69"/>
      <c r="K21" s="68"/>
      <c r="L21" s="69"/>
      <c r="M21" s="67" t="str">
        <f>IF(OR(C21="",E21="",L21=""),"",IF(INDEX(KPI_Targets!$F$5:$F$20,MATCH(C21,KPI_Targets!$B$5:$B$20,0))="Higher",IF(L21&gt;E21,"Improved",IF(L21=E21,"No change","Worse")),IF(L21&lt;E21,"Improved",IF(L21=E21,"No change","Worse"))))</f>
        <v/>
      </c>
      <c r="N21" s="67" t="str">
        <f t="shared" ca="1" si="0"/>
        <v/>
      </c>
      <c r="O21" s="69"/>
    </row>
    <row r="22" spans="1:15" x14ac:dyDescent="0.3">
      <c r="A22" s="69"/>
      <c r="B22" s="68"/>
      <c r="C22" s="69"/>
      <c r="D22" s="69"/>
      <c r="E22" s="69"/>
      <c r="F22" s="69"/>
      <c r="G22" s="69"/>
      <c r="H22" s="69"/>
      <c r="I22" s="68"/>
      <c r="J22" s="69"/>
      <c r="K22" s="68"/>
      <c r="L22" s="69"/>
      <c r="M22" s="67" t="str">
        <f>IF(OR(C22="",E22="",L22=""),"",IF(INDEX(KPI_Targets!$F$5:$F$20,MATCH(C22,KPI_Targets!$B$5:$B$20,0))="Higher",IF(L22&gt;E22,"Improved",IF(L22=E22,"No change","Worse")),IF(L22&lt;E22,"Improved",IF(L22=E22,"No change","Worse"))))</f>
        <v/>
      </c>
      <c r="N22" s="67" t="str">
        <f t="shared" ca="1" si="0"/>
        <v/>
      </c>
      <c r="O22" s="69"/>
    </row>
    <row r="23" spans="1:15" x14ac:dyDescent="0.3">
      <c r="A23" s="69"/>
      <c r="B23" s="68"/>
      <c r="C23" s="69"/>
      <c r="D23" s="69"/>
      <c r="E23" s="69"/>
      <c r="F23" s="69"/>
      <c r="G23" s="69"/>
      <c r="H23" s="69"/>
      <c r="I23" s="68"/>
      <c r="J23" s="69"/>
      <c r="K23" s="68"/>
      <c r="L23" s="69"/>
      <c r="M23" s="67" t="str">
        <f>IF(OR(C23="",E23="",L23=""),"",IF(INDEX(KPI_Targets!$F$5:$F$20,MATCH(C23,KPI_Targets!$B$5:$B$20,0))="Higher",IF(L23&gt;E23,"Improved",IF(L23=E23,"No change","Worse")),IF(L23&lt;E23,"Improved",IF(L23=E23,"No change","Worse"))))</f>
        <v/>
      </c>
      <c r="N23" s="67" t="str">
        <f t="shared" ca="1" si="0"/>
        <v/>
      </c>
      <c r="O23" s="69"/>
    </row>
    <row r="24" spans="1:15" x14ac:dyDescent="0.3">
      <c r="A24" s="69"/>
      <c r="B24" s="68"/>
      <c r="C24" s="69"/>
      <c r="D24" s="69"/>
      <c r="E24" s="69"/>
      <c r="F24" s="69"/>
      <c r="G24" s="69"/>
      <c r="H24" s="69"/>
      <c r="I24" s="68"/>
      <c r="J24" s="69"/>
      <c r="K24" s="68"/>
      <c r="L24" s="69"/>
      <c r="M24" s="67" t="str">
        <f>IF(OR(C24="",E24="",L24=""),"",IF(INDEX(KPI_Targets!$F$5:$F$20,MATCH(C24,KPI_Targets!$B$5:$B$20,0))="Higher",IF(L24&gt;E24,"Improved",IF(L24=E24,"No change","Worse")),IF(L24&lt;E24,"Improved",IF(L24=E24,"No change","Worse"))))</f>
        <v/>
      </c>
      <c r="N24" s="67" t="str">
        <f t="shared" ca="1" si="0"/>
        <v/>
      </c>
      <c r="O24" s="69"/>
    </row>
    <row r="25" spans="1:15" x14ac:dyDescent="0.3">
      <c r="A25" s="69"/>
      <c r="B25" s="68"/>
      <c r="C25" s="69"/>
      <c r="D25" s="69"/>
      <c r="E25" s="69"/>
      <c r="F25" s="69"/>
      <c r="G25" s="69"/>
      <c r="H25" s="69"/>
      <c r="I25" s="68"/>
      <c r="J25" s="69"/>
      <c r="K25" s="68"/>
      <c r="L25" s="69"/>
      <c r="M25" s="67" t="str">
        <f>IF(OR(C25="",E25="",L25=""),"",IF(INDEX(KPI_Targets!$F$5:$F$20,MATCH(C25,KPI_Targets!$B$5:$B$20,0))="Higher",IF(L25&gt;E25,"Improved",IF(L25=E25,"No change","Worse")),IF(L25&lt;E25,"Improved",IF(L25=E25,"No change","Worse"))))</f>
        <v/>
      </c>
      <c r="N25" s="67" t="str">
        <f t="shared" ca="1" si="0"/>
        <v/>
      </c>
      <c r="O25" s="69"/>
    </row>
    <row r="26" spans="1:15" x14ac:dyDescent="0.3">
      <c r="A26" s="69"/>
      <c r="B26" s="68"/>
      <c r="C26" s="69"/>
      <c r="D26" s="69"/>
      <c r="E26" s="69"/>
      <c r="F26" s="69"/>
      <c r="G26" s="69"/>
      <c r="H26" s="69"/>
      <c r="I26" s="68"/>
      <c r="J26" s="69"/>
      <c r="K26" s="68"/>
      <c r="L26" s="69"/>
      <c r="M26" s="67" t="str">
        <f>IF(OR(C26="",E26="",L26=""),"",IF(INDEX(KPI_Targets!$F$5:$F$20,MATCH(C26,KPI_Targets!$B$5:$B$20,0))="Higher",IF(L26&gt;E26,"Improved",IF(L26=E26,"No change","Worse")),IF(L26&lt;E26,"Improved",IF(L26=E26,"No change","Worse"))))</f>
        <v/>
      </c>
      <c r="N26" s="67" t="str">
        <f t="shared" ca="1" si="0"/>
        <v/>
      </c>
      <c r="O26" s="69"/>
    </row>
    <row r="27" spans="1:15" x14ac:dyDescent="0.3">
      <c r="A27" s="69"/>
      <c r="B27" s="68"/>
      <c r="C27" s="69"/>
      <c r="D27" s="69"/>
      <c r="E27" s="69"/>
      <c r="F27" s="69"/>
      <c r="G27" s="69"/>
      <c r="H27" s="69"/>
      <c r="I27" s="68"/>
      <c r="J27" s="69"/>
      <c r="K27" s="68"/>
      <c r="L27" s="69"/>
      <c r="M27" s="67" t="str">
        <f>IF(OR(C27="",E27="",L27=""),"",IF(INDEX(KPI_Targets!$F$5:$F$20,MATCH(C27,KPI_Targets!$B$5:$B$20,0))="Higher",IF(L27&gt;E27,"Improved",IF(L27=E27,"No change","Worse")),IF(L27&lt;E27,"Improved",IF(L27=E27,"No change","Worse"))))</f>
        <v/>
      </c>
      <c r="N27" s="67" t="str">
        <f t="shared" ca="1" si="0"/>
        <v/>
      </c>
      <c r="O27" s="69"/>
    </row>
    <row r="28" spans="1:15" x14ac:dyDescent="0.3">
      <c r="A28" s="69"/>
      <c r="B28" s="68"/>
      <c r="C28" s="69"/>
      <c r="D28" s="69"/>
      <c r="E28" s="69"/>
      <c r="F28" s="69"/>
      <c r="G28" s="69"/>
      <c r="H28" s="69"/>
      <c r="I28" s="68"/>
      <c r="J28" s="69"/>
      <c r="K28" s="68"/>
      <c r="L28" s="69"/>
      <c r="M28" s="67" t="str">
        <f>IF(OR(C28="",E28="",L28=""),"",IF(INDEX(KPI_Targets!$F$5:$F$20,MATCH(C28,KPI_Targets!$B$5:$B$20,0))="Higher",IF(L28&gt;E28,"Improved",IF(L28=E28,"No change","Worse")),IF(L28&lt;E28,"Improved",IF(L28=E28,"No change","Worse"))))</f>
        <v/>
      </c>
      <c r="N28" s="67" t="str">
        <f t="shared" ca="1" si="0"/>
        <v/>
      </c>
      <c r="O28" s="69"/>
    </row>
    <row r="29" spans="1:15" x14ac:dyDescent="0.3">
      <c r="A29" s="69"/>
      <c r="B29" s="68"/>
      <c r="C29" s="69"/>
      <c r="D29" s="69"/>
      <c r="E29" s="69"/>
      <c r="F29" s="69"/>
      <c r="G29" s="69"/>
      <c r="H29" s="69"/>
      <c r="I29" s="68"/>
      <c r="J29" s="69"/>
      <c r="K29" s="68"/>
      <c r="L29" s="69"/>
      <c r="M29" s="67" t="str">
        <f>IF(OR(C29="",E29="",L29=""),"",IF(INDEX(KPI_Targets!$F$5:$F$20,MATCH(C29,KPI_Targets!$B$5:$B$20,0))="Higher",IF(L29&gt;E29,"Improved",IF(L29=E29,"No change","Worse")),IF(L29&lt;E29,"Improved",IF(L29=E29,"No change","Worse"))))</f>
        <v/>
      </c>
      <c r="N29" s="67" t="str">
        <f t="shared" ca="1" si="0"/>
        <v/>
      </c>
      <c r="O29" s="69"/>
    </row>
    <row r="30" spans="1:15" x14ac:dyDescent="0.3">
      <c r="A30" s="69"/>
      <c r="B30" s="68"/>
      <c r="C30" s="69"/>
      <c r="D30" s="69"/>
      <c r="E30" s="69"/>
      <c r="F30" s="69"/>
      <c r="G30" s="69"/>
      <c r="H30" s="69"/>
      <c r="I30" s="68"/>
      <c r="J30" s="69"/>
      <c r="K30" s="68"/>
      <c r="L30" s="69"/>
      <c r="M30" s="67" t="str">
        <f>IF(OR(C30="",E30="",L30=""),"",IF(INDEX(KPI_Targets!$F$5:$F$20,MATCH(C30,KPI_Targets!$B$5:$B$20,0))="Higher",IF(L30&gt;E30,"Improved",IF(L30=E30,"No change","Worse")),IF(L30&lt;E30,"Improved",IF(L30=E30,"No change","Worse"))))</f>
        <v/>
      </c>
      <c r="N30" s="67" t="str">
        <f t="shared" ca="1" si="0"/>
        <v/>
      </c>
      <c r="O30" s="69"/>
    </row>
    <row r="31" spans="1:15" x14ac:dyDescent="0.3">
      <c r="A31" s="69"/>
      <c r="B31" s="68"/>
      <c r="C31" s="69"/>
      <c r="D31" s="69"/>
      <c r="E31" s="69"/>
      <c r="F31" s="69"/>
      <c r="G31" s="69"/>
      <c r="H31" s="69"/>
      <c r="I31" s="68"/>
      <c r="J31" s="69"/>
      <c r="K31" s="68"/>
      <c r="L31" s="69"/>
      <c r="M31" s="67" t="str">
        <f>IF(OR(C31="",E31="",L31=""),"",IF(INDEX(KPI_Targets!$F$5:$F$20,MATCH(C31,KPI_Targets!$B$5:$B$20,0))="Higher",IF(L31&gt;E31,"Improved",IF(L31=E31,"No change","Worse")),IF(L31&lt;E31,"Improved",IF(L31=E31,"No change","Worse"))))</f>
        <v/>
      </c>
      <c r="N31" s="67" t="str">
        <f t="shared" ca="1" si="0"/>
        <v/>
      </c>
      <c r="O31" s="69"/>
    </row>
    <row r="32" spans="1:15" x14ac:dyDescent="0.3">
      <c r="A32" s="69"/>
      <c r="B32" s="68"/>
      <c r="C32" s="69"/>
      <c r="D32" s="69"/>
      <c r="E32" s="69"/>
      <c r="F32" s="69"/>
      <c r="G32" s="69"/>
      <c r="H32" s="69"/>
      <c r="I32" s="68"/>
      <c r="J32" s="69"/>
      <c r="K32" s="68"/>
      <c r="L32" s="69"/>
      <c r="M32" s="67" t="str">
        <f>IF(OR(C32="",E32="",L32=""),"",IF(INDEX(KPI_Targets!$F$5:$F$20,MATCH(C32,KPI_Targets!$B$5:$B$20,0))="Higher",IF(L32&gt;E32,"Improved",IF(L32=E32,"No change","Worse")),IF(L32&lt;E32,"Improved",IF(L32=E32,"No change","Worse"))))</f>
        <v/>
      </c>
      <c r="N32" s="67" t="str">
        <f t="shared" ca="1" si="0"/>
        <v/>
      </c>
      <c r="O32" s="69"/>
    </row>
    <row r="33" spans="1:15" x14ac:dyDescent="0.3">
      <c r="A33" s="69"/>
      <c r="B33" s="68"/>
      <c r="C33" s="69"/>
      <c r="D33" s="69"/>
      <c r="E33" s="69"/>
      <c r="F33" s="69"/>
      <c r="G33" s="69"/>
      <c r="H33" s="69"/>
      <c r="I33" s="68"/>
      <c r="J33" s="69"/>
      <c r="K33" s="68"/>
      <c r="L33" s="69"/>
      <c r="M33" s="67" t="str">
        <f>IF(OR(C33="",E33="",L33=""),"",IF(INDEX(KPI_Targets!$F$5:$F$20,MATCH(C33,KPI_Targets!$B$5:$B$20,0))="Higher",IF(L33&gt;E33,"Improved",IF(L33=E33,"No change","Worse")),IF(L33&lt;E33,"Improved",IF(L33=E33,"No change","Worse"))))</f>
        <v/>
      </c>
      <c r="N33" s="67" t="str">
        <f t="shared" ca="1" si="0"/>
        <v/>
      </c>
      <c r="O33" s="69"/>
    </row>
    <row r="34" spans="1:15" x14ac:dyDescent="0.3">
      <c r="A34" s="69"/>
      <c r="B34" s="68"/>
      <c r="C34" s="69"/>
      <c r="D34" s="69"/>
      <c r="E34" s="69"/>
      <c r="F34" s="69"/>
      <c r="G34" s="69"/>
      <c r="H34" s="69"/>
      <c r="I34" s="68"/>
      <c r="J34" s="69"/>
      <c r="K34" s="68"/>
      <c r="L34" s="69"/>
      <c r="M34" s="67" t="str">
        <f>IF(OR(C34="",E34="",L34=""),"",IF(INDEX(KPI_Targets!$F$5:$F$20,MATCH(C34,KPI_Targets!$B$5:$B$20,0))="Higher",IF(L34&gt;E34,"Improved",IF(L34=E34,"No change","Worse")),IF(L34&lt;E34,"Improved",IF(L34=E34,"No change","Worse"))))</f>
        <v/>
      </c>
      <c r="N34" s="67" t="str">
        <f t="shared" ca="1" si="0"/>
        <v/>
      </c>
      <c r="O34" s="69"/>
    </row>
    <row r="35" spans="1:15" x14ac:dyDescent="0.3">
      <c r="A35" s="69"/>
      <c r="B35" s="68"/>
      <c r="C35" s="69"/>
      <c r="D35" s="69"/>
      <c r="E35" s="69"/>
      <c r="F35" s="69"/>
      <c r="G35" s="69"/>
      <c r="H35" s="69"/>
      <c r="I35" s="68"/>
      <c r="J35" s="69"/>
      <c r="K35" s="68"/>
      <c r="L35" s="69"/>
      <c r="M35" s="67" t="str">
        <f>IF(OR(C35="",E35="",L35=""),"",IF(INDEX(KPI_Targets!$F$5:$F$20,MATCH(C35,KPI_Targets!$B$5:$B$20,0))="Higher",IF(L35&gt;E35,"Improved",IF(L35=E35,"No change","Worse")),IF(L35&lt;E35,"Improved",IF(L35=E35,"No change","Worse"))))</f>
        <v/>
      </c>
      <c r="N35" s="67" t="str">
        <f t="shared" ca="1" si="0"/>
        <v/>
      </c>
      <c r="O35" s="69"/>
    </row>
    <row r="36" spans="1:15" x14ac:dyDescent="0.3">
      <c r="A36" s="69"/>
      <c r="B36" s="68"/>
      <c r="C36" s="69"/>
      <c r="D36" s="69"/>
      <c r="E36" s="69"/>
      <c r="F36" s="69"/>
      <c r="G36" s="69"/>
      <c r="H36" s="69"/>
      <c r="I36" s="68"/>
      <c r="J36" s="69"/>
      <c r="K36" s="68"/>
      <c r="L36" s="69"/>
      <c r="M36" s="67" t="str">
        <f>IF(OR(C36="",E36="",L36=""),"",IF(INDEX(KPI_Targets!$F$5:$F$20,MATCH(C36,KPI_Targets!$B$5:$B$20,0))="Higher",IF(L36&gt;E36,"Improved",IF(L36=E36,"No change","Worse")),IF(L36&lt;E36,"Improved",IF(L36=E36,"No change","Worse"))))</f>
        <v/>
      </c>
      <c r="N36" s="67" t="str">
        <f t="shared" ca="1" si="0"/>
        <v/>
      </c>
      <c r="O36" s="69"/>
    </row>
    <row r="37" spans="1:15" x14ac:dyDescent="0.3">
      <c r="A37" s="69"/>
      <c r="B37" s="68"/>
      <c r="C37" s="69"/>
      <c r="D37" s="69"/>
      <c r="E37" s="69"/>
      <c r="F37" s="69"/>
      <c r="G37" s="69"/>
      <c r="H37" s="69"/>
      <c r="I37" s="68"/>
      <c r="J37" s="69"/>
      <c r="K37" s="68"/>
      <c r="L37" s="69"/>
      <c r="M37" s="67" t="str">
        <f>IF(OR(C37="",E37="",L37=""),"",IF(INDEX(KPI_Targets!$F$5:$F$20,MATCH(C37,KPI_Targets!$B$5:$B$20,0))="Higher",IF(L37&gt;E37,"Improved",IF(L37=E37,"No change","Worse")),IF(L37&lt;E37,"Improved",IF(L37=E37,"No change","Worse"))))</f>
        <v/>
      </c>
      <c r="N37" s="67" t="str">
        <f t="shared" ca="1" si="0"/>
        <v/>
      </c>
      <c r="O37" s="69"/>
    </row>
    <row r="38" spans="1:15" x14ac:dyDescent="0.3">
      <c r="A38" s="69"/>
      <c r="B38" s="68"/>
      <c r="C38" s="69"/>
      <c r="D38" s="69"/>
      <c r="E38" s="69"/>
      <c r="F38" s="69"/>
      <c r="G38" s="69"/>
      <c r="H38" s="69"/>
      <c r="I38" s="68"/>
      <c r="J38" s="69"/>
      <c r="K38" s="68"/>
      <c r="L38" s="69"/>
      <c r="M38" s="67" t="str">
        <f>IF(OR(C38="",E38="",L38=""),"",IF(INDEX(KPI_Targets!$F$5:$F$20,MATCH(C38,KPI_Targets!$B$5:$B$20,0))="Higher",IF(L38&gt;E38,"Improved",IF(L38=E38,"No change","Worse")),IF(L38&lt;E38,"Improved",IF(L38=E38,"No change","Worse"))))</f>
        <v/>
      </c>
      <c r="N38" s="67" t="str">
        <f t="shared" ca="1" si="0"/>
        <v/>
      </c>
      <c r="O38" s="69"/>
    </row>
    <row r="39" spans="1:15" x14ac:dyDescent="0.3">
      <c r="A39" s="69"/>
      <c r="B39" s="68"/>
      <c r="C39" s="69"/>
      <c r="D39" s="69"/>
      <c r="E39" s="69"/>
      <c r="F39" s="69"/>
      <c r="G39" s="69"/>
      <c r="H39" s="69"/>
      <c r="I39" s="68"/>
      <c r="J39" s="69"/>
      <c r="K39" s="68"/>
      <c r="L39" s="69"/>
      <c r="M39" s="67" t="str">
        <f>IF(OR(C39="",E39="",L39=""),"",IF(INDEX(KPI_Targets!$F$5:$F$20,MATCH(C39,KPI_Targets!$B$5:$B$20,0))="Higher",IF(L39&gt;E39,"Improved",IF(L39=E39,"No change","Worse")),IF(L39&lt;E39,"Improved",IF(L39=E39,"No change","Worse"))))</f>
        <v/>
      </c>
      <c r="N39" s="67" t="str">
        <f t="shared" ca="1" si="0"/>
        <v/>
      </c>
      <c r="O39" s="69"/>
    </row>
    <row r="40" spans="1:15" x14ac:dyDescent="0.3">
      <c r="A40" s="69"/>
      <c r="B40" s="68"/>
      <c r="C40" s="69"/>
      <c r="D40" s="69"/>
      <c r="E40" s="69"/>
      <c r="F40" s="69"/>
      <c r="G40" s="69"/>
      <c r="H40" s="69"/>
      <c r="I40" s="68"/>
      <c r="J40" s="69"/>
      <c r="K40" s="68"/>
      <c r="L40" s="69"/>
      <c r="M40" s="67" t="str">
        <f>IF(OR(C40="",E40="",L40=""),"",IF(INDEX(KPI_Targets!$F$5:$F$20,MATCH(C40,KPI_Targets!$B$5:$B$20,0))="Higher",IF(L40&gt;E40,"Improved",IF(L40=E40,"No change","Worse")),IF(L40&lt;E40,"Improved",IF(L40=E40,"No change","Worse"))))</f>
        <v/>
      </c>
      <c r="N40" s="67" t="str">
        <f t="shared" ca="1" si="0"/>
        <v/>
      </c>
      <c r="O40" s="69"/>
    </row>
    <row r="41" spans="1:15" x14ac:dyDescent="0.3">
      <c r="A41" s="69"/>
      <c r="B41" s="68"/>
      <c r="C41" s="69"/>
      <c r="D41" s="69"/>
      <c r="E41" s="69"/>
      <c r="F41" s="69"/>
      <c r="G41" s="69"/>
      <c r="H41" s="69"/>
      <c r="I41" s="68"/>
      <c r="J41" s="69"/>
      <c r="K41" s="68"/>
      <c r="L41" s="69"/>
      <c r="M41" s="67" t="str">
        <f>IF(OR(C41="",E41="",L41=""),"",IF(INDEX(KPI_Targets!$F$5:$F$20,MATCH(C41,KPI_Targets!$B$5:$B$20,0))="Higher",IF(L41&gt;E41,"Improved",IF(L41=E41,"No change","Worse")),IF(L41&lt;E41,"Improved",IF(L41=E41,"No change","Worse"))))</f>
        <v/>
      </c>
      <c r="N41" s="67" t="str">
        <f t="shared" ca="1" si="0"/>
        <v/>
      </c>
      <c r="O41" s="69"/>
    </row>
    <row r="42" spans="1:15" x14ac:dyDescent="0.3">
      <c r="A42" s="69"/>
      <c r="B42" s="68"/>
      <c r="C42" s="69"/>
      <c r="D42" s="69"/>
      <c r="E42" s="69"/>
      <c r="F42" s="69"/>
      <c r="G42" s="69"/>
      <c r="H42" s="69"/>
      <c r="I42" s="68"/>
      <c r="J42" s="69"/>
      <c r="K42" s="68"/>
      <c r="L42" s="69"/>
      <c r="M42" s="67" t="str">
        <f>IF(OR(C42="",E42="",L42=""),"",IF(INDEX(KPI_Targets!$F$5:$F$20,MATCH(C42,KPI_Targets!$B$5:$B$20,0))="Higher",IF(L42&gt;E42,"Improved",IF(L42=E42,"No change","Worse")),IF(L42&lt;E42,"Improved",IF(L42=E42,"No change","Worse"))))</f>
        <v/>
      </c>
      <c r="N42" s="67" t="str">
        <f t="shared" ca="1" si="0"/>
        <v/>
      </c>
      <c r="O42" s="69"/>
    </row>
    <row r="43" spans="1:15" x14ac:dyDescent="0.3">
      <c r="A43" s="69"/>
      <c r="B43" s="68"/>
      <c r="C43" s="69"/>
      <c r="D43" s="69"/>
      <c r="E43" s="69"/>
      <c r="F43" s="69"/>
      <c r="G43" s="69"/>
      <c r="H43" s="69"/>
      <c r="I43" s="68"/>
      <c r="J43" s="69"/>
      <c r="K43" s="68"/>
      <c r="L43" s="69"/>
      <c r="M43" s="67" t="str">
        <f>IF(OR(C43="",E43="",L43=""),"",IF(INDEX(KPI_Targets!$F$5:$F$20,MATCH(C43,KPI_Targets!$B$5:$B$20,0))="Higher",IF(L43&gt;E43,"Improved",IF(L43=E43,"No change","Worse")),IF(L43&lt;E43,"Improved",IF(L43=E43,"No change","Worse"))))</f>
        <v/>
      </c>
      <c r="N43" s="67" t="str">
        <f t="shared" ca="1" si="0"/>
        <v/>
      </c>
      <c r="O43" s="69"/>
    </row>
    <row r="44" spans="1:15" x14ac:dyDescent="0.3">
      <c r="A44" s="69"/>
      <c r="B44" s="68"/>
      <c r="C44" s="69"/>
      <c r="D44" s="69"/>
      <c r="E44" s="69"/>
      <c r="F44" s="69"/>
      <c r="G44" s="69"/>
      <c r="H44" s="69"/>
      <c r="I44" s="68"/>
      <c r="J44" s="69"/>
      <c r="K44" s="68"/>
      <c r="L44" s="69"/>
      <c r="M44" s="67" t="str">
        <f>IF(OR(C44="",E44="",L44=""),"",IF(INDEX(KPI_Targets!$F$5:$F$20,MATCH(C44,KPI_Targets!$B$5:$B$20,0))="Higher",IF(L44&gt;E44,"Improved",IF(L44=E44,"No change","Worse")),IF(L44&lt;E44,"Improved",IF(L44=E44,"No change","Worse"))))</f>
        <v/>
      </c>
      <c r="N44" s="67" t="str">
        <f t="shared" ca="1" si="0"/>
        <v/>
      </c>
      <c r="O44" s="69"/>
    </row>
    <row r="45" spans="1:15" x14ac:dyDescent="0.3">
      <c r="A45" s="69"/>
      <c r="B45" s="68"/>
      <c r="C45" s="69"/>
      <c r="D45" s="69"/>
      <c r="E45" s="69"/>
      <c r="F45" s="69"/>
      <c r="G45" s="69"/>
      <c r="H45" s="69"/>
      <c r="I45" s="68"/>
      <c r="J45" s="69"/>
      <c r="K45" s="68"/>
      <c r="L45" s="69"/>
      <c r="M45" s="67" t="str">
        <f>IF(OR(C45="",E45="",L45=""),"",IF(INDEX(KPI_Targets!$F$5:$F$20,MATCH(C45,KPI_Targets!$B$5:$B$20,0))="Higher",IF(L45&gt;E45,"Improved",IF(L45=E45,"No change","Worse")),IF(L45&lt;E45,"Improved",IF(L45=E45,"No change","Worse"))))</f>
        <v/>
      </c>
      <c r="N45" s="67" t="str">
        <f t="shared" ca="1" si="0"/>
        <v/>
      </c>
      <c r="O45" s="69"/>
    </row>
    <row r="46" spans="1:15" x14ac:dyDescent="0.3">
      <c r="A46" s="69"/>
      <c r="B46" s="68"/>
      <c r="C46" s="69"/>
      <c r="D46" s="69"/>
      <c r="E46" s="69"/>
      <c r="F46" s="69"/>
      <c r="G46" s="69"/>
      <c r="H46" s="69"/>
      <c r="I46" s="68"/>
      <c r="J46" s="69"/>
      <c r="K46" s="68"/>
      <c r="L46" s="69"/>
      <c r="M46" s="67" t="str">
        <f>IF(OR(C46="",E46="",L46=""),"",IF(INDEX(KPI_Targets!$F$5:$F$20,MATCH(C46,KPI_Targets!$B$5:$B$20,0))="Higher",IF(L46&gt;E46,"Improved",IF(L46=E46,"No change","Worse")),IF(L46&lt;E46,"Improved",IF(L46=E46,"No change","Worse"))))</f>
        <v/>
      </c>
      <c r="N46" s="67" t="str">
        <f t="shared" ca="1" si="0"/>
        <v/>
      </c>
      <c r="O46" s="69"/>
    </row>
    <row r="47" spans="1:15" x14ac:dyDescent="0.3">
      <c r="A47" s="69"/>
      <c r="B47" s="68"/>
      <c r="C47" s="69"/>
      <c r="D47" s="69"/>
      <c r="E47" s="69"/>
      <c r="F47" s="69"/>
      <c r="G47" s="69"/>
      <c r="H47" s="69"/>
      <c r="I47" s="68"/>
      <c r="J47" s="69"/>
      <c r="K47" s="68"/>
      <c r="L47" s="69"/>
      <c r="M47" s="67" t="str">
        <f>IF(OR(C47="",E47="",L47=""),"",IF(INDEX(KPI_Targets!$F$5:$F$20,MATCH(C47,KPI_Targets!$B$5:$B$20,0))="Higher",IF(L47&gt;E47,"Improved",IF(L47=E47,"No change","Worse")),IF(L47&lt;E47,"Improved",IF(L47=E47,"No change","Worse"))))</f>
        <v/>
      </c>
      <c r="N47" s="67" t="str">
        <f t="shared" ca="1" si="0"/>
        <v/>
      </c>
      <c r="O47" s="69"/>
    </row>
    <row r="48" spans="1:15" x14ac:dyDescent="0.3">
      <c r="A48" s="69"/>
      <c r="B48" s="68"/>
      <c r="C48" s="69"/>
      <c r="D48" s="69"/>
      <c r="E48" s="69"/>
      <c r="F48" s="69"/>
      <c r="G48" s="69"/>
      <c r="H48" s="69"/>
      <c r="I48" s="68"/>
      <c r="J48" s="69"/>
      <c r="K48" s="68"/>
      <c r="L48" s="69"/>
      <c r="M48" s="67" t="str">
        <f>IF(OR(C48="",E48="",L48=""),"",IF(INDEX(KPI_Targets!$F$5:$F$20,MATCH(C48,KPI_Targets!$B$5:$B$20,0))="Higher",IF(L48&gt;E48,"Improved",IF(L48=E48,"No change","Worse")),IF(L48&lt;E48,"Improved",IF(L48=E48,"No change","Worse"))))</f>
        <v/>
      </c>
      <c r="N48" s="67" t="str">
        <f t="shared" ca="1" si="0"/>
        <v/>
      </c>
      <c r="O48" s="69"/>
    </row>
    <row r="49" spans="1:15" x14ac:dyDescent="0.3">
      <c r="A49" s="69"/>
      <c r="B49" s="68"/>
      <c r="C49" s="69"/>
      <c r="D49" s="69"/>
      <c r="E49" s="69"/>
      <c r="F49" s="69"/>
      <c r="G49" s="69"/>
      <c r="H49" s="69"/>
      <c r="I49" s="68"/>
      <c r="J49" s="69"/>
      <c r="K49" s="68"/>
      <c r="L49" s="69"/>
      <c r="M49" s="67" t="str">
        <f>IF(OR(C49="",E49="",L49=""),"",IF(INDEX(KPI_Targets!$F$5:$F$20,MATCH(C49,KPI_Targets!$B$5:$B$20,0))="Higher",IF(L49&gt;E49,"Improved",IF(L49=E49,"No change","Worse")),IF(L49&lt;E49,"Improved",IF(L49=E49,"No change","Worse"))))</f>
        <v/>
      </c>
      <c r="N49" s="67" t="str">
        <f t="shared" ca="1" si="0"/>
        <v/>
      </c>
      <c r="O49" s="69"/>
    </row>
    <row r="50" spans="1:15" x14ac:dyDescent="0.3">
      <c r="A50" s="69"/>
      <c r="B50" s="68"/>
      <c r="C50" s="69"/>
      <c r="D50" s="69"/>
      <c r="E50" s="69"/>
      <c r="F50" s="69"/>
      <c r="G50" s="69"/>
      <c r="H50" s="69"/>
      <c r="I50" s="68"/>
      <c r="J50" s="69"/>
      <c r="K50" s="68"/>
      <c r="L50" s="69"/>
      <c r="M50" s="67" t="str">
        <f>IF(OR(C50="",E50="",L50=""),"",IF(INDEX(KPI_Targets!$F$5:$F$20,MATCH(C50,KPI_Targets!$B$5:$B$20,0))="Higher",IF(L50&gt;E50,"Improved",IF(L50=E50,"No change","Worse")),IF(L50&lt;E50,"Improved",IF(L50=E50,"No change","Worse"))))</f>
        <v/>
      </c>
      <c r="N50" s="67" t="str">
        <f t="shared" ca="1" si="0"/>
        <v/>
      </c>
      <c r="O50" s="69"/>
    </row>
    <row r="51" spans="1:15" x14ac:dyDescent="0.3">
      <c r="A51" s="69"/>
      <c r="B51" s="68"/>
      <c r="C51" s="69"/>
      <c r="D51" s="69"/>
      <c r="E51" s="69"/>
      <c r="F51" s="69"/>
      <c r="G51" s="69"/>
      <c r="H51" s="69"/>
      <c r="I51" s="68"/>
      <c r="J51" s="69"/>
      <c r="K51" s="68"/>
      <c r="L51" s="69"/>
      <c r="M51" s="67" t="str">
        <f>IF(OR(C51="",E51="",L51=""),"",IF(INDEX(KPI_Targets!$F$5:$F$20,MATCH(C51,KPI_Targets!$B$5:$B$20,0))="Higher",IF(L51&gt;E51,"Improved",IF(L51=E51,"No change","Worse")),IF(L51&lt;E51,"Improved",IF(L51=E51,"No change","Worse"))))</f>
        <v/>
      </c>
      <c r="N51" s="67" t="str">
        <f t="shared" ca="1" si="0"/>
        <v/>
      </c>
      <c r="O51" s="69"/>
    </row>
    <row r="52" spans="1:15" x14ac:dyDescent="0.3">
      <c r="A52" s="69"/>
      <c r="B52" s="68"/>
      <c r="C52" s="69"/>
      <c r="D52" s="69"/>
      <c r="E52" s="69"/>
      <c r="F52" s="69"/>
      <c r="G52" s="69"/>
      <c r="H52" s="69"/>
      <c r="I52" s="68"/>
      <c r="J52" s="69"/>
      <c r="K52" s="68"/>
      <c r="L52" s="69"/>
      <c r="M52" s="67" t="str">
        <f>IF(OR(C52="",E52="",L52=""),"",IF(INDEX(KPI_Targets!$F$5:$F$20,MATCH(C52,KPI_Targets!$B$5:$B$20,0))="Higher",IF(L52&gt;E52,"Improved",IF(L52=E52,"No change","Worse")),IF(L52&lt;E52,"Improved",IF(L52=E52,"No change","Worse"))))</f>
        <v/>
      </c>
      <c r="N52" s="67" t="str">
        <f t="shared" ca="1" si="0"/>
        <v/>
      </c>
      <c r="O52" s="69"/>
    </row>
    <row r="53" spans="1:15" x14ac:dyDescent="0.3">
      <c r="A53" s="69"/>
      <c r="B53" s="68"/>
      <c r="C53" s="69"/>
      <c r="D53" s="69"/>
      <c r="E53" s="69"/>
      <c r="F53" s="69"/>
      <c r="G53" s="69"/>
      <c r="H53" s="69"/>
      <c r="I53" s="68"/>
      <c r="J53" s="69"/>
      <c r="K53" s="68"/>
      <c r="L53" s="69"/>
      <c r="M53" s="67" t="str">
        <f>IF(OR(C53="",E53="",L53=""),"",IF(INDEX(KPI_Targets!$F$5:$F$20,MATCH(C53,KPI_Targets!$B$5:$B$20,0))="Higher",IF(L53&gt;E53,"Improved",IF(L53=E53,"No change","Worse")),IF(L53&lt;E53,"Improved",IF(L53=E53,"No change","Worse"))))</f>
        <v/>
      </c>
      <c r="N53" s="67" t="str">
        <f t="shared" ca="1" si="0"/>
        <v/>
      </c>
      <c r="O53" s="69"/>
    </row>
    <row r="54" spans="1:15" x14ac:dyDescent="0.3">
      <c r="A54" s="69"/>
      <c r="B54" s="68"/>
      <c r="C54" s="69"/>
      <c r="D54" s="69"/>
      <c r="E54" s="69"/>
      <c r="F54" s="69"/>
      <c r="G54" s="69"/>
      <c r="H54" s="69"/>
      <c r="I54" s="68"/>
      <c r="J54" s="69"/>
      <c r="K54" s="68"/>
      <c r="L54" s="69"/>
      <c r="M54" s="67" t="str">
        <f>IF(OR(C54="",E54="",L54=""),"",IF(INDEX(KPI_Targets!$F$5:$F$20,MATCH(C54,KPI_Targets!$B$5:$B$20,0))="Higher",IF(L54&gt;E54,"Improved",IF(L54=E54,"No change","Worse")),IF(L54&lt;E54,"Improved",IF(L54=E54,"No change","Worse"))))</f>
        <v/>
      </c>
      <c r="N54" s="67" t="str">
        <f t="shared" ca="1" si="0"/>
        <v/>
      </c>
      <c r="O54" s="69"/>
    </row>
    <row r="55" spans="1:15" x14ac:dyDescent="0.3">
      <c r="A55" s="69"/>
      <c r="B55" s="68"/>
      <c r="C55" s="69"/>
      <c r="D55" s="69"/>
      <c r="E55" s="69"/>
      <c r="F55" s="69"/>
      <c r="G55" s="69"/>
      <c r="H55" s="69"/>
      <c r="I55" s="68"/>
      <c r="J55" s="69"/>
      <c r="K55" s="68"/>
      <c r="L55" s="69"/>
      <c r="M55" s="67" t="str">
        <f>IF(OR(C55="",E55="",L55=""),"",IF(INDEX(KPI_Targets!$F$5:$F$20,MATCH(C55,KPI_Targets!$B$5:$B$20,0))="Higher",IF(L55&gt;E55,"Improved",IF(L55=E55,"No change","Worse")),IF(L55&lt;E55,"Improved",IF(L55=E55,"No change","Worse"))))</f>
        <v/>
      </c>
      <c r="N55" s="67" t="str">
        <f t="shared" ca="1" si="0"/>
        <v/>
      </c>
      <c r="O55" s="69"/>
    </row>
    <row r="56" spans="1:15" x14ac:dyDescent="0.3">
      <c r="A56" s="69"/>
      <c r="B56" s="68"/>
      <c r="C56" s="69"/>
      <c r="D56" s="69"/>
      <c r="E56" s="69"/>
      <c r="F56" s="69"/>
      <c r="G56" s="69"/>
      <c r="H56" s="69"/>
      <c r="I56" s="68"/>
      <c r="J56" s="69"/>
      <c r="K56" s="68"/>
      <c r="L56" s="69"/>
      <c r="M56" s="67" t="str">
        <f>IF(OR(C56="",E56="",L56=""),"",IF(INDEX(KPI_Targets!$F$5:$F$20,MATCH(C56,KPI_Targets!$B$5:$B$20,0))="Higher",IF(L56&gt;E56,"Improved",IF(L56=E56,"No change","Worse")),IF(L56&lt;E56,"Improved",IF(L56=E56,"No change","Worse"))))</f>
        <v/>
      </c>
      <c r="N56" s="67" t="str">
        <f t="shared" ca="1" si="0"/>
        <v/>
      </c>
      <c r="O56" s="69"/>
    </row>
    <row r="57" spans="1:15" x14ac:dyDescent="0.3">
      <c r="A57" s="69"/>
      <c r="B57" s="68"/>
      <c r="C57" s="69"/>
      <c r="D57" s="69"/>
      <c r="E57" s="69"/>
      <c r="F57" s="69"/>
      <c r="G57" s="69"/>
      <c r="H57" s="69"/>
      <c r="I57" s="68"/>
      <c r="J57" s="69"/>
      <c r="K57" s="68"/>
      <c r="L57" s="69"/>
      <c r="M57" s="67" t="str">
        <f>IF(OR(C57="",E57="",L57=""),"",IF(INDEX(KPI_Targets!$F$5:$F$20,MATCH(C57,KPI_Targets!$B$5:$B$20,0))="Higher",IF(L57&gt;E57,"Improved",IF(L57=E57,"No change","Worse")),IF(L57&lt;E57,"Improved",IF(L57=E57,"No change","Worse"))))</f>
        <v/>
      </c>
      <c r="N57" s="67" t="str">
        <f t="shared" ca="1" si="0"/>
        <v/>
      </c>
      <c r="O57" s="69"/>
    </row>
    <row r="58" spans="1:15" x14ac:dyDescent="0.3">
      <c r="A58" s="69"/>
      <c r="B58" s="68"/>
      <c r="C58" s="69"/>
      <c r="D58" s="69"/>
      <c r="E58" s="69"/>
      <c r="F58" s="69"/>
      <c r="G58" s="69"/>
      <c r="H58" s="69"/>
      <c r="I58" s="68"/>
      <c r="J58" s="69"/>
      <c r="K58" s="68"/>
      <c r="L58" s="69"/>
      <c r="M58" s="67" t="str">
        <f>IF(OR(C58="",E58="",L58=""),"",IF(INDEX(KPI_Targets!$F$5:$F$20,MATCH(C58,KPI_Targets!$B$5:$B$20,0))="Higher",IF(L58&gt;E58,"Improved",IF(L58=E58,"No change","Worse")),IF(L58&lt;E58,"Improved",IF(L58=E58,"No change","Worse"))))</f>
        <v/>
      </c>
      <c r="N58" s="67" t="str">
        <f t="shared" ca="1" si="0"/>
        <v/>
      </c>
      <c r="O58" s="69"/>
    </row>
    <row r="59" spans="1:15" x14ac:dyDescent="0.3">
      <c r="A59" s="69"/>
      <c r="B59" s="68"/>
      <c r="C59" s="69"/>
      <c r="D59" s="69"/>
      <c r="E59" s="69"/>
      <c r="F59" s="69"/>
      <c r="G59" s="69"/>
      <c r="H59" s="69"/>
      <c r="I59" s="68"/>
      <c r="J59" s="69"/>
      <c r="K59" s="68"/>
      <c r="L59" s="69"/>
      <c r="M59" s="67" t="str">
        <f>IF(OR(C59="",E59="",L59=""),"",IF(INDEX(KPI_Targets!$F$5:$F$20,MATCH(C59,KPI_Targets!$B$5:$B$20,0))="Higher",IF(L59&gt;E59,"Improved",IF(L59=E59,"No change","Worse")),IF(L59&lt;E59,"Improved",IF(L59=E59,"No change","Worse"))))</f>
        <v/>
      </c>
      <c r="N59" s="67" t="str">
        <f t="shared" ca="1" si="0"/>
        <v/>
      </c>
      <c r="O59" s="69"/>
    </row>
    <row r="60" spans="1:15" x14ac:dyDescent="0.3">
      <c r="A60" s="69"/>
      <c r="B60" s="68"/>
      <c r="C60" s="69"/>
      <c r="D60" s="69"/>
      <c r="E60" s="69"/>
      <c r="F60" s="69"/>
      <c r="G60" s="69"/>
      <c r="H60" s="69"/>
      <c r="I60" s="68"/>
      <c r="J60" s="69"/>
      <c r="K60" s="68"/>
      <c r="L60" s="69"/>
      <c r="M60" s="67" t="str">
        <f>IF(OR(C60="",E60="",L60=""),"",IF(INDEX(KPI_Targets!$F$5:$F$20,MATCH(C60,KPI_Targets!$B$5:$B$20,0))="Higher",IF(L60&gt;E60,"Improved",IF(L60=E60,"No change","Worse")),IF(L60&lt;E60,"Improved",IF(L60=E60,"No change","Worse"))))</f>
        <v/>
      </c>
      <c r="N60" s="67" t="str">
        <f t="shared" ca="1" si="0"/>
        <v/>
      </c>
      <c r="O60" s="69"/>
    </row>
    <row r="61" spans="1:15" x14ac:dyDescent="0.3">
      <c r="A61" s="69"/>
      <c r="B61" s="68"/>
      <c r="C61" s="69"/>
      <c r="D61" s="69"/>
      <c r="E61" s="69"/>
      <c r="F61" s="69"/>
      <c r="G61" s="69"/>
      <c r="H61" s="69"/>
      <c r="I61" s="68"/>
      <c r="J61" s="69"/>
      <c r="K61" s="68"/>
      <c r="L61" s="69"/>
      <c r="M61" s="67" t="str">
        <f>IF(OR(C61="",E61="",L61=""),"",IF(INDEX(KPI_Targets!$F$5:$F$20,MATCH(C61,KPI_Targets!$B$5:$B$20,0))="Higher",IF(L61&gt;E61,"Improved",IF(L61=E61,"No change","Worse")),IF(L61&lt;E61,"Improved",IF(L61=E61,"No change","Worse"))))</f>
        <v/>
      </c>
      <c r="N61" s="67" t="str">
        <f t="shared" ca="1" si="0"/>
        <v/>
      </c>
      <c r="O61" s="69"/>
    </row>
    <row r="62" spans="1:15" x14ac:dyDescent="0.3">
      <c r="A62" s="69"/>
      <c r="B62" s="68"/>
      <c r="C62" s="69"/>
      <c r="D62" s="69"/>
      <c r="E62" s="69"/>
      <c r="F62" s="69"/>
      <c r="G62" s="69"/>
      <c r="H62" s="69"/>
      <c r="I62" s="68"/>
      <c r="J62" s="69"/>
      <c r="K62" s="68"/>
      <c r="L62" s="69"/>
      <c r="M62" s="67" t="str">
        <f>IF(OR(C62="",E62="",L62=""),"",IF(INDEX(KPI_Targets!$F$5:$F$20,MATCH(C62,KPI_Targets!$B$5:$B$20,0))="Higher",IF(L62&gt;E62,"Improved",IF(L62=E62,"No change","Worse")),IF(L62&lt;E62,"Improved",IF(L62=E62,"No change","Worse"))))</f>
        <v/>
      </c>
      <c r="N62" s="67" t="str">
        <f t="shared" ca="1" si="0"/>
        <v/>
      </c>
      <c r="O62" s="69"/>
    </row>
    <row r="63" spans="1:15" x14ac:dyDescent="0.3">
      <c r="A63" s="69"/>
      <c r="B63" s="68"/>
      <c r="C63" s="69"/>
      <c r="D63" s="69"/>
      <c r="E63" s="69"/>
      <c r="F63" s="69"/>
      <c r="G63" s="69"/>
      <c r="H63" s="69"/>
      <c r="I63" s="68"/>
      <c r="J63" s="69"/>
      <c r="K63" s="68"/>
      <c r="L63" s="69"/>
      <c r="M63" s="67" t="str">
        <f>IF(OR(C63="",E63="",L63=""),"",IF(INDEX(KPI_Targets!$F$5:$F$20,MATCH(C63,KPI_Targets!$B$5:$B$20,0))="Higher",IF(L63&gt;E63,"Improved",IF(L63=E63,"No change","Worse")),IF(L63&lt;E63,"Improved",IF(L63=E63,"No change","Worse"))))</f>
        <v/>
      </c>
      <c r="N63" s="67" t="str">
        <f t="shared" ca="1" si="0"/>
        <v/>
      </c>
      <c r="O63" s="69"/>
    </row>
    <row r="64" spans="1:15" x14ac:dyDescent="0.3">
      <c r="A64" s="69"/>
      <c r="B64" s="68"/>
      <c r="C64" s="69"/>
      <c r="D64" s="69"/>
      <c r="E64" s="69"/>
      <c r="F64" s="69"/>
      <c r="G64" s="69"/>
      <c r="H64" s="69"/>
      <c r="I64" s="68"/>
      <c r="J64" s="69"/>
      <c r="K64" s="68"/>
      <c r="L64" s="69"/>
      <c r="M64" s="67" t="str">
        <f>IF(OR(C64="",E64="",L64=""),"",IF(INDEX(KPI_Targets!$F$5:$F$20,MATCH(C64,KPI_Targets!$B$5:$B$20,0))="Higher",IF(L64&gt;E64,"Improved",IF(L64=E64,"No change","Worse")),IF(L64&lt;E64,"Improved",IF(L64=E64,"No change","Worse"))))</f>
        <v/>
      </c>
      <c r="N64" s="67" t="str">
        <f t="shared" ca="1" si="0"/>
        <v/>
      </c>
      <c r="O64" s="69"/>
    </row>
    <row r="65" spans="1:15" x14ac:dyDescent="0.3">
      <c r="A65" s="69"/>
      <c r="B65" s="68"/>
      <c r="C65" s="69"/>
      <c r="D65" s="69"/>
      <c r="E65" s="69"/>
      <c r="F65" s="69"/>
      <c r="G65" s="69"/>
      <c r="H65" s="69"/>
      <c r="I65" s="68"/>
      <c r="J65" s="69"/>
      <c r="K65" s="68"/>
      <c r="L65" s="69"/>
      <c r="M65" s="67" t="str">
        <f>IF(OR(C65="",E65="",L65=""),"",IF(INDEX(KPI_Targets!$F$5:$F$20,MATCH(C65,KPI_Targets!$B$5:$B$20,0))="Higher",IF(L65&gt;E65,"Improved",IF(L65=E65,"No change","Worse")),IF(L65&lt;E65,"Improved",IF(L65=E65,"No change","Worse"))))</f>
        <v/>
      </c>
      <c r="N65" s="67" t="str">
        <f t="shared" ca="1" si="0"/>
        <v/>
      </c>
      <c r="O65" s="69"/>
    </row>
    <row r="66" spans="1:15" x14ac:dyDescent="0.3">
      <c r="A66" s="69"/>
      <c r="B66" s="68"/>
      <c r="C66" s="69"/>
      <c r="D66" s="69"/>
      <c r="E66" s="69"/>
      <c r="F66" s="69"/>
      <c r="G66" s="69"/>
      <c r="H66" s="69"/>
      <c r="I66" s="68"/>
      <c r="J66" s="69"/>
      <c r="K66" s="68"/>
      <c r="L66" s="69"/>
      <c r="M66" s="67" t="str">
        <f>IF(OR(C66="",E66="",L66=""),"",IF(INDEX(KPI_Targets!$F$5:$F$20,MATCH(C66,KPI_Targets!$B$5:$B$20,0))="Higher",IF(L66&gt;E66,"Improved",IF(L66=E66,"No change","Worse")),IF(L66&lt;E66,"Improved",IF(L66=E66,"No change","Worse"))))</f>
        <v/>
      </c>
      <c r="N66" s="67" t="str">
        <f t="shared" ca="1" si="0"/>
        <v/>
      </c>
      <c r="O66" s="69"/>
    </row>
    <row r="67" spans="1:15" x14ac:dyDescent="0.3">
      <c r="A67" s="69"/>
      <c r="B67" s="68"/>
      <c r="C67" s="69"/>
      <c r="D67" s="69"/>
      <c r="E67" s="69"/>
      <c r="F67" s="69"/>
      <c r="G67" s="69"/>
      <c r="H67" s="69"/>
      <c r="I67" s="68"/>
      <c r="J67" s="69"/>
      <c r="K67" s="68"/>
      <c r="L67" s="69"/>
      <c r="M67" s="67" t="str">
        <f>IF(OR(C67="",E67="",L67=""),"",IF(INDEX(KPI_Targets!$F$5:$F$20,MATCH(C67,KPI_Targets!$B$5:$B$20,0))="Higher",IF(L67&gt;E67,"Improved",IF(L67=E67,"No change","Worse")),IF(L67&lt;E67,"Improved",IF(L67=E67,"No change","Worse"))))</f>
        <v/>
      </c>
      <c r="N67" s="67" t="str">
        <f t="shared" ca="1" si="0"/>
        <v/>
      </c>
      <c r="O67" s="69"/>
    </row>
    <row r="68" spans="1:15" x14ac:dyDescent="0.3">
      <c r="A68" s="69"/>
      <c r="B68" s="68"/>
      <c r="C68" s="69"/>
      <c r="D68" s="69"/>
      <c r="E68" s="69"/>
      <c r="F68" s="69"/>
      <c r="G68" s="69"/>
      <c r="H68" s="69"/>
      <c r="I68" s="68"/>
      <c r="J68" s="69"/>
      <c r="K68" s="68"/>
      <c r="L68" s="69"/>
      <c r="M68" s="67" t="str">
        <f>IF(OR(C68="",E68="",L68=""),"",IF(INDEX(KPI_Targets!$F$5:$F$20,MATCH(C68,KPI_Targets!$B$5:$B$20,0))="Higher",IF(L68&gt;E68,"Improved",IF(L68=E68,"No change","Worse")),IF(L68&lt;E68,"Improved",IF(L68=E68,"No change","Worse"))))</f>
        <v/>
      </c>
      <c r="N68" s="67" t="str">
        <f t="shared" ca="1" si="0"/>
        <v/>
      </c>
      <c r="O68" s="69"/>
    </row>
    <row r="69" spans="1:15" x14ac:dyDescent="0.3">
      <c r="A69" s="69"/>
      <c r="B69" s="68"/>
      <c r="C69" s="69"/>
      <c r="D69" s="69"/>
      <c r="E69" s="69"/>
      <c r="F69" s="69"/>
      <c r="G69" s="69"/>
      <c r="H69" s="69"/>
      <c r="I69" s="68"/>
      <c r="J69" s="69"/>
      <c r="K69" s="68"/>
      <c r="L69" s="69"/>
      <c r="M69" s="67" t="str">
        <f>IF(OR(C69="",E69="",L69=""),"",IF(INDEX(KPI_Targets!$F$5:$F$20,MATCH(C69,KPI_Targets!$B$5:$B$20,0))="Higher",IF(L69&gt;E69,"Improved",IF(L69=E69,"No change","Worse")),IF(L69&lt;E69,"Improved",IF(L69=E69,"No change","Worse"))))</f>
        <v/>
      </c>
      <c r="N69" s="67" t="str">
        <f t="shared" ref="N69:N132" ca="1" si="1">IF(B69="","",IF(OR(J69="Implemented",J69="Cancelled"),"Closed",IF(AND(I69&lt;&gt;"",I69&lt;TODAY()),"OVERDUE","On track")))</f>
        <v/>
      </c>
      <c r="O69" s="69"/>
    </row>
    <row r="70" spans="1:15" x14ac:dyDescent="0.3">
      <c r="A70" s="69"/>
      <c r="B70" s="68"/>
      <c r="C70" s="69"/>
      <c r="D70" s="69"/>
      <c r="E70" s="69"/>
      <c r="F70" s="69"/>
      <c r="G70" s="69"/>
      <c r="H70" s="69"/>
      <c r="I70" s="68"/>
      <c r="J70" s="69"/>
      <c r="K70" s="68"/>
      <c r="L70" s="69"/>
      <c r="M70" s="67" t="str">
        <f>IF(OR(C70="",E70="",L70=""),"",IF(INDEX(KPI_Targets!$F$5:$F$20,MATCH(C70,KPI_Targets!$B$5:$B$20,0))="Higher",IF(L70&gt;E70,"Improved",IF(L70=E70,"No change","Worse")),IF(L70&lt;E70,"Improved",IF(L70=E70,"No change","Worse"))))</f>
        <v/>
      </c>
      <c r="N70" s="67" t="str">
        <f t="shared" ca="1" si="1"/>
        <v/>
      </c>
      <c r="O70" s="69"/>
    </row>
    <row r="71" spans="1:15" x14ac:dyDescent="0.3">
      <c r="A71" s="69"/>
      <c r="B71" s="68"/>
      <c r="C71" s="69"/>
      <c r="D71" s="69"/>
      <c r="E71" s="69"/>
      <c r="F71" s="69"/>
      <c r="G71" s="69"/>
      <c r="H71" s="69"/>
      <c r="I71" s="68"/>
      <c r="J71" s="69"/>
      <c r="K71" s="68"/>
      <c r="L71" s="69"/>
      <c r="M71" s="67" t="str">
        <f>IF(OR(C71="",E71="",L71=""),"",IF(INDEX(KPI_Targets!$F$5:$F$20,MATCH(C71,KPI_Targets!$B$5:$B$20,0))="Higher",IF(L71&gt;E71,"Improved",IF(L71=E71,"No change","Worse")),IF(L71&lt;E71,"Improved",IF(L71=E71,"No change","Worse"))))</f>
        <v/>
      </c>
      <c r="N71" s="67" t="str">
        <f t="shared" ca="1" si="1"/>
        <v/>
      </c>
      <c r="O71" s="69"/>
    </row>
    <row r="72" spans="1:15" x14ac:dyDescent="0.3">
      <c r="A72" s="69"/>
      <c r="B72" s="68"/>
      <c r="C72" s="69"/>
      <c r="D72" s="69"/>
      <c r="E72" s="69"/>
      <c r="F72" s="69"/>
      <c r="G72" s="69"/>
      <c r="H72" s="69"/>
      <c r="I72" s="68"/>
      <c r="J72" s="69"/>
      <c r="K72" s="68"/>
      <c r="L72" s="69"/>
      <c r="M72" s="67" t="str">
        <f>IF(OR(C72="",E72="",L72=""),"",IF(INDEX(KPI_Targets!$F$5:$F$20,MATCH(C72,KPI_Targets!$B$5:$B$20,0))="Higher",IF(L72&gt;E72,"Improved",IF(L72=E72,"No change","Worse")),IF(L72&lt;E72,"Improved",IF(L72=E72,"No change","Worse"))))</f>
        <v/>
      </c>
      <c r="N72" s="67" t="str">
        <f t="shared" ca="1" si="1"/>
        <v/>
      </c>
      <c r="O72" s="69"/>
    </row>
    <row r="73" spans="1:15" x14ac:dyDescent="0.3">
      <c r="A73" s="69"/>
      <c r="B73" s="68"/>
      <c r="C73" s="69"/>
      <c r="D73" s="69"/>
      <c r="E73" s="69"/>
      <c r="F73" s="69"/>
      <c r="G73" s="69"/>
      <c r="H73" s="69"/>
      <c r="I73" s="68"/>
      <c r="J73" s="69"/>
      <c r="K73" s="68"/>
      <c r="L73" s="69"/>
      <c r="M73" s="67" t="str">
        <f>IF(OR(C73="",E73="",L73=""),"",IF(INDEX(KPI_Targets!$F$5:$F$20,MATCH(C73,KPI_Targets!$B$5:$B$20,0))="Higher",IF(L73&gt;E73,"Improved",IF(L73=E73,"No change","Worse")),IF(L73&lt;E73,"Improved",IF(L73=E73,"No change","Worse"))))</f>
        <v/>
      </c>
      <c r="N73" s="67" t="str">
        <f t="shared" ca="1" si="1"/>
        <v/>
      </c>
      <c r="O73" s="69"/>
    </row>
    <row r="74" spans="1:15" x14ac:dyDescent="0.3">
      <c r="A74" s="69"/>
      <c r="B74" s="68"/>
      <c r="C74" s="69"/>
      <c r="D74" s="69"/>
      <c r="E74" s="69"/>
      <c r="F74" s="69"/>
      <c r="G74" s="69"/>
      <c r="H74" s="69"/>
      <c r="I74" s="68"/>
      <c r="J74" s="69"/>
      <c r="K74" s="68"/>
      <c r="L74" s="69"/>
      <c r="M74" s="67" t="str">
        <f>IF(OR(C74="",E74="",L74=""),"",IF(INDEX(KPI_Targets!$F$5:$F$20,MATCH(C74,KPI_Targets!$B$5:$B$20,0))="Higher",IF(L74&gt;E74,"Improved",IF(L74=E74,"No change","Worse")),IF(L74&lt;E74,"Improved",IF(L74=E74,"No change","Worse"))))</f>
        <v/>
      </c>
      <c r="N74" s="67" t="str">
        <f t="shared" ca="1" si="1"/>
        <v/>
      </c>
      <c r="O74" s="69"/>
    </row>
    <row r="75" spans="1:15" x14ac:dyDescent="0.3">
      <c r="A75" s="69"/>
      <c r="B75" s="68"/>
      <c r="C75" s="69"/>
      <c r="D75" s="69"/>
      <c r="E75" s="69"/>
      <c r="F75" s="69"/>
      <c r="G75" s="69"/>
      <c r="H75" s="69"/>
      <c r="I75" s="68"/>
      <c r="J75" s="69"/>
      <c r="K75" s="68"/>
      <c r="L75" s="69"/>
      <c r="M75" s="67" t="str">
        <f>IF(OR(C75="",E75="",L75=""),"",IF(INDEX(KPI_Targets!$F$5:$F$20,MATCH(C75,KPI_Targets!$B$5:$B$20,0))="Higher",IF(L75&gt;E75,"Improved",IF(L75=E75,"No change","Worse")),IF(L75&lt;E75,"Improved",IF(L75=E75,"No change","Worse"))))</f>
        <v/>
      </c>
      <c r="N75" s="67" t="str">
        <f t="shared" ca="1" si="1"/>
        <v/>
      </c>
      <c r="O75" s="69"/>
    </row>
    <row r="76" spans="1:15" x14ac:dyDescent="0.3">
      <c r="A76" s="69"/>
      <c r="B76" s="68"/>
      <c r="C76" s="69"/>
      <c r="D76" s="69"/>
      <c r="E76" s="69"/>
      <c r="F76" s="69"/>
      <c r="G76" s="69"/>
      <c r="H76" s="69"/>
      <c r="I76" s="68"/>
      <c r="J76" s="69"/>
      <c r="K76" s="68"/>
      <c r="L76" s="69"/>
      <c r="M76" s="67" t="str">
        <f>IF(OR(C76="",E76="",L76=""),"",IF(INDEX(KPI_Targets!$F$5:$F$20,MATCH(C76,KPI_Targets!$B$5:$B$20,0))="Higher",IF(L76&gt;E76,"Improved",IF(L76=E76,"No change","Worse")),IF(L76&lt;E76,"Improved",IF(L76=E76,"No change","Worse"))))</f>
        <v/>
      </c>
      <c r="N76" s="67" t="str">
        <f t="shared" ca="1" si="1"/>
        <v/>
      </c>
      <c r="O76" s="69"/>
    </row>
    <row r="77" spans="1:15" x14ac:dyDescent="0.3">
      <c r="A77" s="69"/>
      <c r="B77" s="68"/>
      <c r="C77" s="69"/>
      <c r="D77" s="69"/>
      <c r="E77" s="69"/>
      <c r="F77" s="69"/>
      <c r="G77" s="69"/>
      <c r="H77" s="69"/>
      <c r="I77" s="68"/>
      <c r="J77" s="69"/>
      <c r="K77" s="68"/>
      <c r="L77" s="69"/>
      <c r="M77" s="67" t="str">
        <f>IF(OR(C77="",E77="",L77=""),"",IF(INDEX(KPI_Targets!$F$5:$F$20,MATCH(C77,KPI_Targets!$B$5:$B$20,0))="Higher",IF(L77&gt;E77,"Improved",IF(L77=E77,"No change","Worse")),IF(L77&lt;E77,"Improved",IF(L77=E77,"No change","Worse"))))</f>
        <v/>
      </c>
      <c r="N77" s="67" t="str">
        <f t="shared" ca="1" si="1"/>
        <v/>
      </c>
      <c r="O77" s="69"/>
    </row>
    <row r="78" spans="1:15" x14ac:dyDescent="0.3">
      <c r="A78" s="69"/>
      <c r="B78" s="68"/>
      <c r="C78" s="69"/>
      <c r="D78" s="69"/>
      <c r="E78" s="69"/>
      <c r="F78" s="69"/>
      <c r="G78" s="69"/>
      <c r="H78" s="69"/>
      <c r="I78" s="68"/>
      <c r="J78" s="69"/>
      <c r="K78" s="68"/>
      <c r="L78" s="69"/>
      <c r="M78" s="67" t="str">
        <f>IF(OR(C78="",E78="",L78=""),"",IF(INDEX(KPI_Targets!$F$5:$F$20,MATCH(C78,KPI_Targets!$B$5:$B$20,0))="Higher",IF(L78&gt;E78,"Improved",IF(L78=E78,"No change","Worse")),IF(L78&lt;E78,"Improved",IF(L78=E78,"No change","Worse"))))</f>
        <v/>
      </c>
      <c r="N78" s="67" t="str">
        <f t="shared" ca="1" si="1"/>
        <v/>
      </c>
      <c r="O78" s="69"/>
    </row>
    <row r="79" spans="1:15" x14ac:dyDescent="0.3">
      <c r="A79" s="69"/>
      <c r="B79" s="68"/>
      <c r="C79" s="69"/>
      <c r="D79" s="69"/>
      <c r="E79" s="69"/>
      <c r="F79" s="69"/>
      <c r="G79" s="69"/>
      <c r="H79" s="69"/>
      <c r="I79" s="68"/>
      <c r="J79" s="69"/>
      <c r="K79" s="68"/>
      <c r="L79" s="69"/>
      <c r="M79" s="67" t="str">
        <f>IF(OR(C79="",E79="",L79=""),"",IF(INDEX(KPI_Targets!$F$5:$F$20,MATCH(C79,KPI_Targets!$B$5:$B$20,0))="Higher",IF(L79&gt;E79,"Improved",IF(L79=E79,"No change","Worse")),IF(L79&lt;E79,"Improved",IF(L79=E79,"No change","Worse"))))</f>
        <v/>
      </c>
      <c r="N79" s="67" t="str">
        <f t="shared" ca="1" si="1"/>
        <v/>
      </c>
      <c r="O79" s="69"/>
    </row>
    <row r="80" spans="1:15" x14ac:dyDescent="0.3">
      <c r="A80" s="69"/>
      <c r="B80" s="68"/>
      <c r="C80" s="69"/>
      <c r="D80" s="69"/>
      <c r="E80" s="69"/>
      <c r="F80" s="69"/>
      <c r="G80" s="69"/>
      <c r="H80" s="69"/>
      <c r="I80" s="68"/>
      <c r="J80" s="69"/>
      <c r="K80" s="68"/>
      <c r="L80" s="69"/>
      <c r="M80" s="67" t="str">
        <f>IF(OR(C80="",E80="",L80=""),"",IF(INDEX(KPI_Targets!$F$5:$F$20,MATCH(C80,KPI_Targets!$B$5:$B$20,0))="Higher",IF(L80&gt;E80,"Improved",IF(L80=E80,"No change","Worse")),IF(L80&lt;E80,"Improved",IF(L80=E80,"No change","Worse"))))</f>
        <v/>
      </c>
      <c r="N80" s="67" t="str">
        <f t="shared" ca="1" si="1"/>
        <v/>
      </c>
      <c r="O80" s="69"/>
    </row>
    <row r="81" spans="1:15" x14ac:dyDescent="0.3">
      <c r="A81" s="69"/>
      <c r="B81" s="68"/>
      <c r="C81" s="69"/>
      <c r="D81" s="69"/>
      <c r="E81" s="69"/>
      <c r="F81" s="69"/>
      <c r="G81" s="69"/>
      <c r="H81" s="69"/>
      <c r="I81" s="68"/>
      <c r="J81" s="69"/>
      <c r="K81" s="68"/>
      <c r="L81" s="69"/>
      <c r="M81" s="67" t="str">
        <f>IF(OR(C81="",E81="",L81=""),"",IF(INDEX(KPI_Targets!$F$5:$F$20,MATCH(C81,KPI_Targets!$B$5:$B$20,0))="Higher",IF(L81&gt;E81,"Improved",IF(L81=E81,"No change","Worse")),IF(L81&lt;E81,"Improved",IF(L81=E81,"No change","Worse"))))</f>
        <v/>
      </c>
      <c r="N81" s="67" t="str">
        <f t="shared" ca="1" si="1"/>
        <v/>
      </c>
      <c r="O81" s="69"/>
    </row>
    <row r="82" spans="1:15" x14ac:dyDescent="0.3">
      <c r="A82" s="69"/>
      <c r="B82" s="68"/>
      <c r="C82" s="69"/>
      <c r="D82" s="69"/>
      <c r="E82" s="69"/>
      <c r="F82" s="69"/>
      <c r="G82" s="69"/>
      <c r="H82" s="69"/>
      <c r="I82" s="68"/>
      <c r="J82" s="69"/>
      <c r="K82" s="68"/>
      <c r="L82" s="69"/>
      <c r="M82" s="67" t="str">
        <f>IF(OR(C82="",E82="",L82=""),"",IF(INDEX(KPI_Targets!$F$5:$F$20,MATCH(C82,KPI_Targets!$B$5:$B$20,0))="Higher",IF(L82&gt;E82,"Improved",IF(L82=E82,"No change","Worse")),IF(L82&lt;E82,"Improved",IF(L82=E82,"No change","Worse"))))</f>
        <v/>
      </c>
      <c r="N82" s="67" t="str">
        <f t="shared" ca="1" si="1"/>
        <v/>
      </c>
      <c r="O82" s="69"/>
    </row>
    <row r="83" spans="1:15" x14ac:dyDescent="0.3">
      <c r="A83" s="69"/>
      <c r="B83" s="68"/>
      <c r="C83" s="69"/>
      <c r="D83" s="69"/>
      <c r="E83" s="69"/>
      <c r="F83" s="69"/>
      <c r="G83" s="69"/>
      <c r="H83" s="69"/>
      <c r="I83" s="68"/>
      <c r="J83" s="69"/>
      <c r="K83" s="68"/>
      <c r="L83" s="69"/>
      <c r="M83" s="67" t="str">
        <f>IF(OR(C83="",E83="",L83=""),"",IF(INDEX(KPI_Targets!$F$5:$F$20,MATCH(C83,KPI_Targets!$B$5:$B$20,0))="Higher",IF(L83&gt;E83,"Improved",IF(L83=E83,"No change","Worse")),IF(L83&lt;E83,"Improved",IF(L83=E83,"No change","Worse"))))</f>
        <v/>
      </c>
      <c r="N83" s="67" t="str">
        <f t="shared" ca="1" si="1"/>
        <v/>
      </c>
      <c r="O83" s="69"/>
    </row>
    <row r="84" spans="1:15" x14ac:dyDescent="0.3">
      <c r="A84" s="69"/>
      <c r="B84" s="68"/>
      <c r="C84" s="69"/>
      <c r="D84" s="69"/>
      <c r="E84" s="69"/>
      <c r="F84" s="69"/>
      <c r="G84" s="69"/>
      <c r="H84" s="69"/>
      <c r="I84" s="68"/>
      <c r="J84" s="69"/>
      <c r="K84" s="68"/>
      <c r="L84" s="69"/>
      <c r="M84" s="67" t="str">
        <f>IF(OR(C84="",E84="",L84=""),"",IF(INDEX(KPI_Targets!$F$5:$F$20,MATCH(C84,KPI_Targets!$B$5:$B$20,0))="Higher",IF(L84&gt;E84,"Improved",IF(L84=E84,"No change","Worse")),IF(L84&lt;E84,"Improved",IF(L84=E84,"No change","Worse"))))</f>
        <v/>
      </c>
      <c r="N84" s="67" t="str">
        <f t="shared" ca="1" si="1"/>
        <v/>
      </c>
      <c r="O84" s="69"/>
    </row>
    <row r="85" spans="1:15" x14ac:dyDescent="0.3">
      <c r="A85" s="69"/>
      <c r="B85" s="68"/>
      <c r="C85" s="69"/>
      <c r="D85" s="69"/>
      <c r="E85" s="69"/>
      <c r="F85" s="69"/>
      <c r="G85" s="69"/>
      <c r="H85" s="69"/>
      <c r="I85" s="68"/>
      <c r="J85" s="69"/>
      <c r="K85" s="68"/>
      <c r="L85" s="69"/>
      <c r="M85" s="67" t="str">
        <f>IF(OR(C85="",E85="",L85=""),"",IF(INDEX(KPI_Targets!$F$5:$F$20,MATCH(C85,KPI_Targets!$B$5:$B$20,0))="Higher",IF(L85&gt;E85,"Improved",IF(L85=E85,"No change","Worse")),IF(L85&lt;E85,"Improved",IF(L85=E85,"No change","Worse"))))</f>
        <v/>
      </c>
      <c r="N85" s="67" t="str">
        <f t="shared" ca="1" si="1"/>
        <v/>
      </c>
      <c r="O85" s="69"/>
    </row>
    <row r="86" spans="1:15" x14ac:dyDescent="0.3">
      <c r="A86" s="69"/>
      <c r="B86" s="68"/>
      <c r="C86" s="69"/>
      <c r="D86" s="69"/>
      <c r="E86" s="69"/>
      <c r="F86" s="69"/>
      <c r="G86" s="69"/>
      <c r="H86" s="69"/>
      <c r="I86" s="68"/>
      <c r="J86" s="69"/>
      <c r="K86" s="68"/>
      <c r="L86" s="69"/>
      <c r="M86" s="67" t="str">
        <f>IF(OR(C86="",E86="",L86=""),"",IF(INDEX(KPI_Targets!$F$5:$F$20,MATCH(C86,KPI_Targets!$B$5:$B$20,0))="Higher",IF(L86&gt;E86,"Improved",IF(L86=E86,"No change","Worse")),IF(L86&lt;E86,"Improved",IF(L86=E86,"No change","Worse"))))</f>
        <v/>
      </c>
      <c r="N86" s="67" t="str">
        <f t="shared" ca="1" si="1"/>
        <v/>
      </c>
      <c r="O86" s="69"/>
    </row>
    <row r="87" spans="1:15" x14ac:dyDescent="0.3">
      <c r="A87" s="69"/>
      <c r="B87" s="68"/>
      <c r="C87" s="69"/>
      <c r="D87" s="69"/>
      <c r="E87" s="69"/>
      <c r="F87" s="69"/>
      <c r="G87" s="69"/>
      <c r="H87" s="69"/>
      <c r="I87" s="68"/>
      <c r="J87" s="69"/>
      <c r="K87" s="68"/>
      <c r="L87" s="69"/>
      <c r="M87" s="67" t="str">
        <f>IF(OR(C87="",E87="",L87=""),"",IF(INDEX(KPI_Targets!$F$5:$F$20,MATCH(C87,KPI_Targets!$B$5:$B$20,0))="Higher",IF(L87&gt;E87,"Improved",IF(L87=E87,"No change","Worse")),IF(L87&lt;E87,"Improved",IF(L87=E87,"No change","Worse"))))</f>
        <v/>
      </c>
      <c r="N87" s="67" t="str">
        <f t="shared" ca="1" si="1"/>
        <v/>
      </c>
      <c r="O87" s="69"/>
    </row>
    <row r="88" spans="1:15" x14ac:dyDescent="0.3">
      <c r="A88" s="69"/>
      <c r="B88" s="68"/>
      <c r="C88" s="69"/>
      <c r="D88" s="69"/>
      <c r="E88" s="69"/>
      <c r="F88" s="69"/>
      <c r="G88" s="69"/>
      <c r="H88" s="69"/>
      <c r="I88" s="68"/>
      <c r="J88" s="69"/>
      <c r="K88" s="68"/>
      <c r="L88" s="69"/>
      <c r="M88" s="67" t="str">
        <f>IF(OR(C88="",E88="",L88=""),"",IF(INDEX(KPI_Targets!$F$5:$F$20,MATCH(C88,KPI_Targets!$B$5:$B$20,0))="Higher",IF(L88&gt;E88,"Improved",IF(L88=E88,"No change","Worse")),IF(L88&lt;E88,"Improved",IF(L88=E88,"No change","Worse"))))</f>
        <v/>
      </c>
      <c r="N88" s="67" t="str">
        <f t="shared" ca="1" si="1"/>
        <v/>
      </c>
      <c r="O88" s="69"/>
    </row>
    <row r="89" spans="1:15" x14ac:dyDescent="0.3">
      <c r="A89" s="69"/>
      <c r="B89" s="68"/>
      <c r="C89" s="69"/>
      <c r="D89" s="69"/>
      <c r="E89" s="69"/>
      <c r="F89" s="69"/>
      <c r="G89" s="69"/>
      <c r="H89" s="69"/>
      <c r="I89" s="68"/>
      <c r="J89" s="69"/>
      <c r="K89" s="68"/>
      <c r="L89" s="69"/>
      <c r="M89" s="67" t="str">
        <f>IF(OR(C89="",E89="",L89=""),"",IF(INDEX(KPI_Targets!$F$5:$F$20,MATCH(C89,KPI_Targets!$B$5:$B$20,0))="Higher",IF(L89&gt;E89,"Improved",IF(L89=E89,"No change","Worse")),IF(L89&lt;E89,"Improved",IF(L89=E89,"No change","Worse"))))</f>
        <v/>
      </c>
      <c r="N89" s="67" t="str">
        <f t="shared" ca="1" si="1"/>
        <v/>
      </c>
      <c r="O89" s="69"/>
    </row>
    <row r="90" spans="1:15" x14ac:dyDescent="0.3">
      <c r="A90" s="69"/>
      <c r="B90" s="68"/>
      <c r="C90" s="69"/>
      <c r="D90" s="69"/>
      <c r="E90" s="69"/>
      <c r="F90" s="69"/>
      <c r="G90" s="69"/>
      <c r="H90" s="69"/>
      <c r="I90" s="68"/>
      <c r="J90" s="69"/>
      <c r="K90" s="68"/>
      <c r="L90" s="69"/>
      <c r="M90" s="67" t="str">
        <f>IF(OR(C90="",E90="",L90=""),"",IF(INDEX(KPI_Targets!$F$5:$F$20,MATCH(C90,KPI_Targets!$B$5:$B$20,0))="Higher",IF(L90&gt;E90,"Improved",IF(L90=E90,"No change","Worse")),IF(L90&lt;E90,"Improved",IF(L90=E90,"No change","Worse"))))</f>
        <v/>
      </c>
      <c r="N90" s="67" t="str">
        <f t="shared" ca="1" si="1"/>
        <v/>
      </c>
      <c r="O90" s="69"/>
    </row>
    <row r="91" spans="1:15" x14ac:dyDescent="0.3">
      <c r="A91" s="69"/>
      <c r="B91" s="68"/>
      <c r="C91" s="69"/>
      <c r="D91" s="69"/>
      <c r="E91" s="69"/>
      <c r="F91" s="69"/>
      <c r="G91" s="69"/>
      <c r="H91" s="69"/>
      <c r="I91" s="68"/>
      <c r="J91" s="69"/>
      <c r="K91" s="68"/>
      <c r="L91" s="69"/>
      <c r="M91" s="67" t="str">
        <f>IF(OR(C91="",E91="",L91=""),"",IF(INDEX(KPI_Targets!$F$5:$F$20,MATCH(C91,KPI_Targets!$B$5:$B$20,0))="Higher",IF(L91&gt;E91,"Improved",IF(L91=E91,"No change","Worse")),IF(L91&lt;E91,"Improved",IF(L91=E91,"No change","Worse"))))</f>
        <v/>
      </c>
      <c r="N91" s="67" t="str">
        <f t="shared" ca="1" si="1"/>
        <v/>
      </c>
      <c r="O91" s="69"/>
    </row>
    <row r="92" spans="1:15" x14ac:dyDescent="0.3">
      <c r="A92" s="69"/>
      <c r="B92" s="68"/>
      <c r="C92" s="69"/>
      <c r="D92" s="69"/>
      <c r="E92" s="69"/>
      <c r="F92" s="69"/>
      <c r="G92" s="69"/>
      <c r="H92" s="69"/>
      <c r="I92" s="68"/>
      <c r="J92" s="69"/>
      <c r="K92" s="68"/>
      <c r="L92" s="69"/>
      <c r="M92" s="67" t="str">
        <f>IF(OR(C92="",E92="",L92=""),"",IF(INDEX(KPI_Targets!$F$5:$F$20,MATCH(C92,KPI_Targets!$B$5:$B$20,0))="Higher",IF(L92&gt;E92,"Improved",IF(L92=E92,"No change","Worse")),IF(L92&lt;E92,"Improved",IF(L92=E92,"No change","Worse"))))</f>
        <v/>
      </c>
      <c r="N92" s="67" t="str">
        <f t="shared" ca="1" si="1"/>
        <v/>
      </c>
      <c r="O92" s="69"/>
    </row>
    <row r="93" spans="1:15" x14ac:dyDescent="0.3">
      <c r="A93" s="69"/>
      <c r="B93" s="68"/>
      <c r="C93" s="69"/>
      <c r="D93" s="69"/>
      <c r="E93" s="69"/>
      <c r="F93" s="69"/>
      <c r="G93" s="69"/>
      <c r="H93" s="69"/>
      <c r="I93" s="68"/>
      <c r="J93" s="69"/>
      <c r="K93" s="68"/>
      <c r="L93" s="69"/>
      <c r="M93" s="67" t="str">
        <f>IF(OR(C93="",E93="",L93=""),"",IF(INDEX(KPI_Targets!$F$5:$F$20,MATCH(C93,KPI_Targets!$B$5:$B$20,0))="Higher",IF(L93&gt;E93,"Improved",IF(L93=E93,"No change","Worse")),IF(L93&lt;E93,"Improved",IF(L93=E93,"No change","Worse"))))</f>
        <v/>
      </c>
      <c r="N93" s="67" t="str">
        <f t="shared" ca="1" si="1"/>
        <v/>
      </c>
      <c r="O93" s="69"/>
    </row>
    <row r="94" spans="1:15" x14ac:dyDescent="0.3">
      <c r="A94" s="69"/>
      <c r="B94" s="68"/>
      <c r="C94" s="69"/>
      <c r="D94" s="69"/>
      <c r="E94" s="69"/>
      <c r="F94" s="69"/>
      <c r="G94" s="69"/>
      <c r="H94" s="69"/>
      <c r="I94" s="68"/>
      <c r="J94" s="69"/>
      <c r="K94" s="68"/>
      <c r="L94" s="69"/>
      <c r="M94" s="67" t="str">
        <f>IF(OR(C94="",E94="",L94=""),"",IF(INDEX(KPI_Targets!$F$5:$F$20,MATCH(C94,KPI_Targets!$B$5:$B$20,0))="Higher",IF(L94&gt;E94,"Improved",IF(L94=E94,"No change","Worse")),IF(L94&lt;E94,"Improved",IF(L94=E94,"No change","Worse"))))</f>
        <v/>
      </c>
      <c r="N94" s="67" t="str">
        <f t="shared" ca="1" si="1"/>
        <v/>
      </c>
      <c r="O94" s="69"/>
    </row>
    <row r="95" spans="1:15" x14ac:dyDescent="0.3">
      <c r="A95" s="69"/>
      <c r="B95" s="68"/>
      <c r="C95" s="69"/>
      <c r="D95" s="69"/>
      <c r="E95" s="69"/>
      <c r="F95" s="69"/>
      <c r="G95" s="69"/>
      <c r="H95" s="69"/>
      <c r="I95" s="68"/>
      <c r="J95" s="69"/>
      <c r="K95" s="68"/>
      <c r="L95" s="69"/>
      <c r="M95" s="67" t="str">
        <f>IF(OR(C95="",E95="",L95=""),"",IF(INDEX(KPI_Targets!$F$5:$F$20,MATCH(C95,KPI_Targets!$B$5:$B$20,0))="Higher",IF(L95&gt;E95,"Improved",IF(L95=E95,"No change","Worse")),IF(L95&lt;E95,"Improved",IF(L95=E95,"No change","Worse"))))</f>
        <v/>
      </c>
      <c r="N95" s="67" t="str">
        <f t="shared" ca="1" si="1"/>
        <v/>
      </c>
      <c r="O95" s="69"/>
    </row>
    <row r="96" spans="1:15" x14ac:dyDescent="0.3">
      <c r="A96" s="69"/>
      <c r="B96" s="68"/>
      <c r="C96" s="69"/>
      <c r="D96" s="69"/>
      <c r="E96" s="69"/>
      <c r="F96" s="69"/>
      <c r="G96" s="69"/>
      <c r="H96" s="69"/>
      <c r="I96" s="68"/>
      <c r="J96" s="69"/>
      <c r="K96" s="68"/>
      <c r="L96" s="69"/>
      <c r="M96" s="67" t="str">
        <f>IF(OR(C96="",E96="",L96=""),"",IF(INDEX(KPI_Targets!$F$5:$F$20,MATCH(C96,KPI_Targets!$B$5:$B$20,0))="Higher",IF(L96&gt;E96,"Improved",IF(L96=E96,"No change","Worse")),IF(L96&lt;E96,"Improved",IF(L96=E96,"No change","Worse"))))</f>
        <v/>
      </c>
      <c r="N96" s="67" t="str">
        <f t="shared" ca="1" si="1"/>
        <v/>
      </c>
      <c r="O96" s="69"/>
    </row>
    <row r="97" spans="1:15" x14ac:dyDescent="0.3">
      <c r="A97" s="69"/>
      <c r="B97" s="68"/>
      <c r="C97" s="69"/>
      <c r="D97" s="69"/>
      <c r="E97" s="69"/>
      <c r="F97" s="69"/>
      <c r="G97" s="69"/>
      <c r="H97" s="69"/>
      <c r="I97" s="68"/>
      <c r="J97" s="69"/>
      <c r="K97" s="68"/>
      <c r="L97" s="69"/>
      <c r="M97" s="67" t="str">
        <f>IF(OR(C97="",E97="",L97=""),"",IF(INDEX(KPI_Targets!$F$5:$F$20,MATCH(C97,KPI_Targets!$B$5:$B$20,0))="Higher",IF(L97&gt;E97,"Improved",IF(L97=E97,"No change","Worse")),IF(L97&lt;E97,"Improved",IF(L97=E97,"No change","Worse"))))</f>
        <v/>
      </c>
      <c r="N97" s="67" t="str">
        <f t="shared" ca="1" si="1"/>
        <v/>
      </c>
      <c r="O97" s="69"/>
    </row>
    <row r="98" spans="1:15" x14ac:dyDescent="0.3">
      <c r="A98" s="69"/>
      <c r="B98" s="68"/>
      <c r="C98" s="69"/>
      <c r="D98" s="69"/>
      <c r="E98" s="69"/>
      <c r="F98" s="69"/>
      <c r="G98" s="69"/>
      <c r="H98" s="69"/>
      <c r="I98" s="68"/>
      <c r="J98" s="69"/>
      <c r="K98" s="68"/>
      <c r="L98" s="69"/>
      <c r="M98" s="67" t="str">
        <f>IF(OR(C98="",E98="",L98=""),"",IF(INDEX(KPI_Targets!$F$5:$F$20,MATCH(C98,KPI_Targets!$B$5:$B$20,0))="Higher",IF(L98&gt;E98,"Improved",IF(L98=E98,"No change","Worse")),IF(L98&lt;E98,"Improved",IF(L98=E98,"No change","Worse"))))</f>
        <v/>
      </c>
      <c r="N98" s="67" t="str">
        <f t="shared" ca="1" si="1"/>
        <v/>
      </c>
      <c r="O98" s="69"/>
    </row>
    <row r="99" spans="1:15" x14ac:dyDescent="0.3">
      <c r="A99" s="69"/>
      <c r="B99" s="68"/>
      <c r="C99" s="69"/>
      <c r="D99" s="69"/>
      <c r="E99" s="69"/>
      <c r="F99" s="69"/>
      <c r="G99" s="69"/>
      <c r="H99" s="69"/>
      <c r="I99" s="68"/>
      <c r="J99" s="69"/>
      <c r="K99" s="68"/>
      <c r="L99" s="69"/>
      <c r="M99" s="67" t="str">
        <f>IF(OR(C99="",E99="",L99=""),"",IF(INDEX(KPI_Targets!$F$5:$F$20,MATCH(C99,KPI_Targets!$B$5:$B$20,0))="Higher",IF(L99&gt;E99,"Improved",IF(L99=E99,"No change","Worse")),IF(L99&lt;E99,"Improved",IF(L99=E99,"No change","Worse"))))</f>
        <v/>
      </c>
      <c r="N99" s="67" t="str">
        <f t="shared" ca="1" si="1"/>
        <v/>
      </c>
      <c r="O99" s="69"/>
    </row>
    <row r="100" spans="1:15" x14ac:dyDescent="0.3">
      <c r="A100" s="69"/>
      <c r="B100" s="68"/>
      <c r="C100" s="69"/>
      <c r="D100" s="69"/>
      <c r="E100" s="69"/>
      <c r="F100" s="69"/>
      <c r="G100" s="69"/>
      <c r="H100" s="69"/>
      <c r="I100" s="68"/>
      <c r="J100" s="69"/>
      <c r="K100" s="68"/>
      <c r="L100" s="69"/>
      <c r="M100" s="67" t="str">
        <f>IF(OR(C100="",E100="",L100=""),"",IF(INDEX(KPI_Targets!$F$5:$F$20,MATCH(C100,KPI_Targets!$B$5:$B$20,0))="Higher",IF(L100&gt;E100,"Improved",IF(L100=E100,"No change","Worse")),IF(L100&lt;E100,"Improved",IF(L100=E100,"No change","Worse"))))</f>
        <v/>
      </c>
      <c r="N100" s="67" t="str">
        <f t="shared" ca="1" si="1"/>
        <v/>
      </c>
      <c r="O100" s="69"/>
    </row>
    <row r="101" spans="1:15" x14ac:dyDescent="0.3">
      <c r="A101" s="69"/>
      <c r="B101" s="68"/>
      <c r="C101" s="69"/>
      <c r="D101" s="69"/>
      <c r="E101" s="69"/>
      <c r="F101" s="69"/>
      <c r="G101" s="69"/>
      <c r="H101" s="69"/>
      <c r="I101" s="68"/>
      <c r="J101" s="69"/>
      <c r="K101" s="68"/>
      <c r="L101" s="69"/>
      <c r="M101" s="67" t="str">
        <f>IF(OR(C101="",E101="",L101=""),"",IF(INDEX(KPI_Targets!$F$5:$F$20,MATCH(C101,KPI_Targets!$B$5:$B$20,0))="Higher",IF(L101&gt;E101,"Improved",IF(L101=E101,"No change","Worse")),IF(L101&lt;E101,"Improved",IF(L101=E101,"No change","Worse"))))</f>
        <v/>
      </c>
      <c r="N101" s="67" t="str">
        <f t="shared" ca="1" si="1"/>
        <v/>
      </c>
      <c r="O101" s="69"/>
    </row>
    <row r="102" spans="1:15" x14ac:dyDescent="0.3">
      <c r="A102" s="69"/>
      <c r="B102" s="68"/>
      <c r="C102" s="69"/>
      <c r="D102" s="69"/>
      <c r="E102" s="69"/>
      <c r="F102" s="69"/>
      <c r="G102" s="69"/>
      <c r="H102" s="69"/>
      <c r="I102" s="68"/>
      <c r="J102" s="69"/>
      <c r="K102" s="68"/>
      <c r="L102" s="69"/>
      <c r="M102" s="67" t="str">
        <f>IF(OR(C102="",E102="",L102=""),"",IF(INDEX(KPI_Targets!$F$5:$F$20,MATCH(C102,KPI_Targets!$B$5:$B$20,0))="Higher",IF(L102&gt;E102,"Improved",IF(L102=E102,"No change","Worse")),IF(L102&lt;E102,"Improved",IF(L102=E102,"No change","Worse"))))</f>
        <v/>
      </c>
      <c r="N102" s="67" t="str">
        <f t="shared" ca="1" si="1"/>
        <v/>
      </c>
      <c r="O102" s="69"/>
    </row>
    <row r="103" spans="1:15" x14ac:dyDescent="0.3">
      <c r="A103" s="69"/>
      <c r="B103" s="68"/>
      <c r="C103" s="69"/>
      <c r="D103" s="69"/>
      <c r="E103" s="69"/>
      <c r="F103" s="69"/>
      <c r="G103" s="69"/>
      <c r="H103" s="69"/>
      <c r="I103" s="68"/>
      <c r="J103" s="69"/>
      <c r="K103" s="68"/>
      <c r="L103" s="69"/>
      <c r="M103" s="67" t="str">
        <f>IF(OR(C103="",E103="",L103=""),"",IF(INDEX(KPI_Targets!$F$5:$F$20,MATCH(C103,KPI_Targets!$B$5:$B$20,0))="Higher",IF(L103&gt;E103,"Improved",IF(L103=E103,"No change","Worse")),IF(L103&lt;E103,"Improved",IF(L103=E103,"No change","Worse"))))</f>
        <v/>
      </c>
      <c r="N103" s="67" t="str">
        <f t="shared" ca="1" si="1"/>
        <v/>
      </c>
      <c r="O103" s="69"/>
    </row>
    <row r="104" spans="1:15" x14ac:dyDescent="0.3">
      <c r="A104" s="69"/>
      <c r="B104" s="68"/>
      <c r="C104" s="69"/>
      <c r="D104" s="69"/>
      <c r="E104" s="69"/>
      <c r="F104" s="69"/>
      <c r="G104" s="69"/>
      <c r="H104" s="69"/>
      <c r="I104" s="68"/>
      <c r="J104" s="69"/>
      <c r="K104" s="68"/>
      <c r="L104" s="69"/>
      <c r="M104" s="67" t="str">
        <f>IF(OR(C104="",E104="",L104=""),"",IF(INDEX(KPI_Targets!$F$5:$F$20,MATCH(C104,KPI_Targets!$B$5:$B$20,0))="Higher",IF(L104&gt;E104,"Improved",IF(L104=E104,"No change","Worse")),IF(L104&lt;E104,"Improved",IF(L104=E104,"No change","Worse"))))</f>
        <v/>
      </c>
      <c r="N104" s="67" t="str">
        <f t="shared" ca="1" si="1"/>
        <v/>
      </c>
      <c r="O104" s="69"/>
    </row>
    <row r="105" spans="1:15" x14ac:dyDescent="0.3">
      <c r="A105" s="69"/>
      <c r="B105" s="68"/>
      <c r="C105" s="69"/>
      <c r="D105" s="69"/>
      <c r="E105" s="69"/>
      <c r="F105" s="69"/>
      <c r="G105" s="69"/>
      <c r="H105" s="69"/>
      <c r="I105" s="68"/>
      <c r="J105" s="69"/>
      <c r="K105" s="68"/>
      <c r="L105" s="69"/>
      <c r="M105" s="67" t="str">
        <f>IF(OR(C105="",E105="",L105=""),"",IF(INDEX(KPI_Targets!$F$5:$F$20,MATCH(C105,KPI_Targets!$B$5:$B$20,0))="Higher",IF(L105&gt;E105,"Improved",IF(L105=E105,"No change","Worse")),IF(L105&lt;E105,"Improved",IF(L105=E105,"No change","Worse"))))</f>
        <v/>
      </c>
      <c r="N105" s="67" t="str">
        <f t="shared" ca="1" si="1"/>
        <v/>
      </c>
      <c r="O105" s="69"/>
    </row>
    <row r="106" spans="1:15" x14ac:dyDescent="0.3">
      <c r="A106" s="69"/>
      <c r="B106" s="68"/>
      <c r="C106" s="69"/>
      <c r="D106" s="69"/>
      <c r="E106" s="69"/>
      <c r="F106" s="69"/>
      <c r="G106" s="69"/>
      <c r="H106" s="69"/>
      <c r="I106" s="68"/>
      <c r="J106" s="69"/>
      <c r="K106" s="68"/>
      <c r="L106" s="69"/>
      <c r="M106" s="67" t="str">
        <f>IF(OR(C106="",E106="",L106=""),"",IF(INDEX(KPI_Targets!$F$5:$F$20,MATCH(C106,KPI_Targets!$B$5:$B$20,0))="Higher",IF(L106&gt;E106,"Improved",IF(L106=E106,"No change","Worse")),IF(L106&lt;E106,"Improved",IF(L106=E106,"No change","Worse"))))</f>
        <v/>
      </c>
      <c r="N106" s="67" t="str">
        <f t="shared" ca="1" si="1"/>
        <v/>
      </c>
      <c r="O106" s="69"/>
    </row>
    <row r="107" spans="1:15" x14ac:dyDescent="0.3">
      <c r="A107" s="69"/>
      <c r="B107" s="68"/>
      <c r="C107" s="69"/>
      <c r="D107" s="69"/>
      <c r="E107" s="69"/>
      <c r="F107" s="69"/>
      <c r="G107" s="69"/>
      <c r="H107" s="69"/>
      <c r="I107" s="68"/>
      <c r="J107" s="69"/>
      <c r="K107" s="68"/>
      <c r="L107" s="69"/>
      <c r="M107" s="67" t="str">
        <f>IF(OR(C107="",E107="",L107=""),"",IF(INDEX(KPI_Targets!$F$5:$F$20,MATCH(C107,KPI_Targets!$B$5:$B$20,0))="Higher",IF(L107&gt;E107,"Improved",IF(L107=E107,"No change","Worse")),IF(L107&lt;E107,"Improved",IF(L107=E107,"No change","Worse"))))</f>
        <v/>
      </c>
      <c r="N107" s="67" t="str">
        <f t="shared" ca="1" si="1"/>
        <v/>
      </c>
      <c r="O107" s="69"/>
    </row>
    <row r="108" spans="1:15" x14ac:dyDescent="0.3">
      <c r="A108" s="69"/>
      <c r="B108" s="68"/>
      <c r="C108" s="69"/>
      <c r="D108" s="69"/>
      <c r="E108" s="69"/>
      <c r="F108" s="69"/>
      <c r="G108" s="69"/>
      <c r="H108" s="69"/>
      <c r="I108" s="68"/>
      <c r="J108" s="69"/>
      <c r="K108" s="68"/>
      <c r="L108" s="69"/>
      <c r="M108" s="67" t="str">
        <f>IF(OR(C108="",E108="",L108=""),"",IF(INDEX(KPI_Targets!$F$5:$F$20,MATCH(C108,KPI_Targets!$B$5:$B$20,0))="Higher",IF(L108&gt;E108,"Improved",IF(L108=E108,"No change","Worse")),IF(L108&lt;E108,"Improved",IF(L108=E108,"No change","Worse"))))</f>
        <v/>
      </c>
      <c r="N108" s="67" t="str">
        <f t="shared" ca="1" si="1"/>
        <v/>
      </c>
      <c r="O108" s="69"/>
    </row>
    <row r="109" spans="1:15" x14ac:dyDescent="0.3">
      <c r="A109" s="69"/>
      <c r="B109" s="68"/>
      <c r="C109" s="69"/>
      <c r="D109" s="69"/>
      <c r="E109" s="69"/>
      <c r="F109" s="69"/>
      <c r="G109" s="69"/>
      <c r="H109" s="69"/>
      <c r="I109" s="68"/>
      <c r="J109" s="69"/>
      <c r="K109" s="68"/>
      <c r="L109" s="69"/>
      <c r="M109" s="67" t="str">
        <f>IF(OR(C109="",E109="",L109=""),"",IF(INDEX(KPI_Targets!$F$5:$F$20,MATCH(C109,KPI_Targets!$B$5:$B$20,0))="Higher",IF(L109&gt;E109,"Improved",IF(L109=E109,"No change","Worse")),IF(L109&lt;E109,"Improved",IF(L109=E109,"No change","Worse"))))</f>
        <v/>
      </c>
      <c r="N109" s="67" t="str">
        <f t="shared" ca="1" si="1"/>
        <v/>
      </c>
      <c r="O109" s="69"/>
    </row>
    <row r="110" spans="1:15" x14ac:dyDescent="0.3">
      <c r="A110" s="69"/>
      <c r="B110" s="68"/>
      <c r="C110" s="69"/>
      <c r="D110" s="69"/>
      <c r="E110" s="69"/>
      <c r="F110" s="69"/>
      <c r="G110" s="69"/>
      <c r="H110" s="69"/>
      <c r="I110" s="68"/>
      <c r="J110" s="69"/>
      <c r="K110" s="68"/>
      <c r="L110" s="69"/>
      <c r="M110" s="67" t="str">
        <f>IF(OR(C110="",E110="",L110=""),"",IF(INDEX(KPI_Targets!$F$5:$F$20,MATCH(C110,KPI_Targets!$B$5:$B$20,0))="Higher",IF(L110&gt;E110,"Improved",IF(L110=E110,"No change","Worse")),IF(L110&lt;E110,"Improved",IF(L110=E110,"No change","Worse"))))</f>
        <v/>
      </c>
      <c r="N110" s="67" t="str">
        <f t="shared" ca="1" si="1"/>
        <v/>
      </c>
      <c r="O110" s="69"/>
    </row>
    <row r="111" spans="1:15" x14ac:dyDescent="0.3">
      <c r="A111" s="69"/>
      <c r="B111" s="68"/>
      <c r="C111" s="69"/>
      <c r="D111" s="69"/>
      <c r="E111" s="69"/>
      <c r="F111" s="69"/>
      <c r="G111" s="69"/>
      <c r="H111" s="69"/>
      <c r="I111" s="68"/>
      <c r="J111" s="69"/>
      <c r="K111" s="68"/>
      <c r="L111" s="69"/>
      <c r="M111" s="67" t="str">
        <f>IF(OR(C111="",E111="",L111=""),"",IF(INDEX(KPI_Targets!$F$5:$F$20,MATCH(C111,KPI_Targets!$B$5:$B$20,0))="Higher",IF(L111&gt;E111,"Improved",IF(L111=E111,"No change","Worse")),IF(L111&lt;E111,"Improved",IF(L111=E111,"No change","Worse"))))</f>
        <v/>
      </c>
      <c r="N111" s="67" t="str">
        <f t="shared" ca="1" si="1"/>
        <v/>
      </c>
      <c r="O111" s="69"/>
    </row>
    <row r="112" spans="1:15" x14ac:dyDescent="0.3">
      <c r="A112" s="69"/>
      <c r="B112" s="68"/>
      <c r="C112" s="69"/>
      <c r="D112" s="69"/>
      <c r="E112" s="69"/>
      <c r="F112" s="69"/>
      <c r="G112" s="69"/>
      <c r="H112" s="69"/>
      <c r="I112" s="68"/>
      <c r="J112" s="69"/>
      <c r="K112" s="68"/>
      <c r="L112" s="69"/>
      <c r="M112" s="67" t="str">
        <f>IF(OR(C112="",E112="",L112=""),"",IF(INDEX(KPI_Targets!$F$5:$F$20,MATCH(C112,KPI_Targets!$B$5:$B$20,0))="Higher",IF(L112&gt;E112,"Improved",IF(L112=E112,"No change","Worse")),IF(L112&lt;E112,"Improved",IF(L112=E112,"No change","Worse"))))</f>
        <v/>
      </c>
      <c r="N112" s="67" t="str">
        <f t="shared" ca="1" si="1"/>
        <v/>
      </c>
      <c r="O112" s="69"/>
    </row>
    <row r="113" spans="1:15" x14ac:dyDescent="0.3">
      <c r="A113" s="69"/>
      <c r="B113" s="68"/>
      <c r="C113" s="69"/>
      <c r="D113" s="69"/>
      <c r="E113" s="69"/>
      <c r="F113" s="69"/>
      <c r="G113" s="69"/>
      <c r="H113" s="69"/>
      <c r="I113" s="68"/>
      <c r="J113" s="69"/>
      <c r="K113" s="68"/>
      <c r="L113" s="69"/>
      <c r="M113" s="67" t="str">
        <f>IF(OR(C113="",E113="",L113=""),"",IF(INDEX(KPI_Targets!$F$5:$F$20,MATCH(C113,KPI_Targets!$B$5:$B$20,0))="Higher",IF(L113&gt;E113,"Improved",IF(L113=E113,"No change","Worse")),IF(L113&lt;E113,"Improved",IF(L113=E113,"No change","Worse"))))</f>
        <v/>
      </c>
      <c r="N113" s="67" t="str">
        <f t="shared" ca="1" si="1"/>
        <v/>
      </c>
      <c r="O113" s="69"/>
    </row>
    <row r="114" spans="1:15" x14ac:dyDescent="0.3">
      <c r="A114" s="69"/>
      <c r="B114" s="68"/>
      <c r="C114" s="69"/>
      <c r="D114" s="69"/>
      <c r="E114" s="69"/>
      <c r="F114" s="69"/>
      <c r="G114" s="69"/>
      <c r="H114" s="69"/>
      <c r="I114" s="68"/>
      <c r="J114" s="69"/>
      <c r="K114" s="68"/>
      <c r="L114" s="69"/>
      <c r="M114" s="67" t="str">
        <f>IF(OR(C114="",E114="",L114=""),"",IF(INDEX(KPI_Targets!$F$5:$F$20,MATCH(C114,KPI_Targets!$B$5:$B$20,0))="Higher",IF(L114&gt;E114,"Improved",IF(L114=E114,"No change","Worse")),IF(L114&lt;E114,"Improved",IF(L114=E114,"No change","Worse"))))</f>
        <v/>
      </c>
      <c r="N114" s="67" t="str">
        <f t="shared" ca="1" si="1"/>
        <v/>
      </c>
      <c r="O114" s="69"/>
    </row>
    <row r="115" spans="1:15" x14ac:dyDescent="0.3">
      <c r="A115" s="69"/>
      <c r="B115" s="68"/>
      <c r="C115" s="69"/>
      <c r="D115" s="69"/>
      <c r="E115" s="69"/>
      <c r="F115" s="69"/>
      <c r="G115" s="69"/>
      <c r="H115" s="69"/>
      <c r="I115" s="68"/>
      <c r="J115" s="69"/>
      <c r="K115" s="68"/>
      <c r="L115" s="69"/>
      <c r="M115" s="67" t="str">
        <f>IF(OR(C115="",E115="",L115=""),"",IF(INDEX(KPI_Targets!$F$5:$F$20,MATCH(C115,KPI_Targets!$B$5:$B$20,0))="Higher",IF(L115&gt;E115,"Improved",IF(L115=E115,"No change","Worse")),IF(L115&lt;E115,"Improved",IF(L115=E115,"No change","Worse"))))</f>
        <v/>
      </c>
      <c r="N115" s="67" t="str">
        <f t="shared" ca="1" si="1"/>
        <v/>
      </c>
      <c r="O115" s="69"/>
    </row>
    <row r="116" spans="1:15" x14ac:dyDescent="0.3">
      <c r="A116" s="69"/>
      <c r="B116" s="68"/>
      <c r="C116" s="69"/>
      <c r="D116" s="69"/>
      <c r="E116" s="69"/>
      <c r="F116" s="69"/>
      <c r="G116" s="69"/>
      <c r="H116" s="69"/>
      <c r="I116" s="68"/>
      <c r="J116" s="69"/>
      <c r="K116" s="68"/>
      <c r="L116" s="69"/>
      <c r="M116" s="67" t="str">
        <f>IF(OR(C116="",E116="",L116=""),"",IF(INDEX(KPI_Targets!$F$5:$F$20,MATCH(C116,KPI_Targets!$B$5:$B$20,0))="Higher",IF(L116&gt;E116,"Improved",IF(L116=E116,"No change","Worse")),IF(L116&lt;E116,"Improved",IF(L116=E116,"No change","Worse"))))</f>
        <v/>
      </c>
      <c r="N116" s="67" t="str">
        <f t="shared" ca="1" si="1"/>
        <v/>
      </c>
      <c r="O116" s="69"/>
    </row>
    <row r="117" spans="1:15" x14ac:dyDescent="0.3">
      <c r="A117" s="69"/>
      <c r="B117" s="68"/>
      <c r="C117" s="69"/>
      <c r="D117" s="69"/>
      <c r="E117" s="69"/>
      <c r="F117" s="69"/>
      <c r="G117" s="69"/>
      <c r="H117" s="69"/>
      <c r="I117" s="68"/>
      <c r="J117" s="69"/>
      <c r="K117" s="68"/>
      <c r="L117" s="69"/>
      <c r="M117" s="67" t="str">
        <f>IF(OR(C117="",E117="",L117=""),"",IF(INDEX(KPI_Targets!$F$5:$F$20,MATCH(C117,KPI_Targets!$B$5:$B$20,0))="Higher",IF(L117&gt;E117,"Improved",IF(L117=E117,"No change","Worse")),IF(L117&lt;E117,"Improved",IF(L117=E117,"No change","Worse"))))</f>
        <v/>
      </c>
      <c r="N117" s="67" t="str">
        <f t="shared" ca="1" si="1"/>
        <v/>
      </c>
      <c r="O117" s="69"/>
    </row>
    <row r="118" spans="1:15" x14ac:dyDescent="0.3">
      <c r="A118" s="69"/>
      <c r="B118" s="68"/>
      <c r="C118" s="69"/>
      <c r="D118" s="69"/>
      <c r="E118" s="69"/>
      <c r="F118" s="69"/>
      <c r="G118" s="69"/>
      <c r="H118" s="69"/>
      <c r="I118" s="68"/>
      <c r="J118" s="69"/>
      <c r="K118" s="68"/>
      <c r="L118" s="69"/>
      <c r="M118" s="67" t="str">
        <f>IF(OR(C118="",E118="",L118=""),"",IF(INDEX(KPI_Targets!$F$5:$F$20,MATCH(C118,KPI_Targets!$B$5:$B$20,0))="Higher",IF(L118&gt;E118,"Improved",IF(L118=E118,"No change","Worse")),IF(L118&lt;E118,"Improved",IF(L118=E118,"No change","Worse"))))</f>
        <v/>
      </c>
      <c r="N118" s="67" t="str">
        <f t="shared" ca="1" si="1"/>
        <v/>
      </c>
      <c r="O118" s="69"/>
    </row>
    <row r="119" spans="1:15" x14ac:dyDescent="0.3">
      <c r="A119" s="69"/>
      <c r="B119" s="68"/>
      <c r="C119" s="69"/>
      <c r="D119" s="69"/>
      <c r="E119" s="69"/>
      <c r="F119" s="69"/>
      <c r="G119" s="69"/>
      <c r="H119" s="69"/>
      <c r="I119" s="68"/>
      <c r="J119" s="69"/>
      <c r="K119" s="68"/>
      <c r="L119" s="69"/>
      <c r="M119" s="67" t="str">
        <f>IF(OR(C119="",E119="",L119=""),"",IF(INDEX(KPI_Targets!$F$5:$F$20,MATCH(C119,KPI_Targets!$B$5:$B$20,0))="Higher",IF(L119&gt;E119,"Improved",IF(L119=E119,"No change","Worse")),IF(L119&lt;E119,"Improved",IF(L119=E119,"No change","Worse"))))</f>
        <v/>
      </c>
      <c r="N119" s="67" t="str">
        <f t="shared" ca="1" si="1"/>
        <v/>
      </c>
      <c r="O119" s="69"/>
    </row>
    <row r="120" spans="1:15" x14ac:dyDescent="0.3">
      <c r="A120" s="69"/>
      <c r="B120" s="68"/>
      <c r="C120" s="69"/>
      <c r="D120" s="69"/>
      <c r="E120" s="69"/>
      <c r="F120" s="69"/>
      <c r="G120" s="69"/>
      <c r="H120" s="69"/>
      <c r="I120" s="68"/>
      <c r="J120" s="69"/>
      <c r="K120" s="68"/>
      <c r="L120" s="69"/>
      <c r="M120" s="67" t="str">
        <f>IF(OR(C120="",E120="",L120=""),"",IF(INDEX(KPI_Targets!$F$5:$F$20,MATCH(C120,KPI_Targets!$B$5:$B$20,0))="Higher",IF(L120&gt;E120,"Improved",IF(L120=E120,"No change","Worse")),IF(L120&lt;E120,"Improved",IF(L120=E120,"No change","Worse"))))</f>
        <v/>
      </c>
      <c r="N120" s="67" t="str">
        <f t="shared" ca="1" si="1"/>
        <v/>
      </c>
      <c r="O120" s="69"/>
    </row>
    <row r="121" spans="1:15" x14ac:dyDescent="0.3">
      <c r="A121" s="69"/>
      <c r="B121" s="68"/>
      <c r="C121" s="69"/>
      <c r="D121" s="69"/>
      <c r="E121" s="69"/>
      <c r="F121" s="69"/>
      <c r="G121" s="69"/>
      <c r="H121" s="69"/>
      <c r="I121" s="68"/>
      <c r="J121" s="69"/>
      <c r="K121" s="68"/>
      <c r="L121" s="69"/>
      <c r="M121" s="67" t="str">
        <f>IF(OR(C121="",E121="",L121=""),"",IF(INDEX(KPI_Targets!$F$5:$F$20,MATCH(C121,KPI_Targets!$B$5:$B$20,0))="Higher",IF(L121&gt;E121,"Improved",IF(L121=E121,"No change","Worse")),IF(L121&lt;E121,"Improved",IF(L121=E121,"No change","Worse"))))</f>
        <v/>
      </c>
      <c r="N121" s="67" t="str">
        <f t="shared" ca="1" si="1"/>
        <v/>
      </c>
      <c r="O121" s="69"/>
    </row>
    <row r="122" spans="1:15" x14ac:dyDescent="0.3">
      <c r="A122" s="69"/>
      <c r="B122" s="68"/>
      <c r="C122" s="69"/>
      <c r="D122" s="69"/>
      <c r="E122" s="69"/>
      <c r="F122" s="69"/>
      <c r="G122" s="69"/>
      <c r="H122" s="69"/>
      <c r="I122" s="68"/>
      <c r="J122" s="69"/>
      <c r="K122" s="68"/>
      <c r="L122" s="69"/>
      <c r="M122" s="67" t="str">
        <f>IF(OR(C122="",E122="",L122=""),"",IF(INDEX(KPI_Targets!$F$5:$F$20,MATCH(C122,KPI_Targets!$B$5:$B$20,0))="Higher",IF(L122&gt;E122,"Improved",IF(L122=E122,"No change","Worse")),IF(L122&lt;E122,"Improved",IF(L122=E122,"No change","Worse"))))</f>
        <v/>
      </c>
      <c r="N122" s="67" t="str">
        <f t="shared" ca="1" si="1"/>
        <v/>
      </c>
      <c r="O122" s="69"/>
    </row>
    <row r="123" spans="1:15" x14ac:dyDescent="0.3">
      <c r="A123" s="69"/>
      <c r="B123" s="68"/>
      <c r="C123" s="69"/>
      <c r="D123" s="69"/>
      <c r="E123" s="69"/>
      <c r="F123" s="69"/>
      <c r="G123" s="69"/>
      <c r="H123" s="69"/>
      <c r="I123" s="68"/>
      <c r="J123" s="69"/>
      <c r="K123" s="68"/>
      <c r="L123" s="69"/>
      <c r="M123" s="67" t="str">
        <f>IF(OR(C123="",E123="",L123=""),"",IF(INDEX(KPI_Targets!$F$5:$F$20,MATCH(C123,KPI_Targets!$B$5:$B$20,0))="Higher",IF(L123&gt;E123,"Improved",IF(L123=E123,"No change","Worse")),IF(L123&lt;E123,"Improved",IF(L123=E123,"No change","Worse"))))</f>
        <v/>
      </c>
      <c r="N123" s="67" t="str">
        <f t="shared" ca="1" si="1"/>
        <v/>
      </c>
      <c r="O123" s="69"/>
    </row>
    <row r="124" spans="1:15" x14ac:dyDescent="0.3">
      <c r="A124" s="69"/>
      <c r="B124" s="68"/>
      <c r="C124" s="69"/>
      <c r="D124" s="69"/>
      <c r="E124" s="69"/>
      <c r="F124" s="69"/>
      <c r="G124" s="69"/>
      <c r="H124" s="69"/>
      <c r="I124" s="68"/>
      <c r="J124" s="69"/>
      <c r="K124" s="68"/>
      <c r="L124" s="69"/>
      <c r="M124" s="67" t="str">
        <f>IF(OR(C124="",E124="",L124=""),"",IF(INDEX(KPI_Targets!$F$5:$F$20,MATCH(C124,KPI_Targets!$B$5:$B$20,0))="Higher",IF(L124&gt;E124,"Improved",IF(L124=E124,"No change","Worse")),IF(L124&lt;E124,"Improved",IF(L124=E124,"No change","Worse"))))</f>
        <v/>
      </c>
      <c r="N124" s="67" t="str">
        <f t="shared" ca="1" si="1"/>
        <v/>
      </c>
      <c r="O124" s="69"/>
    </row>
    <row r="125" spans="1:15" x14ac:dyDescent="0.3">
      <c r="A125" s="69"/>
      <c r="B125" s="68"/>
      <c r="C125" s="69"/>
      <c r="D125" s="69"/>
      <c r="E125" s="69"/>
      <c r="F125" s="69"/>
      <c r="G125" s="69"/>
      <c r="H125" s="69"/>
      <c r="I125" s="68"/>
      <c r="J125" s="69"/>
      <c r="K125" s="68"/>
      <c r="L125" s="69"/>
      <c r="M125" s="67" t="str">
        <f>IF(OR(C125="",E125="",L125=""),"",IF(INDEX(KPI_Targets!$F$5:$F$20,MATCH(C125,KPI_Targets!$B$5:$B$20,0))="Higher",IF(L125&gt;E125,"Improved",IF(L125=E125,"No change","Worse")),IF(L125&lt;E125,"Improved",IF(L125=E125,"No change","Worse"))))</f>
        <v/>
      </c>
      <c r="N125" s="67" t="str">
        <f t="shared" ca="1" si="1"/>
        <v/>
      </c>
      <c r="O125" s="69"/>
    </row>
    <row r="126" spans="1:15" x14ac:dyDescent="0.3">
      <c r="A126" s="69"/>
      <c r="B126" s="68"/>
      <c r="C126" s="69"/>
      <c r="D126" s="69"/>
      <c r="E126" s="69"/>
      <c r="F126" s="69"/>
      <c r="G126" s="69"/>
      <c r="H126" s="69"/>
      <c r="I126" s="68"/>
      <c r="J126" s="69"/>
      <c r="K126" s="68"/>
      <c r="L126" s="69"/>
      <c r="M126" s="67" t="str">
        <f>IF(OR(C126="",E126="",L126=""),"",IF(INDEX(KPI_Targets!$F$5:$F$20,MATCH(C126,KPI_Targets!$B$5:$B$20,0))="Higher",IF(L126&gt;E126,"Improved",IF(L126=E126,"No change","Worse")),IF(L126&lt;E126,"Improved",IF(L126=E126,"No change","Worse"))))</f>
        <v/>
      </c>
      <c r="N126" s="67" t="str">
        <f t="shared" ca="1" si="1"/>
        <v/>
      </c>
      <c r="O126" s="69"/>
    </row>
    <row r="127" spans="1:15" x14ac:dyDescent="0.3">
      <c r="A127" s="69"/>
      <c r="B127" s="68"/>
      <c r="C127" s="69"/>
      <c r="D127" s="69"/>
      <c r="E127" s="69"/>
      <c r="F127" s="69"/>
      <c r="G127" s="69"/>
      <c r="H127" s="69"/>
      <c r="I127" s="68"/>
      <c r="J127" s="69"/>
      <c r="K127" s="68"/>
      <c r="L127" s="69"/>
      <c r="M127" s="67" t="str">
        <f>IF(OR(C127="",E127="",L127=""),"",IF(INDEX(KPI_Targets!$F$5:$F$20,MATCH(C127,KPI_Targets!$B$5:$B$20,0))="Higher",IF(L127&gt;E127,"Improved",IF(L127=E127,"No change","Worse")),IF(L127&lt;E127,"Improved",IF(L127=E127,"No change","Worse"))))</f>
        <v/>
      </c>
      <c r="N127" s="67" t="str">
        <f t="shared" ca="1" si="1"/>
        <v/>
      </c>
      <c r="O127" s="69"/>
    </row>
    <row r="128" spans="1:15" x14ac:dyDescent="0.3">
      <c r="A128" s="69"/>
      <c r="B128" s="68"/>
      <c r="C128" s="69"/>
      <c r="D128" s="69"/>
      <c r="E128" s="69"/>
      <c r="F128" s="69"/>
      <c r="G128" s="69"/>
      <c r="H128" s="69"/>
      <c r="I128" s="68"/>
      <c r="J128" s="69"/>
      <c r="K128" s="68"/>
      <c r="L128" s="69"/>
      <c r="M128" s="67" t="str">
        <f>IF(OR(C128="",E128="",L128=""),"",IF(INDEX(KPI_Targets!$F$5:$F$20,MATCH(C128,KPI_Targets!$B$5:$B$20,0))="Higher",IF(L128&gt;E128,"Improved",IF(L128=E128,"No change","Worse")),IF(L128&lt;E128,"Improved",IF(L128=E128,"No change","Worse"))))</f>
        <v/>
      </c>
      <c r="N128" s="67" t="str">
        <f t="shared" ca="1" si="1"/>
        <v/>
      </c>
      <c r="O128" s="69"/>
    </row>
    <row r="129" spans="1:15" x14ac:dyDescent="0.3">
      <c r="A129" s="69"/>
      <c r="B129" s="68"/>
      <c r="C129" s="69"/>
      <c r="D129" s="69"/>
      <c r="E129" s="69"/>
      <c r="F129" s="69"/>
      <c r="G129" s="69"/>
      <c r="H129" s="69"/>
      <c r="I129" s="68"/>
      <c r="J129" s="69"/>
      <c r="K129" s="68"/>
      <c r="L129" s="69"/>
      <c r="M129" s="67" t="str">
        <f>IF(OR(C129="",E129="",L129=""),"",IF(INDEX(KPI_Targets!$F$5:$F$20,MATCH(C129,KPI_Targets!$B$5:$B$20,0))="Higher",IF(L129&gt;E129,"Improved",IF(L129=E129,"No change","Worse")),IF(L129&lt;E129,"Improved",IF(L129=E129,"No change","Worse"))))</f>
        <v/>
      </c>
      <c r="N129" s="67" t="str">
        <f t="shared" ca="1" si="1"/>
        <v/>
      </c>
      <c r="O129" s="69"/>
    </row>
    <row r="130" spans="1:15" x14ac:dyDescent="0.3">
      <c r="A130" s="69"/>
      <c r="B130" s="68"/>
      <c r="C130" s="69"/>
      <c r="D130" s="69"/>
      <c r="E130" s="69"/>
      <c r="F130" s="69"/>
      <c r="G130" s="69"/>
      <c r="H130" s="69"/>
      <c r="I130" s="68"/>
      <c r="J130" s="69"/>
      <c r="K130" s="68"/>
      <c r="L130" s="69"/>
      <c r="M130" s="67" t="str">
        <f>IF(OR(C130="",E130="",L130=""),"",IF(INDEX(KPI_Targets!$F$5:$F$20,MATCH(C130,KPI_Targets!$B$5:$B$20,0))="Higher",IF(L130&gt;E130,"Improved",IF(L130=E130,"No change","Worse")),IF(L130&lt;E130,"Improved",IF(L130=E130,"No change","Worse"))))</f>
        <v/>
      </c>
      <c r="N130" s="67" t="str">
        <f t="shared" ca="1" si="1"/>
        <v/>
      </c>
      <c r="O130" s="69"/>
    </row>
    <row r="131" spans="1:15" x14ac:dyDescent="0.3">
      <c r="A131" s="69"/>
      <c r="B131" s="68"/>
      <c r="C131" s="69"/>
      <c r="D131" s="69"/>
      <c r="E131" s="69"/>
      <c r="F131" s="69"/>
      <c r="G131" s="69"/>
      <c r="H131" s="69"/>
      <c r="I131" s="68"/>
      <c r="J131" s="69"/>
      <c r="K131" s="68"/>
      <c r="L131" s="69"/>
      <c r="M131" s="67" t="str">
        <f>IF(OR(C131="",E131="",L131=""),"",IF(INDEX(KPI_Targets!$F$5:$F$20,MATCH(C131,KPI_Targets!$B$5:$B$20,0))="Higher",IF(L131&gt;E131,"Improved",IF(L131=E131,"No change","Worse")),IF(L131&lt;E131,"Improved",IF(L131=E131,"No change","Worse"))))</f>
        <v/>
      </c>
      <c r="N131" s="67" t="str">
        <f t="shared" ca="1" si="1"/>
        <v/>
      </c>
      <c r="O131" s="69"/>
    </row>
    <row r="132" spans="1:15" x14ac:dyDescent="0.3">
      <c r="A132" s="69"/>
      <c r="B132" s="68"/>
      <c r="C132" s="69"/>
      <c r="D132" s="69"/>
      <c r="E132" s="69"/>
      <c r="F132" s="69"/>
      <c r="G132" s="69"/>
      <c r="H132" s="69"/>
      <c r="I132" s="68"/>
      <c r="J132" s="69"/>
      <c r="K132" s="68"/>
      <c r="L132" s="69"/>
      <c r="M132" s="67" t="str">
        <f>IF(OR(C132="",E132="",L132=""),"",IF(INDEX(KPI_Targets!$F$5:$F$20,MATCH(C132,KPI_Targets!$B$5:$B$20,0))="Higher",IF(L132&gt;E132,"Improved",IF(L132=E132,"No change","Worse")),IF(L132&lt;E132,"Improved",IF(L132=E132,"No change","Worse"))))</f>
        <v/>
      </c>
      <c r="N132" s="67" t="str">
        <f t="shared" ca="1" si="1"/>
        <v/>
      </c>
      <c r="O132" s="69"/>
    </row>
    <row r="133" spans="1:15" x14ac:dyDescent="0.3">
      <c r="A133" s="69"/>
      <c r="B133" s="68"/>
      <c r="C133" s="69"/>
      <c r="D133" s="69"/>
      <c r="E133" s="69"/>
      <c r="F133" s="69"/>
      <c r="G133" s="69"/>
      <c r="H133" s="69"/>
      <c r="I133" s="68"/>
      <c r="J133" s="69"/>
      <c r="K133" s="68"/>
      <c r="L133" s="69"/>
      <c r="M133" s="67" t="str">
        <f>IF(OR(C133="",E133="",L133=""),"",IF(INDEX(KPI_Targets!$F$5:$F$20,MATCH(C133,KPI_Targets!$B$5:$B$20,0))="Higher",IF(L133&gt;E133,"Improved",IF(L133=E133,"No change","Worse")),IF(L133&lt;E133,"Improved",IF(L133=E133,"No change","Worse"))))</f>
        <v/>
      </c>
      <c r="N133" s="67" t="str">
        <f t="shared" ref="N133:N196" ca="1" si="2">IF(B133="","",IF(OR(J133="Implemented",J133="Cancelled"),"Closed",IF(AND(I133&lt;&gt;"",I133&lt;TODAY()),"OVERDUE","On track")))</f>
        <v/>
      </c>
      <c r="O133" s="69"/>
    </row>
    <row r="134" spans="1:15" x14ac:dyDescent="0.3">
      <c r="A134" s="69"/>
      <c r="B134" s="68"/>
      <c r="C134" s="69"/>
      <c r="D134" s="69"/>
      <c r="E134" s="69"/>
      <c r="F134" s="69"/>
      <c r="G134" s="69"/>
      <c r="H134" s="69"/>
      <c r="I134" s="68"/>
      <c r="J134" s="69"/>
      <c r="K134" s="68"/>
      <c r="L134" s="69"/>
      <c r="M134" s="67" t="str">
        <f>IF(OR(C134="",E134="",L134=""),"",IF(INDEX(KPI_Targets!$F$5:$F$20,MATCH(C134,KPI_Targets!$B$5:$B$20,0))="Higher",IF(L134&gt;E134,"Improved",IF(L134=E134,"No change","Worse")),IF(L134&lt;E134,"Improved",IF(L134=E134,"No change","Worse"))))</f>
        <v/>
      </c>
      <c r="N134" s="67" t="str">
        <f t="shared" ca="1" si="2"/>
        <v/>
      </c>
      <c r="O134" s="69"/>
    </row>
    <row r="135" spans="1:15" x14ac:dyDescent="0.3">
      <c r="A135" s="69"/>
      <c r="B135" s="68"/>
      <c r="C135" s="69"/>
      <c r="D135" s="69"/>
      <c r="E135" s="69"/>
      <c r="F135" s="69"/>
      <c r="G135" s="69"/>
      <c r="H135" s="69"/>
      <c r="I135" s="68"/>
      <c r="J135" s="69"/>
      <c r="K135" s="68"/>
      <c r="L135" s="69"/>
      <c r="M135" s="67" t="str">
        <f>IF(OR(C135="",E135="",L135=""),"",IF(INDEX(KPI_Targets!$F$5:$F$20,MATCH(C135,KPI_Targets!$B$5:$B$20,0))="Higher",IF(L135&gt;E135,"Improved",IF(L135=E135,"No change","Worse")),IF(L135&lt;E135,"Improved",IF(L135=E135,"No change","Worse"))))</f>
        <v/>
      </c>
      <c r="N135" s="67" t="str">
        <f t="shared" ca="1" si="2"/>
        <v/>
      </c>
      <c r="O135" s="69"/>
    </row>
    <row r="136" spans="1:15" x14ac:dyDescent="0.3">
      <c r="A136" s="69"/>
      <c r="B136" s="68"/>
      <c r="C136" s="69"/>
      <c r="D136" s="69"/>
      <c r="E136" s="69"/>
      <c r="F136" s="69"/>
      <c r="G136" s="69"/>
      <c r="H136" s="69"/>
      <c r="I136" s="68"/>
      <c r="J136" s="69"/>
      <c r="K136" s="68"/>
      <c r="L136" s="69"/>
      <c r="M136" s="67" t="str">
        <f>IF(OR(C136="",E136="",L136=""),"",IF(INDEX(KPI_Targets!$F$5:$F$20,MATCH(C136,KPI_Targets!$B$5:$B$20,0))="Higher",IF(L136&gt;E136,"Improved",IF(L136=E136,"No change","Worse")),IF(L136&lt;E136,"Improved",IF(L136=E136,"No change","Worse"))))</f>
        <v/>
      </c>
      <c r="N136" s="67" t="str">
        <f t="shared" ca="1" si="2"/>
        <v/>
      </c>
      <c r="O136" s="69"/>
    </row>
    <row r="137" spans="1:15" x14ac:dyDescent="0.3">
      <c r="A137" s="69"/>
      <c r="B137" s="68"/>
      <c r="C137" s="69"/>
      <c r="D137" s="69"/>
      <c r="E137" s="69"/>
      <c r="F137" s="69"/>
      <c r="G137" s="69"/>
      <c r="H137" s="69"/>
      <c r="I137" s="68"/>
      <c r="J137" s="69"/>
      <c r="K137" s="68"/>
      <c r="L137" s="69"/>
      <c r="M137" s="67" t="str">
        <f>IF(OR(C137="",E137="",L137=""),"",IF(INDEX(KPI_Targets!$F$5:$F$20,MATCH(C137,KPI_Targets!$B$5:$B$20,0))="Higher",IF(L137&gt;E137,"Improved",IF(L137=E137,"No change","Worse")),IF(L137&lt;E137,"Improved",IF(L137=E137,"No change","Worse"))))</f>
        <v/>
      </c>
      <c r="N137" s="67" t="str">
        <f t="shared" ca="1" si="2"/>
        <v/>
      </c>
      <c r="O137" s="69"/>
    </row>
    <row r="138" spans="1:15" x14ac:dyDescent="0.3">
      <c r="A138" s="69"/>
      <c r="B138" s="68"/>
      <c r="C138" s="69"/>
      <c r="D138" s="69"/>
      <c r="E138" s="69"/>
      <c r="F138" s="69"/>
      <c r="G138" s="69"/>
      <c r="H138" s="69"/>
      <c r="I138" s="68"/>
      <c r="J138" s="69"/>
      <c r="K138" s="68"/>
      <c r="L138" s="69"/>
      <c r="M138" s="67" t="str">
        <f>IF(OR(C138="",E138="",L138=""),"",IF(INDEX(KPI_Targets!$F$5:$F$20,MATCH(C138,KPI_Targets!$B$5:$B$20,0))="Higher",IF(L138&gt;E138,"Improved",IF(L138=E138,"No change","Worse")),IF(L138&lt;E138,"Improved",IF(L138=E138,"No change","Worse"))))</f>
        <v/>
      </c>
      <c r="N138" s="67" t="str">
        <f t="shared" ca="1" si="2"/>
        <v/>
      </c>
      <c r="O138" s="69"/>
    </row>
    <row r="139" spans="1:15" x14ac:dyDescent="0.3">
      <c r="A139" s="69"/>
      <c r="B139" s="68"/>
      <c r="C139" s="69"/>
      <c r="D139" s="69"/>
      <c r="E139" s="69"/>
      <c r="F139" s="69"/>
      <c r="G139" s="69"/>
      <c r="H139" s="69"/>
      <c r="I139" s="68"/>
      <c r="J139" s="69"/>
      <c r="K139" s="68"/>
      <c r="L139" s="69"/>
      <c r="M139" s="67" t="str">
        <f>IF(OR(C139="",E139="",L139=""),"",IF(INDEX(KPI_Targets!$F$5:$F$20,MATCH(C139,KPI_Targets!$B$5:$B$20,0))="Higher",IF(L139&gt;E139,"Improved",IF(L139=E139,"No change","Worse")),IF(L139&lt;E139,"Improved",IF(L139=E139,"No change","Worse"))))</f>
        <v/>
      </c>
      <c r="N139" s="67" t="str">
        <f t="shared" ca="1" si="2"/>
        <v/>
      </c>
      <c r="O139" s="69"/>
    </row>
    <row r="140" spans="1:15" x14ac:dyDescent="0.3">
      <c r="A140" s="69"/>
      <c r="B140" s="68"/>
      <c r="C140" s="69"/>
      <c r="D140" s="69"/>
      <c r="E140" s="69"/>
      <c r="F140" s="69"/>
      <c r="G140" s="69"/>
      <c r="H140" s="69"/>
      <c r="I140" s="68"/>
      <c r="J140" s="69"/>
      <c r="K140" s="68"/>
      <c r="L140" s="69"/>
      <c r="M140" s="67" t="str">
        <f>IF(OR(C140="",E140="",L140=""),"",IF(INDEX(KPI_Targets!$F$5:$F$20,MATCH(C140,KPI_Targets!$B$5:$B$20,0))="Higher",IF(L140&gt;E140,"Improved",IF(L140=E140,"No change","Worse")),IF(L140&lt;E140,"Improved",IF(L140=E140,"No change","Worse"))))</f>
        <v/>
      </c>
      <c r="N140" s="67" t="str">
        <f t="shared" ca="1" si="2"/>
        <v/>
      </c>
      <c r="O140" s="69"/>
    </row>
    <row r="141" spans="1:15" x14ac:dyDescent="0.3">
      <c r="A141" s="69"/>
      <c r="B141" s="68"/>
      <c r="C141" s="69"/>
      <c r="D141" s="69"/>
      <c r="E141" s="69"/>
      <c r="F141" s="69"/>
      <c r="G141" s="69"/>
      <c r="H141" s="69"/>
      <c r="I141" s="68"/>
      <c r="J141" s="69"/>
      <c r="K141" s="68"/>
      <c r="L141" s="69"/>
      <c r="M141" s="67" t="str">
        <f>IF(OR(C141="",E141="",L141=""),"",IF(INDEX(KPI_Targets!$F$5:$F$20,MATCH(C141,KPI_Targets!$B$5:$B$20,0))="Higher",IF(L141&gt;E141,"Improved",IF(L141=E141,"No change","Worse")),IF(L141&lt;E141,"Improved",IF(L141=E141,"No change","Worse"))))</f>
        <v/>
      </c>
      <c r="N141" s="67" t="str">
        <f t="shared" ca="1" si="2"/>
        <v/>
      </c>
      <c r="O141" s="69"/>
    </row>
    <row r="142" spans="1:15" x14ac:dyDescent="0.3">
      <c r="A142" s="69"/>
      <c r="B142" s="68"/>
      <c r="C142" s="69"/>
      <c r="D142" s="69"/>
      <c r="E142" s="69"/>
      <c r="F142" s="69"/>
      <c r="G142" s="69"/>
      <c r="H142" s="69"/>
      <c r="I142" s="68"/>
      <c r="J142" s="69"/>
      <c r="K142" s="68"/>
      <c r="L142" s="69"/>
      <c r="M142" s="67" t="str">
        <f>IF(OR(C142="",E142="",L142=""),"",IF(INDEX(KPI_Targets!$F$5:$F$20,MATCH(C142,KPI_Targets!$B$5:$B$20,0))="Higher",IF(L142&gt;E142,"Improved",IF(L142=E142,"No change","Worse")),IF(L142&lt;E142,"Improved",IF(L142=E142,"No change","Worse"))))</f>
        <v/>
      </c>
      <c r="N142" s="67" t="str">
        <f t="shared" ca="1" si="2"/>
        <v/>
      </c>
      <c r="O142" s="69"/>
    </row>
    <row r="143" spans="1:15" x14ac:dyDescent="0.3">
      <c r="A143" s="69"/>
      <c r="B143" s="68"/>
      <c r="C143" s="69"/>
      <c r="D143" s="69"/>
      <c r="E143" s="69"/>
      <c r="F143" s="69"/>
      <c r="G143" s="69"/>
      <c r="H143" s="69"/>
      <c r="I143" s="68"/>
      <c r="J143" s="69"/>
      <c r="K143" s="68"/>
      <c r="L143" s="69"/>
      <c r="M143" s="67" t="str">
        <f>IF(OR(C143="",E143="",L143=""),"",IF(INDEX(KPI_Targets!$F$5:$F$20,MATCH(C143,KPI_Targets!$B$5:$B$20,0))="Higher",IF(L143&gt;E143,"Improved",IF(L143=E143,"No change","Worse")),IF(L143&lt;E143,"Improved",IF(L143=E143,"No change","Worse"))))</f>
        <v/>
      </c>
      <c r="N143" s="67" t="str">
        <f t="shared" ca="1" si="2"/>
        <v/>
      </c>
      <c r="O143" s="69"/>
    </row>
    <row r="144" spans="1:15" x14ac:dyDescent="0.3">
      <c r="A144" s="69"/>
      <c r="B144" s="68"/>
      <c r="C144" s="69"/>
      <c r="D144" s="69"/>
      <c r="E144" s="69"/>
      <c r="F144" s="69"/>
      <c r="G144" s="69"/>
      <c r="H144" s="69"/>
      <c r="I144" s="68"/>
      <c r="J144" s="69"/>
      <c r="K144" s="68"/>
      <c r="L144" s="69"/>
      <c r="M144" s="67" t="str">
        <f>IF(OR(C144="",E144="",L144=""),"",IF(INDEX(KPI_Targets!$F$5:$F$20,MATCH(C144,KPI_Targets!$B$5:$B$20,0))="Higher",IF(L144&gt;E144,"Improved",IF(L144=E144,"No change","Worse")),IF(L144&lt;E144,"Improved",IF(L144=E144,"No change","Worse"))))</f>
        <v/>
      </c>
      <c r="N144" s="67" t="str">
        <f t="shared" ca="1" si="2"/>
        <v/>
      </c>
      <c r="O144" s="69"/>
    </row>
    <row r="145" spans="1:15" x14ac:dyDescent="0.3">
      <c r="A145" s="69"/>
      <c r="B145" s="68"/>
      <c r="C145" s="69"/>
      <c r="D145" s="69"/>
      <c r="E145" s="69"/>
      <c r="F145" s="69"/>
      <c r="G145" s="69"/>
      <c r="H145" s="69"/>
      <c r="I145" s="68"/>
      <c r="J145" s="69"/>
      <c r="K145" s="68"/>
      <c r="L145" s="69"/>
      <c r="M145" s="67" t="str">
        <f>IF(OR(C145="",E145="",L145=""),"",IF(INDEX(KPI_Targets!$F$5:$F$20,MATCH(C145,KPI_Targets!$B$5:$B$20,0))="Higher",IF(L145&gt;E145,"Improved",IF(L145=E145,"No change","Worse")),IF(L145&lt;E145,"Improved",IF(L145=E145,"No change","Worse"))))</f>
        <v/>
      </c>
      <c r="N145" s="67" t="str">
        <f t="shared" ca="1" si="2"/>
        <v/>
      </c>
      <c r="O145" s="69"/>
    </row>
    <row r="146" spans="1:15" x14ac:dyDescent="0.3">
      <c r="A146" s="69"/>
      <c r="B146" s="68"/>
      <c r="C146" s="69"/>
      <c r="D146" s="69"/>
      <c r="E146" s="69"/>
      <c r="F146" s="69"/>
      <c r="G146" s="69"/>
      <c r="H146" s="69"/>
      <c r="I146" s="68"/>
      <c r="J146" s="69"/>
      <c r="K146" s="68"/>
      <c r="L146" s="69"/>
      <c r="M146" s="67" t="str">
        <f>IF(OR(C146="",E146="",L146=""),"",IF(INDEX(KPI_Targets!$F$5:$F$20,MATCH(C146,KPI_Targets!$B$5:$B$20,0))="Higher",IF(L146&gt;E146,"Improved",IF(L146=E146,"No change","Worse")),IF(L146&lt;E146,"Improved",IF(L146=E146,"No change","Worse"))))</f>
        <v/>
      </c>
      <c r="N146" s="67" t="str">
        <f t="shared" ca="1" si="2"/>
        <v/>
      </c>
      <c r="O146" s="69"/>
    </row>
    <row r="147" spans="1:15" x14ac:dyDescent="0.3">
      <c r="A147" s="69"/>
      <c r="B147" s="68"/>
      <c r="C147" s="69"/>
      <c r="D147" s="69"/>
      <c r="E147" s="69"/>
      <c r="F147" s="69"/>
      <c r="G147" s="69"/>
      <c r="H147" s="69"/>
      <c r="I147" s="68"/>
      <c r="J147" s="69"/>
      <c r="K147" s="68"/>
      <c r="L147" s="69"/>
      <c r="M147" s="67" t="str">
        <f>IF(OR(C147="",E147="",L147=""),"",IF(INDEX(KPI_Targets!$F$5:$F$20,MATCH(C147,KPI_Targets!$B$5:$B$20,0))="Higher",IF(L147&gt;E147,"Improved",IF(L147=E147,"No change","Worse")),IF(L147&lt;E147,"Improved",IF(L147=E147,"No change","Worse"))))</f>
        <v/>
      </c>
      <c r="N147" s="67" t="str">
        <f t="shared" ca="1" si="2"/>
        <v/>
      </c>
      <c r="O147" s="69"/>
    </row>
    <row r="148" spans="1:15" x14ac:dyDescent="0.3">
      <c r="A148" s="69"/>
      <c r="B148" s="68"/>
      <c r="C148" s="69"/>
      <c r="D148" s="69"/>
      <c r="E148" s="69"/>
      <c r="F148" s="69"/>
      <c r="G148" s="69"/>
      <c r="H148" s="69"/>
      <c r="I148" s="68"/>
      <c r="J148" s="69"/>
      <c r="K148" s="68"/>
      <c r="L148" s="69"/>
      <c r="M148" s="67" t="str">
        <f>IF(OR(C148="",E148="",L148=""),"",IF(INDEX(KPI_Targets!$F$5:$F$20,MATCH(C148,KPI_Targets!$B$5:$B$20,0))="Higher",IF(L148&gt;E148,"Improved",IF(L148=E148,"No change","Worse")),IF(L148&lt;E148,"Improved",IF(L148=E148,"No change","Worse"))))</f>
        <v/>
      </c>
      <c r="N148" s="67" t="str">
        <f t="shared" ca="1" si="2"/>
        <v/>
      </c>
      <c r="O148" s="69"/>
    </row>
    <row r="149" spans="1:15" x14ac:dyDescent="0.3">
      <c r="A149" s="69"/>
      <c r="B149" s="68"/>
      <c r="C149" s="69"/>
      <c r="D149" s="69"/>
      <c r="E149" s="69"/>
      <c r="F149" s="69"/>
      <c r="G149" s="69"/>
      <c r="H149" s="69"/>
      <c r="I149" s="68"/>
      <c r="J149" s="69"/>
      <c r="K149" s="68"/>
      <c r="L149" s="69"/>
      <c r="M149" s="67" t="str">
        <f>IF(OR(C149="",E149="",L149=""),"",IF(INDEX(KPI_Targets!$F$5:$F$20,MATCH(C149,KPI_Targets!$B$5:$B$20,0))="Higher",IF(L149&gt;E149,"Improved",IF(L149=E149,"No change","Worse")),IF(L149&lt;E149,"Improved",IF(L149=E149,"No change","Worse"))))</f>
        <v/>
      </c>
      <c r="N149" s="67" t="str">
        <f t="shared" ca="1" si="2"/>
        <v/>
      </c>
      <c r="O149" s="69"/>
    </row>
    <row r="150" spans="1:15" x14ac:dyDescent="0.3">
      <c r="A150" s="69"/>
      <c r="B150" s="68"/>
      <c r="C150" s="69"/>
      <c r="D150" s="69"/>
      <c r="E150" s="69"/>
      <c r="F150" s="69"/>
      <c r="G150" s="69"/>
      <c r="H150" s="69"/>
      <c r="I150" s="68"/>
      <c r="J150" s="69"/>
      <c r="K150" s="68"/>
      <c r="L150" s="69"/>
      <c r="M150" s="67" t="str">
        <f>IF(OR(C150="",E150="",L150=""),"",IF(INDEX(KPI_Targets!$F$5:$F$20,MATCH(C150,KPI_Targets!$B$5:$B$20,0))="Higher",IF(L150&gt;E150,"Improved",IF(L150=E150,"No change","Worse")),IF(L150&lt;E150,"Improved",IF(L150=E150,"No change","Worse"))))</f>
        <v/>
      </c>
      <c r="N150" s="67" t="str">
        <f t="shared" ca="1" si="2"/>
        <v/>
      </c>
      <c r="O150" s="69"/>
    </row>
    <row r="151" spans="1:15" x14ac:dyDescent="0.3">
      <c r="A151" s="69"/>
      <c r="B151" s="68"/>
      <c r="C151" s="69"/>
      <c r="D151" s="69"/>
      <c r="E151" s="69"/>
      <c r="F151" s="69"/>
      <c r="G151" s="69"/>
      <c r="H151" s="69"/>
      <c r="I151" s="68"/>
      <c r="J151" s="69"/>
      <c r="K151" s="68"/>
      <c r="L151" s="69"/>
      <c r="M151" s="67" t="str">
        <f>IF(OR(C151="",E151="",L151=""),"",IF(INDEX(KPI_Targets!$F$5:$F$20,MATCH(C151,KPI_Targets!$B$5:$B$20,0))="Higher",IF(L151&gt;E151,"Improved",IF(L151=E151,"No change","Worse")),IF(L151&lt;E151,"Improved",IF(L151=E151,"No change","Worse"))))</f>
        <v/>
      </c>
      <c r="N151" s="67" t="str">
        <f t="shared" ca="1" si="2"/>
        <v/>
      </c>
      <c r="O151" s="69"/>
    </row>
    <row r="152" spans="1:15" x14ac:dyDescent="0.3">
      <c r="A152" s="69"/>
      <c r="B152" s="68"/>
      <c r="C152" s="69"/>
      <c r="D152" s="69"/>
      <c r="E152" s="69"/>
      <c r="F152" s="69"/>
      <c r="G152" s="69"/>
      <c r="H152" s="69"/>
      <c r="I152" s="68"/>
      <c r="J152" s="69"/>
      <c r="K152" s="68"/>
      <c r="L152" s="69"/>
      <c r="M152" s="67" t="str">
        <f>IF(OR(C152="",E152="",L152=""),"",IF(INDEX(KPI_Targets!$F$5:$F$20,MATCH(C152,KPI_Targets!$B$5:$B$20,0))="Higher",IF(L152&gt;E152,"Improved",IF(L152=E152,"No change","Worse")),IF(L152&lt;E152,"Improved",IF(L152=E152,"No change","Worse"))))</f>
        <v/>
      </c>
      <c r="N152" s="67" t="str">
        <f t="shared" ca="1" si="2"/>
        <v/>
      </c>
      <c r="O152" s="69"/>
    </row>
    <row r="153" spans="1:15" x14ac:dyDescent="0.3">
      <c r="A153" s="69"/>
      <c r="B153" s="68"/>
      <c r="C153" s="69"/>
      <c r="D153" s="69"/>
      <c r="E153" s="69"/>
      <c r="F153" s="69"/>
      <c r="G153" s="69"/>
      <c r="H153" s="69"/>
      <c r="I153" s="68"/>
      <c r="J153" s="69"/>
      <c r="K153" s="68"/>
      <c r="L153" s="69"/>
      <c r="M153" s="67" t="str">
        <f>IF(OR(C153="",E153="",L153=""),"",IF(INDEX(KPI_Targets!$F$5:$F$20,MATCH(C153,KPI_Targets!$B$5:$B$20,0))="Higher",IF(L153&gt;E153,"Improved",IF(L153=E153,"No change","Worse")),IF(L153&lt;E153,"Improved",IF(L153=E153,"No change","Worse"))))</f>
        <v/>
      </c>
      <c r="N153" s="67" t="str">
        <f t="shared" ca="1" si="2"/>
        <v/>
      </c>
      <c r="O153" s="69"/>
    </row>
    <row r="154" spans="1:15" x14ac:dyDescent="0.3">
      <c r="A154" s="69"/>
      <c r="B154" s="68"/>
      <c r="C154" s="69"/>
      <c r="D154" s="69"/>
      <c r="E154" s="69"/>
      <c r="F154" s="69"/>
      <c r="G154" s="69"/>
      <c r="H154" s="69"/>
      <c r="I154" s="68"/>
      <c r="J154" s="69"/>
      <c r="K154" s="68"/>
      <c r="L154" s="69"/>
      <c r="M154" s="67" t="str">
        <f>IF(OR(C154="",E154="",L154=""),"",IF(INDEX(KPI_Targets!$F$5:$F$20,MATCH(C154,KPI_Targets!$B$5:$B$20,0))="Higher",IF(L154&gt;E154,"Improved",IF(L154=E154,"No change","Worse")),IF(L154&lt;E154,"Improved",IF(L154=E154,"No change","Worse"))))</f>
        <v/>
      </c>
      <c r="N154" s="67" t="str">
        <f t="shared" ca="1" si="2"/>
        <v/>
      </c>
      <c r="O154" s="69"/>
    </row>
    <row r="155" spans="1:15" x14ac:dyDescent="0.3">
      <c r="A155" s="69"/>
      <c r="B155" s="68"/>
      <c r="C155" s="69"/>
      <c r="D155" s="69"/>
      <c r="E155" s="69"/>
      <c r="F155" s="69"/>
      <c r="G155" s="69"/>
      <c r="H155" s="69"/>
      <c r="I155" s="68"/>
      <c r="J155" s="69"/>
      <c r="K155" s="68"/>
      <c r="L155" s="69"/>
      <c r="M155" s="67" t="str">
        <f>IF(OR(C155="",E155="",L155=""),"",IF(INDEX(KPI_Targets!$F$5:$F$20,MATCH(C155,KPI_Targets!$B$5:$B$20,0))="Higher",IF(L155&gt;E155,"Improved",IF(L155=E155,"No change","Worse")),IF(L155&lt;E155,"Improved",IF(L155=E155,"No change","Worse"))))</f>
        <v/>
      </c>
      <c r="N155" s="67" t="str">
        <f t="shared" ca="1" si="2"/>
        <v/>
      </c>
      <c r="O155" s="69"/>
    </row>
    <row r="156" spans="1:15" x14ac:dyDescent="0.3">
      <c r="A156" s="69"/>
      <c r="B156" s="68"/>
      <c r="C156" s="69"/>
      <c r="D156" s="69"/>
      <c r="E156" s="69"/>
      <c r="F156" s="69"/>
      <c r="G156" s="69"/>
      <c r="H156" s="69"/>
      <c r="I156" s="68"/>
      <c r="J156" s="69"/>
      <c r="K156" s="68"/>
      <c r="L156" s="69"/>
      <c r="M156" s="67" t="str">
        <f>IF(OR(C156="",E156="",L156=""),"",IF(INDEX(KPI_Targets!$F$5:$F$20,MATCH(C156,KPI_Targets!$B$5:$B$20,0))="Higher",IF(L156&gt;E156,"Improved",IF(L156=E156,"No change","Worse")),IF(L156&lt;E156,"Improved",IF(L156=E156,"No change","Worse"))))</f>
        <v/>
      </c>
      <c r="N156" s="67" t="str">
        <f t="shared" ca="1" si="2"/>
        <v/>
      </c>
      <c r="O156" s="69"/>
    </row>
    <row r="157" spans="1:15" x14ac:dyDescent="0.3">
      <c r="A157" s="69"/>
      <c r="B157" s="68"/>
      <c r="C157" s="69"/>
      <c r="D157" s="69"/>
      <c r="E157" s="69"/>
      <c r="F157" s="69"/>
      <c r="G157" s="69"/>
      <c r="H157" s="69"/>
      <c r="I157" s="68"/>
      <c r="J157" s="69"/>
      <c r="K157" s="68"/>
      <c r="L157" s="69"/>
      <c r="M157" s="67" t="str">
        <f>IF(OR(C157="",E157="",L157=""),"",IF(INDEX(KPI_Targets!$F$5:$F$20,MATCH(C157,KPI_Targets!$B$5:$B$20,0))="Higher",IF(L157&gt;E157,"Improved",IF(L157=E157,"No change","Worse")),IF(L157&lt;E157,"Improved",IF(L157=E157,"No change","Worse"))))</f>
        <v/>
      </c>
      <c r="N157" s="67" t="str">
        <f t="shared" ca="1" si="2"/>
        <v/>
      </c>
      <c r="O157" s="69"/>
    </row>
    <row r="158" spans="1:15" x14ac:dyDescent="0.3">
      <c r="A158" s="69"/>
      <c r="B158" s="68"/>
      <c r="C158" s="69"/>
      <c r="D158" s="69"/>
      <c r="E158" s="69"/>
      <c r="F158" s="69"/>
      <c r="G158" s="69"/>
      <c r="H158" s="69"/>
      <c r="I158" s="68"/>
      <c r="J158" s="69"/>
      <c r="K158" s="68"/>
      <c r="L158" s="69"/>
      <c r="M158" s="67" t="str">
        <f>IF(OR(C158="",E158="",L158=""),"",IF(INDEX(KPI_Targets!$F$5:$F$20,MATCH(C158,KPI_Targets!$B$5:$B$20,0))="Higher",IF(L158&gt;E158,"Improved",IF(L158=E158,"No change","Worse")),IF(L158&lt;E158,"Improved",IF(L158=E158,"No change","Worse"))))</f>
        <v/>
      </c>
      <c r="N158" s="67" t="str">
        <f t="shared" ca="1" si="2"/>
        <v/>
      </c>
      <c r="O158" s="69"/>
    </row>
    <row r="159" spans="1:15" x14ac:dyDescent="0.3">
      <c r="A159" s="69"/>
      <c r="B159" s="68"/>
      <c r="C159" s="69"/>
      <c r="D159" s="69"/>
      <c r="E159" s="69"/>
      <c r="F159" s="69"/>
      <c r="G159" s="69"/>
      <c r="H159" s="69"/>
      <c r="I159" s="68"/>
      <c r="J159" s="69"/>
      <c r="K159" s="68"/>
      <c r="L159" s="69"/>
      <c r="M159" s="67" t="str">
        <f>IF(OR(C159="",E159="",L159=""),"",IF(INDEX(KPI_Targets!$F$5:$F$20,MATCH(C159,KPI_Targets!$B$5:$B$20,0))="Higher",IF(L159&gt;E159,"Improved",IF(L159=E159,"No change","Worse")),IF(L159&lt;E159,"Improved",IF(L159=E159,"No change","Worse"))))</f>
        <v/>
      </c>
      <c r="N159" s="67" t="str">
        <f t="shared" ca="1" si="2"/>
        <v/>
      </c>
      <c r="O159" s="69"/>
    </row>
    <row r="160" spans="1:15" x14ac:dyDescent="0.3">
      <c r="A160" s="69"/>
      <c r="B160" s="68"/>
      <c r="C160" s="69"/>
      <c r="D160" s="69"/>
      <c r="E160" s="69"/>
      <c r="F160" s="69"/>
      <c r="G160" s="69"/>
      <c r="H160" s="69"/>
      <c r="I160" s="68"/>
      <c r="J160" s="69"/>
      <c r="K160" s="68"/>
      <c r="L160" s="69"/>
      <c r="M160" s="67" t="str">
        <f>IF(OR(C160="",E160="",L160=""),"",IF(INDEX(KPI_Targets!$F$5:$F$20,MATCH(C160,KPI_Targets!$B$5:$B$20,0))="Higher",IF(L160&gt;E160,"Improved",IF(L160=E160,"No change","Worse")),IF(L160&lt;E160,"Improved",IF(L160=E160,"No change","Worse"))))</f>
        <v/>
      </c>
      <c r="N160" s="67" t="str">
        <f t="shared" ca="1" si="2"/>
        <v/>
      </c>
      <c r="O160" s="69"/>
    </row>
    <row r="161" spans="1:15" x14ac:dyDescent="0.3">
      <c r="A161" s="69"/>
      <c r="B161" s="68"/>
      <c r="C161" s="69"/>
      <c r="D161" s="69"/>
      <c r="E161" s="69"/>
      <c r="F161" s="69"/>
      <c r="G161" s="69"/>
      <c r="H161" s="69"/>
      <c r="I161" s="68"/>
      <c r="J161" s="69"/>
      <c r="K161" s="68"/>
      <c r="L161" s="69"/>
      <c r="M161" s="67" t="str">
        <f>IF(OR(C161="",E161="",L161=""),"",IF(INDEX(KPI_Targets!$F$5:$F$20,MATCH(C161,KPI_Targets!$B$5:$B$20,0))="Higher",IF(L161&gt;E161,"Improved",IF(L161=E161,"No change","Worse")),IF(L161&lt;E161,"Improved",IF(L161=E161,"No change","Worse"))))</f>
        <v/>
      </c>
      <c r="N161" s="67" t="str">
        <f t="shared" ca="1" si="2"/>
        <v/>
      </c>
      <c r="O161" s="69"/>
    </row>
    <row r="162" spans="1:15" x14ac:dyDescent="0.3">
      <c r="A162" s="69"/>
      <c r="B162" s="68"/>
      <c r="C162" s="69"/>
      <c r="D162" s="69"/>
      <c r="E162" s="69"/>
      <c r="F162" s="69"/>
      <c r="G162" s="69"/>
      <c r="H162" s="69"/>
      <c r="I162" s="68"/>
      <c r="J162" s="69"/>
      <c r="K162" s="68"/>
      <c r="L162" s="69"/>
      <c r="M162" s="67" t="str">
        <f>IF(OR(C162="",E162="",L162=""),"",IF(INDEX(KPI_Targets!$F$5:$F$20,MATCH(C162,KPI_Targets!$B$5:$B$20,0))="Higher",IF(L162&gt;E162,"Improved",IF(L162=E162,"No change","Worse")),IF(L162&lt;E162,"Improved",IF(L162=E162,"No change","Worse"))))</f>
        <v/>
      </c>
      <c r="N162" s="67" t="str">
        <f t="shared" ca="1" si="2"/>
        <v/>
      </c>
      <c r="O162" s="69"/>
    </row>
    <row r="163" spans="1:15" x14ac:dyDescent="0.3">
      <c r="A163" s="69"/>
      <c r="B163" s="68"/>
      <c r="C163" s="69"/>
      <c r="D163" s="69"/>
      <c r="E163" s="69"/>
      <c r="F163" s="69"/>
      <c r="G163" s="69"/>
      <c r="H163" s="69"/>
      <c r="I163" s="68"/>
      <c r="J163" s="69"/>
      <c r="K163" s="68"/>
      <c r="L163" s="69"/>
      <c r="M163" s="67" t="str">
        <f>IF(OR(C163="",E163="",L163=""),"",IF(INDEX(KPI_Targets!$F$5:$F$20,MATCH(C163,KPI_Targets!$B$5:$B$20,0))="Higher",IF(L163&gt;E163,"Improved",IF(L163=E163,"No change","Worse")),IF(L163&lt;E163,"Improved",IF(L163=E163,"No change","Worse"))))</f>
        <v/>
      </c>
      <c r="N163" s="67" t="str">
        <f t="shared" ca="1" si="2"/>
        <v/>
      </c>
      <c r="O163" s="69"/>
    </row>
    <row r="164" spans="1:15" x14ac:dyDescent="0.3">
      <c r="A164" s="69"/>
      <c r="B164" s="68"/>
      <c r="C164" s="69"/>
      <c r="D164" s="69"/>
      <c r="E164" s="69"/>
      <c r="F164" s="69"/>
      <c r="G164" s="69"/>
      <c r="H164" s="69"/>
      <c r="I164" s="68"/>
      <c r="J164" s="69"/>
      <c r="K164" s="68"/>
      <c r="L164" s="69"/>
      <c r="M164" s="67" t="str">
        <f>IF(OR(C164="",E164="",L164=""),"",IF(INDEX(KPI_Targets!$F$5:$F$20,MATCH(C164,KPI_Targets!$B$5:$B$20,0))="Higher",IF(L164&gt;E164,"Improved",IF(L164=E164,"No change","Worse")),IF(L164&lt;E164,"Improved",IF(L164=E164,"No change","Worse"))))</f>
        <v/>
      </c>
      <c r="N164" s="67" t="str">
        <f t="shared" ca="1" si="2"/>
        <v/>
      </c>
      <c r="O164" s="69"/>
    </row>
    <row r="165" spans="1:15" x14ac:dyDescent="0.3">
      <c r="A165" s="69"/>
      <c r="B165" s="68"/>
      <c r="C165" s="69"/>
      <c r="D165" s="69"/>
      <c r="E165" s="69"/>
      <c r="F165" s="69"/>
      <c r="G165" s="69"/>
      <c r="H165" s="69"/>
      <c r="I165" s="68"/>
      <c r="J165" s="69"/>
      <c r="K165" s="68"/>
      <c r="L165" s="69"/>
      <c r="M165" s="67" t="str">
        <f>IF(OR(C165="",E165="",L165=""),"",IF(INDEX(KPI_Targets!$F$5:$F$20,MATCH(C165,KPI_Targets!$B$5:$B$20,0))="Higher",IF(L165&gt;E165,"Improved",IF(L165=E165,"No change","Worse")),IF(L165&lt;E165,"Improved",IF(L165=E165,"No change","Worse"))))</f>
        <v/>
      </c>
      <c r="N165" s="67" t="str">
        <f t="shared" ca="1" si="2"/>
        <v/>
      </c>
      <c r="O165" s="69"/>
    </row>
    <row r="166" spans="1:15" x14ac:dyDescent="0.3">
      <c r="A166" s="69"/>
      <c r="B166" s="68"/>
      <c r="C166" s="69"/>
      <c r="D166" s="69"/>
      <c r="E166" s="69"/>
      <c r="F166" s="69"/>
      <c r="G166" s="69"/>
      <c r="H166" s="69"/>
      <c r="I166" s="68"/>
      <c r="J166" s="69"/>
      <c r="K166" s="68"/>
      <c r="L166" s="69"/>
      <c r="M166" s="67" t="str">
        <f>IF(OR(C166="",E166="",L166=""),"",IF(INDEX(KPI_Targets!$F$5:$F$20,MATCH(C166,KPI_Targets!$B$5:$B$20,0))="Higher",IF(L166&gt;E166,"Improved",IF(L166=E166,"No change","Worse")),IF(L166&lt;E166,"Improved",IF(L166=E166,"No change","Worse"))))</f>
        <v/>
      </c>
      <c r="N166" s="67" t="str">
        <f t="shared" ca="1" si="2"/>
        <v/>
      </c>
      <c r="O166" s="69"/>
    </row>
    <row r="167" spans="1:15" x14ac:dyDescent="0.3">
      <c r="A167" s="69"/>
      <c r="B167" s="68"/>
      <c r="C167" s="69"/>
      <c r="D167" s="69"/>
      <c r="E167" s="69"/>
      <c r="F167" s="69"/>
      <c r="G167" s="69"/>
      <c r="H167" s="69"/>
      <c r="I167" s="68"/>
      <c r="J167" s="69"/>
      <c r="K167" s="68"/>
      <c r="L167" s="69"/>
      <c r="M167" s="67" t="str">
        <f>IF(OR(C167="",E167="",L167=""),"",IF(INDEX(KPI_Targets!$F$5:$F$20,MATCH(C167,KPI_Targets!$B$5:$B$20,0))="Higher",IF(L167&gt;E167,"Improved",IF(L167=E167,"No change","Worse")),IF(L167&lt;E167,"Improved",IF(L167=E167,"No change","Worse"))))</f>
        <v/>
      </c>
      <c r="N167" s="67" t="str">
        <f t="shared" ca="1" si="2"/>
        <v/>
      </c>
      <c r="O167" s="69"/>
    </row>
    <row r="168" spans="1:15" x14ac:dyDescent="0.3">
      <c r="A168" s="69"/>
      <c r="B168" s="68"/>
      <c r="C168" s="69"/>
      <c r="D168" s="69"/>
      <c r="E168" s="69"/>
      <c r="F168" s="69"/>
      <c r="G168" s="69"/>
      <c r="H168" s="69"/>
      <c r="I168" s="68"/>
      <c r="J168" s="69"/>
      <c r="K168" s="68"/>
      <c r="L168" s="69"/>
      <c r="M168" s="67" t="str">
        <f>IF(OR(C168="",E168="",L168=""),"",IF(INDEX(KPI_Targets!$F$5:$F$20,MATCH(C168,KPI_Targets!$B$5:$B$20,0))="Higher",IF(L168&gt;E168,"Improved",IF(L168=E168,"No change","Worse")),IF(L168&lt;E168,"Improved",IF(L168=E168,"No change","Worse"))))</f>
        <v/>
      </c>
      <c r="N168" s="67" t="str">
        <f t="shared" ca="1" si="2"/>
        <v/>
      </c>
      <c r="O168" s="69"/>
    </row>
    <row r="169" spans="1:15" x14ac:dyDescent="0.3">
      <c r="A169" s="69"/>
      <c r="B169" s="68"/>
      <c r="C169" s="69"/>
      <c r="D169" s="69"/>
      <c r="E169" s="69"/>
      <c r="F169" s="69"/>
      <c r="G169" s="69"/>
      <c r="H169" s="69"/>
      <c r="I169" s="68"/>
      <c r="J169" s="69"/>
      <c r="K169" s="68"/>
      <c r="L169" s="69"/>
      <c r="M169" s="67" t="str">
        <f>IF(OR(C169="",E169="",L169=""),"",IF(INDEX(KPI_Targets!$F$5:$F$20,MATCH(C169,KPI_Targets!$B$5:$B$20,0))="Higher",IF(L169&gt;E169,"Improved",IF(L169=E169,"No change","Worse")),IF(L169&lt;E169,"Improved",IF(L169=E169,"No change","Worse"))))</f>
        <v/>
      </c>
      <c r="N169" s="67" t="str">
        <f t="shared" ca="1" si="2"/>
        <v/>
      </c>
      <c r="O169" s="69"/>
    </row>
    <row r="170" spans="1:15" x14ac:dyDescent="0.3">
      <c r="A170" s="69"/>
      <c r="B170" s="68"/>
      <c r="C170" s="69"/>
      <c r="D170" s="69"/>
      <c r="E170" s="69"/>
      <c r="F170" s="69"/>
      <c r="G170" s="69"/>
      <c r="H170" s="69"/>
      <c r="I170" s="68"/>
      <c r="J170" s="69"/>
      <c r="K170" s="68"/>
      <c r="L170" s="69"/>
      <c r="M170" s="67" t="str">
        <f>IF(OR(C170="",E170="",L170=""),"",IF(INDEX(KPI_Targets!$F$5:$F$20,MATCH(C170,KPI_Targets!$B$5:$B$20,0))="Higher",IF(L170&gt;E170,"Improved",IF(L170=E170,"No change","Worse")),IF(L170&lt;E170,"Improved",IF(L170=E170,"No change","Worse"))))</f>
        <v/>
      </c>
      <c r="N170" s="67" t="str">
        <f t="shared" ca="1" si="2"/>
        <v/>
      </c>
      <c r="O170" s="69"/>
    </row>
    <row r="171" spans="1:15" x14ac:dyDescent="0.3">
      <c r="A171" s="69"/>
      <c r="B171" s="68"/>
      <c r="C171" s="69"/>
      <c r="D171" s="69"/>
      <c r="E171" s="69"/>
      <c r="F171" s="69"/>
      <c r="G171" s="69"/>
      <c r="H171" s="69"/>
      <c r="I171" s="68"/>
      <c r="J171" s="69"/>
      <c r="K171" s="68"/>
      <c r="L171" s="69"/>
      <c r="M171" s="67" t="str">
        <f>IF(OR(C171="",E171="",L171=""),"",IF(INDEX(KPI_Targets!$F$5:$F$20,MATCH(C171,KPI_Targets!$B$5:$B$20,0))="Higher",IF(L171&gt;E171,"Improved",IF(L171=E171,"No change","Worse")),IF(L171&lt;E171,"Improved",IF(L171=E171,"No change","Worse"))))</f>
        <v/>
      </c>
      <c r="N171" s="67" t="str">
        <f t="shared" ca="1" si="2"/>
        <v/>
      </c>
      <c r="O171" s="69"/>
    </row>
    <row r="172" spans="1:15" x14ac:dyDescent="0.3">
      <c r="A172" s="69"/>
      <c r="B172" s="68"/>
      <c r="C172" s="69"/>
      <c r="D172" s="69"/>
      <c r="E172" s="69"/>
      <c r="F172" s="69"/>
      <c r="G172" s="69"/>
      <c r="H172" s="69"/>
      <c r="I172" s="68"/>
      <c r="J172" s="69"/>
      <c r="K172" s="68"/>
      <c r="L172" s="69"/>
      <c r="M172" s="67" t="str">
        <f>IF(OR(C172="",E172="",L172=""),"",IF(INDEX(KPI_Targets!$F$5:$F$20,MATCH(C172,KPI_Targets!$B$5:$B$20,0))="Higher",IF(L172&gt;E172,"Improved",IF(L172=E172,"No change","Worse")),IF(L172&lt;E172,"Improved",IF(L172=E172,"No change","Worse"))))</f>
        <v/>
      </c>
      <c r="N172" s="67" t="str">
        <f t="shared" ca="1" si="2"/>
        <v/>
      </c>
      <c r="O172" s="69"/>
    </row>
    <row r="173" spans="1:15" x14ac:dyDescent="0.3">
      <c r="A173" s="69"/>
      <c r="B173" s="68"/>
      <c r="C173" s="69"/>
      <c r="D173" s="69"/>
      <c r="E173" s="69"/>
      <c r="F173" s="69"/>
      <c r="G173" s="69"/>
      <c r="H173" s="69"/>
      <c r="I173" s="68"/>
      <c r="J173" s="69"/>
      <c r="K173" s="68"/>
      <c r="L173" s="69"/>
      <c r="M173" s="67" t="str">
        <f>IF(OR(C173="",E173="",L173=""),"",IF(INDEX(KPI_Targets!$F$5:$F$20,MATCH(C173,KPI_Targets!$B$5:$B$20,0))="Higher",IF(L173&gt;E173,"Improved",IF(L173=E173,"No change","Worse")),IF(L173&lt;E173,"Improved",IF(L173=E173,"No change","Worse"))))</f>
        <v/>
      </c>
      <c r="N173" s="67" t="str">
        <f t="shared" ca="1" si="2"/>
        <v/>
      </c>
      <c r="O173" s="69"/>
    </row>
    <row r="174" spans="1:15" x14ac:dyDescent="0.3">
      <c r="A174" s="69"/>
      <c r="B174" s="68"/>
      <c r="C174" s="69"/>
      <c r="D174" s="69"/>
      <c r="E174" s="69"/>
      <c r="F174" s="69"/>
      <c r="G174" s="69"/>
      <c r="H174" s="69"/>
      <c r="I174" s="68"/>
      <c r="J174" s="69"/>
      <c r="K174" s="68"/>
      <c r="L174" s="69"/>
      <c r="M174" s="67" t="str">
        <f>IF(OR(C174="",E174="",L174=""),"",IF(INDEX(KPI_Targets!$F$5:$F$20,MATCH(C174,KPI_Targets!$B$5:$B$20,0))="Higher",IF(L174&gt;E174,"Improved",IF(L174=E174,"No change","Worse")),IF(L174&lt;E174,"Improved",IF(L174=E174,"No change","Worse"))))</f>
        <v/>
      </c>
      <c r="N174" s="67" t="str">
        <f t="shared" ca="1" si="2"/>
        <v/>
      </c>
      <c r="O174" s="69"/>
    </row>
    <row r="175" spans="1:15" x14ac:dyDescent="0.3">
      <c r="A175" s="69"/>
      <c r="B175" s="68"/>
      <c r="C175" s="69"/>
      <c r="D175" s="69"/>
      <c r="E175" s="69"/>
      <c r="F175" s="69"/>
      <c r="G175" s="69"/>
      <c r="H175" s="69"/>
      <c r="I175" s="68"/>
      <c r="J175" s="69"/>
      <c r="K175" s="68"/>
      <c r="L175" s="69"/>
      <c r="M175" s="67" t="str">
        <f>IF(OR(C175="",E175="",L175=""),"",IF(INDEX(KPI_Targets!$F$5:$F$20,MATCH(C175,KPI_Targets!$B$5:$B$20,0))="Higher",IF(L175&gt;E175,"Improved",IF(L175=E175,"No change","Worse")),IF(L175&lt;E175,"Improved",IF(L175=E175,"No change","Worse"))))</f>
        <v/>
      </c>
      <c r="N175" s="67" t="str">
        <f t="shared" ca="1" si="2"/>
        <v/>
      </c>
      <c r="O175" s="69"/>
    </row>
    <row r="176" spans="1:15" x14ac:dyDescent="0.3">
      <c r="A176" s="69"/>
      <c r="B176" s="68"/>
      <c r="C176" s="69"/>
      <c r="D176" s="69"/>
      <c r="E176" s="69"/>
      <c r="F176" s="69"/>
      <c r="G176" s="69"/>
      <c r="H176" s="69"/>
      <c r="I176" s="68"/>
      <c r="J176" s="69"/>
      <c r="K176" s="68"/>
      <c r="L176" s="69"/>
      <c r="M176" s="67" t="str">
        <f>IF(OR(C176="",E176="",L176=""),"",IF(INDEX(KPI_Targets!$F$5:$F$20,MATCH(C176,KPI_Targets!$B$5:$B$20,0))="Higher",IF(L176&gt;E176,"Improved",IF(L176=E176,"No change","Worse")),IF(L176&lt;E176,"Improved",IF(L176=E176,"No change","Worse"))))</f>
        <v/>
      </c>
      <c r="N176" s="67" t="str">
        <f t="shared" ca="1" si="2"/>
        <v/>
      </c>
      <c r="O176" s="69"/>
    </row>
    <row r="177" spans="1:15" x14ac:dyDescent="0.3">
      <c r="A177" s="69"/>
      <c r="B177" s="68"/>
      <c r="C177" s="69"/>
      <c r="D177" s="69"/>
      <c r="E177" s="69"/>
      <c r="F177" s="69"/>
      <c r="G177" s="69"/>
      <c r="H177" s="69"/>
      <c r="I177" s="68"/>
      <c r="J177" s="69"/>
      <c r="K177" s="68"/>
      <c r="L177" s="69"/>
      <c r="M177" s="67" t="str">
        <f>IF(OR(C177="",E177="",L177=""),"",IF(INDEX(KPI_Targets!$F$5:$F$20,MATCH(C177,KPI_Targets!$B$5:$B$20,0))="Higher",IF(L177&gt;E177,"Improved",IF(L177=E177,"No change","Worse")),IF(L177&lt;E177,"Improved",IF(L177=E177,"No change","Worse"))))</f>
        <v/>
      </c>
      <c r="N177" s="67" t="str">
        <f t="shared" ca="1" si="2"/>
        <v/>
      </c>
      <c r="O177" s="69"/>
    </row>
    <row r="178" spans="1:15" x14ac:dyDescent="0.3">
      <c r="A178" s="69"/>
      <c r="B178" s="68"/>
      <c r="C178" s="69"/>
      <c r="D178" s="69"/>
      <c r="E178" s="69"/>
      <c r="F178" s="69"/>
      <c r="G178" s="69"/>
      <c r="H178" s="69"/>
      <c r="I178" s="68"/>
      <c r="J178" s="69"/>
      <c r="K178" s="68"/>
      <c r="L178" s="69"/>
      <c r="M178" s="67" t="str">
        <f>IF(OR(C178="",E178="",L178=""),"",IF(INDEX(KPI_Targets!$F$5:$F$20,MATCH(C178,KPI_Targets!$B$5:$B$20,0))="Higher",IF(L178&gt;E178,"Improved",IF(L178=E178,"No change","Worse")),IF(L178&lt;E178,"Improved",IF(L178=E178,"No change","Worse"))))</f>
        <v/>
      </c>
      <c r="N178" s="67" t="str">
        <f t="shared" ca="1" si="2"/>
        <v/>
      </c>
      <c r="O178" s="69"/>
    </row>
    <row r="179" spans="1:15" x14ac:dyDescent="0.3">
      <c r="A179" s="69"/>
      <c r="B179" s="68"/>
      <c r="C179" s="69"/>
      <c r="D179" s="69"/>
      <c r="E179" s="69"/>
      <c r="F179" s="69"/>
      <c r="G179" s="69"/>
      <c r="H179" s="69"/>
      <c r="I179" s="68"/>
      <c r="J179" s="69"/>
      <c r="K179" s="68"/>
      <c r="L179" s="69"/>
      <c r="M179" s="67" t="str">
        <f>IF(OR(C179="",E179="",L179=""),"",IF(INDEX(KPI_Targets!$F$5:$F$20,MATCH(C179,KPI_Targets!$B$5:$B$20,0))="Higher",IF(L179&gt;E179,"Improved",IF(L179=E179,"No change","Worse")),IF(L179&lt;E179,"Improved",IF(L179=E179,"No change","Worse"))))</f>
        <v/>
      </c>
      <c r="N179" s="67" t="str">
        <f t="shared" ca="1" si="2"/>
        <v/>
      </c>
      <c r="O179" s="69"/>
    </row>
    <row r="180" spans="1:15" x14ac:dyDescent="0.3">
      <c r="A180" s="69"/>
      <c r="B180" s="68"/>
      <c r="C180" s="69"/>
      <c r="D180" s="69"/>
      <c r="E180" s="69"/>
      <c r="F180" s="69"/>
      <c r="G180" s="69"/>
      <c r="H180" s="69"/>
      <c r="I180" s="68"/>
      <c r="J180" s="69"/>
      <c r="K180" s="68"/>
      <c r="L180" s="69"/>
      <c r="M180" s="67" t="str">
        <f>IF(OR(C180="",E180="",L180=""),"",IF(INDEX(KPI_Targets!$F$5:$F$20,MATCH(C180,KPI_Targets!$B$5:$B$20,0))="Higher",IF(L180&gt;E180,"Improved",IF(L180=E180,"No change","Worse")),IF(L180&lt;E180,"Improved",IF(L180=E180,"No change","Worse"))))</f>
        <v/>
      </c>
      <c r="N180" s="67" t="str">
        <f t="shared" ca="1" si="2"/>
        <v/>
      </c>
      <c r="O180" s="69"/>
    </row>
    <row r="181" spans="1:15" x14ac:dyDescent="0.3">
      <c r="A181" s="69"/>
      <c r="B181" s="68"/>
      <c r="C181" s="69"/>
      <c r="D181" s="69"/>
      <c r="E181" s="69"/>
      <c r="F181" s="69"/>
      <c r="G181" s="69"/>
      <c r="H181" s="69"/>
      <c r="I181" s="68"/>
      <c r="J181" s="69"/>
      <c r="K181" s="68"/>
      <c r="L181" s="69"/>
      <c r="M181" s="67" t="str">
        <f>IF(OR(C181="",E181="",L181=""),"",IF(INDEX(KPI_Targets!$F$5:$F$20,MATCH(C181,KPI_Targets!$B$5:$B$20,0))="Higher",IF(L181&gt;E181,"Improved",IF(L181=E181,"No change","Worse")),IF(L181&lt;E181,"Improved",IF(L181=E181,"No change","Worse"))))</f>
        <v/>
      </c>
      <c r="N181" s="67" t="str">
        <f t="shared" ca="1" si="2"/>
        <v/>
      </c>
      <c r="O181" s="69"/>
    </row>
    <row r="182" spans="1:15" x14ac:dyDescent="0.3">
      <c r="A182" s="69"/>
      <c r="B182" s="68"/>
      <c r="C182" s="69"/>
      <c r="D182" s="69"/>
      <c r="E182" s="69"/>
      <c r="F182" s="69"/>
      <c r="G182" s="69"/>
      <c r="H182" s="69"/>
      <c r="I182" s="68"/>
      <c r="J182" s="69"/>
      <c r="K182" s="68"/>
      <c r="L182" s="69"/>
      <c r="M182" s="67" t="str">
        <f>IF(OR(C182="",E182="",L182=""),"",IF(INDEX(KPI_Targets!$F$5:$F$20,MATCH(C182,KPI_Targets!$B$5:$B$20,0))="Higher",IF(L182&gt;E182,"Improved",IF(L182=E182,"No change","Worse")),IF(L182&lt;E182,"Improved",IF(L182=E182,"No change","Worse"))))</f>
        <v/>
      </c>
      <c r="N182" s="67" t="str">
        <f t="shared" ca="1" si="2"/>
        <v/>
      </c>
      <c r="O182" s="69"/>
    </row>
    <row r="183" spans="1:15" x14ac:dyDescent="0.3">
      <c r="A183" s="69"/>
      <c r="B183" s="68"/>
      <c r="C183" s="69"/>
      <c r="D183" s="69"/>
      <c r="E183" s="69"/>
      <c r="F183" s="69"/>
      <c r="G183" s="69"/>
      <c r="H183" s="69"/>
      <c r="I183" s="68"/>
      <c r="J183" s="69"/>
      <c r="K183" s="68"/>
      <c r="L183" s="69"/>
      <c r="M183" s="67" t="str">
        <f>IF(OR(C183="",E183="",L183=""),"",IF(INDEX(KPI_Targets!$F$5:$F$20,MATCH(C183,KPI_Targets!$B$5:$B$20,0))="Higher",IF(L183&gt;E183,"Improved",IF(L183=E183,"No change","Worse")),IF(L183&lt;E183,"Improved",IF(L183=E183,"No change","Worse"))))</f>
        <v/>
      </c>
      <c r="N183" s="67" t="str">
        <f t="shared" ca="1" si="2"/>
        <v/>
      </c>
      <c r="O183" s="69"/>
    </row>
    <row r="184" spans="1:15" x14ac:dyDescent="0.3">
      <c r="A184" s="69"/>
      <c r="B184" s="68"/>
      <c r="C184" s="69"/>
      <c r="D184" s="69"/>
      <c r="E184" s="69"/>
      <c r="F184" s="69"/>
      <c r="G184" s="69"/>
      <c r="H184" s="69"/>
      <c r="I184" s="68"/>
      <c r="J184" s="69"/>
      <c r="K184" s="68"/>
      <c r="L184" s="69"/>
      <c r="M184" s="67" t="str">
        <f>IF(OR(C184="",E184="",L184=""),"",IF(INDEX(KPI_Targets!$F$5:$F$20,MATCH(C184,KPI_Targets!$B$5:$B$20,0))="Higher",IF(L184&gt;E184,"Improved",IF(L184=E184,"No change","Worse")),IF(L184&lt;E184,"Improved",IF(L184=E184,"No change","Worse"))))</f>
        <v/>
      </c>
      <c r="N184" s="67" t="str">
        <f t="shared" ca="1" si="2"/>
        <v/>
      </c>
      <c r="O184" s="69"/>
    </row>
    <row r="185" spans="1:15" x14ac:dyDescent="0.3">
      <c r="A185" s="69"/>
      <c r="B185" s="68"/>
      <c r="C185" s="69"/>
      <c r="D185" s="69"/>
      <c r="E185" s="69"/>
      <c r="F185" s="69"/>
      <c r="G185" s="69"/>
      <c r="H185" s="69"/>
      <c r="I185" s="68"/>
      <c r="J185" s="69"/>
      <c r="K185" s="68"/>
      <c r="L185" s="69"/>
      <c r="M185" s="67" t="str">
        <f>IF(OR(C185="",E185="",L185=""),"",IF(INDEX(KPI_Targets!$F$5:$F$20,MATCH(C185,KPI_Targets!$B$5:$B$20,0))="Higher",IF(L185&gt;E185,"Improved",IF(L185=E185,"No change","Worse")),IF(L185&lt;E185,"Improved",IF(L185=E185,"No change","Worse"))))</f>
        <v/>
      </c>
      <c r="N185" s="67" t="str">
        <f t="shared" ca="1" si="2"/>
        <v/>
      </c>
      <c r="O185" s="69"/>
    </row>
    <row r="186" spans="1:15" x14ac:dyDescent="0.3">
      <c r="A186" s="69"/>
      <c r="B186" s="68"/>
      <c r="C186" s="69"/>
      <c r="D186" s="69"/>
      <c r="E186" s="69"/>
      <c r="F186" s="69"/>
      <c r="G186" s="69"/>
      <c r="H186" s="69"/>
      <c r="I186" s="68"/>
      <c r="J186" s="69"/>
      <c r="K186" s="68"/>
      <c r="L186" s="69"/>
      <c r="M186" s="67" t="str">
        <f>IF(OR(C186="",E186="",L186=""),"",IF(INDEX(KPI_Targets!$F$5:$F$20,MATCH(C186,KPI_Targets!$B$5:$B$20,0))="Higher",IF(L186&gt;E186,"Improved",IF(L186=E186,"No change","Worse")),IF(L186&lt;E186,"Improved",IF(L186=E186,"No change","Worse"))))</f>
        <v/>
      </c>
      <c r="N186" s="67" t="str">
        <f t="shared" ca="1" si="2"/>
        <v/>
      </c>
      <c r="O186" s="69"/>
    </row>
    <row r="187" spans="1:15" x14ac:dyDescent="0.3">
      <c r="A187" s="69"/>
      <c r="B187" s="68"/>
      <c r="C187" s="69"/>
      <c r="D187" s="69"/>
      <c r="E187" s="69"/>
      <c r="F187" s="69"/>
      <c r="G187" s="69"/>
      <c r="H187" s="69"/>
      <c r="I187" s="68"/>
      <c r="J187" s="69"/>
      <c r="K187" s="68"/>
      <c r="L187" s="69"/>
      <c r="M187" s="67" t="str">
        <f>IF(OR(C187="",E187="",L187=""),"",IF(INDEX(KPI_Targets!$F$5:$F$20,MATCH(C187,KPI_Targets!$B$5:$B$20,0))="Higher",IF(L187&gt;E187,"Improved",IF(L187=E187,"No change","Worse")),IF(L187&lt;E187,"Improved",IF(L187=E187,"No change","Worse"))))</f>
        <v/>
      </c>
      <c r="N187" s="67" t="str">
        <f t="shared" ca="1" si="2"/>
        <v/>
      </c>
      <c r="O187" s="69"/>
    </row>
    <row r="188" spans="1:15" x14ac:dyDescent="0.3">
      <c r="A188" s="69"/>
      <c r="B188" s="68"/>
      <c r="C188" s="69"/>
      <c r="D188" s="69"/>
      <c r="E188" s="69"/>
      <c r="F188" s="69"/>
      <c r="G188" s="69"/>
      <c r="H188" s="69"/>
      <c r="I188" s="68"/>
      <c r="J188" s="69"/>
      <c r="K188" s="68"/>
      <c r="L188" s="69"/>
      <c r="M188" s="67" t="str">
        <f>IF(OR(C188="",E188="",L188=""),"",IF(INDEX(KPI_Targets!$F$5:$F$20,MATCH(C188,KPI_Targets!$B$5:$B$20,0))="Higher",IF(L188&gt;E188,"Improved",IF(L188=E188,"No change","Worse")),IF(L188&lt;E188,"Improved",IF(L188=E188,"No change","Worse"))))</f>
        <v/>
      </c>
      <c r="N188" s="67" t="str">
        <f t="shared" ca="1" si="2"/>
        <v/>
      </c>
      <c r="O188" s="69"/>
    </row>
    <row r="189" spans="1:15" x14ac:dyDescent="0.3">
      <c r="A189" s="69"/>
      <c r="B189" s="68"/>
      <c r="C189" s="69"/>
      <c r="D189" s="69"/>
      <c r="E189" s="69"/>
      <c r="F189" s="69"/>
      <c r="G189" s="69"/>
      <c r="H189" s="69"/>
      <c r="I189" s="68"/>
      <c r="J189" s="69"/>
      <c r="K189" s="68"/>
      <c r="L189" s="69"/>
      <c r="M189" s="67" t="str">
        <f>IF(OR(C189="",E189="",L189=""),"",IF(INDEX(KPI_Targets!$F$5:$F$20,MATCH(C189,KPI_Targets!$B$5:$B$20,0))="Higher",IF(L189&gt;E189,"Improved",IF(L189=E189,"No change","Worse")),IF(L189&lt;E189,"Improved",IF(L189=E189,"No change","Worse"))))</f>
        <v/>
      </c>
      <c r="N189" s="67" t="str">
        <f t="shared" ca="1" si="2"/>
        <v/>
      </c>
      <c r="O189" s="69"/>
    </row>
    <row r="190" spans="1:15" x14ac:dyDescent="0.3">
      <c r="A190" s="69"/>
      <c r="B190" s="68"/>
      <c r="C190" s="69"/>
      <c r="D190" s="69"/>
      <c r="E190" s="69"/>
      <c r="F190" s="69"/>
      <c r="G190" s="69"/>
      <c r="H190" s="69"/>
      <c r="I190" s="68"/>
      <c r="J190" s="69"/>
      <c r="K190" s="68"/>
      <c r="L190" s="69"/>
      <c r="M190" s="67" t="str">
        <f>IF(OR(C190="",E190="",L190=""),"",IF(INDEX(KPI_Targets!$F$5:$F$20,MATCH(C190,KPI_Targets!$B$5:$B$20,0))="Higher",IF(L190&gt;E190,"Improved",IF(L190=E190,"No change","Worse")),IF(L190&lt;E190,"Improved",IF(L190=E190,"No change","Worse"))))</f>
        <v/>
      </c>
      <c r="N190" s="67" t="str">
        <f t="shared" ca="1" si="2"/>
        <v/>
      </c>
      <c r="O190" s="69"/>
    </row>
    <row r="191" spans="1:15" x14ac:dyDescent="0.3">
      <c r="A191" s="69"/>
      <c r="B191" s="68"/>
      <c r="C191" s="69"/>
      <c r="D191" s="69"/>
      <c r="E191" s="69"/>
      <c r="F191" s="69"/>
      <c r="G191" s="69"/>
      <c r="H191" s="69"/>
      <c r="I191" s="68"/>
      <c r="J191" s="69"/>
      <c r="K191" s="68"/>
      <c r="L191" s="69"/>
      <c r="M191" s="67" t="str">
        <f>IF(OR(C191="",E191="",L191=""),"",IF(INDEX(KPI_Targets!$F$5:$F$20,MATCH(C191,KPI_Targets!$B$5:$B$20,0))="Higher",IF(L191&gt;E191,"Improved",IF(L191=E191,"No change","Worse")),IF(L191&lt;E191,"Improved",IF(L191=E191,"No change","Worse"))))</f>
        <v/>
      </c>
      <c r="N191" s="67" t="str">
        <f t="shared" ca="1" si="2"/>
        <v/>
      </c>
      <c r="O191" s="69"/>
    </row>
    <row r="192" spans="1:15" x14ac:dyDescent="0.3">
      <c r="A192" s="69"/>
      <c r="B192" s="68"/>
      <c r="C192" s="69"/>
      <c r="D192" s="69"/>
      <c r="E192" s="69"/>
      <c r="F192" s="69"/>
      <c r="G192" s="69"/>
      <c r="H192" s="69"/>
      <c r="I192" s="68"/>
      <c r="J192" s="69"/>
      <c r="K192" s="68"/>
      <c r="L192" s="69"/>
      <c r="M192" s="67" t="str">
        <f>IF(OR(C192="",E192="",L192=""),"",IF(INDEX(KPI_Targets!$F$5:$F$20,MATCH(C192,KPI_Targets!$B$5:$B$20,0))="Higher",IF(L192&gt;E192,"Improved",IF(L192=E192,"No change","Worse")),IF(L192&lt;E192,"Improved",IF(L192=E192,"No change","Worse"))))</f>
        <v/>
      </c>
      <c r="N192" s="67" t="str">
        <f t="shared" ca="1" si="2"/>
        <v/>
      </c>
      <c r="O192" s="69"/>
    </row>
    <row r="193" spans="1:15" x14ac:dyDescent="0.3">
      <c r="A193" s="69"/>
      <c r="B193" s="68"/>
      <c r="C193" s="69"/>
      <c r="D193" s="69"/>
      <c r="E193" s="69"/>
      <c r="F193" s="69"/>
      <c r="G193" s="69"/>
      <c r="H193" s="69"/>
      <c r="I193" s="68"/>
      <c r="J193" s="69"/>
      <c r="K193" s="68"/>
      <c r="L193" s="69"/>
      <c r="M193" s="67" t="str">
        <f>IF(OR(C193="",E193="",L193=""),"",IF(INDEX(KPI_Targets!$F$5:$F$20,MATCH(C193,KPI_Targets!$B$5:$B$20,0))="Higher",IF(L193&gt;E193,"Improved",IF(L193=E193,"No change","Worse")),IF(L193&lt;E193,"Improved",IF(L193=E193,"No change","Worse"))))</f>
        <v/>
      </c>
      <c r="N193" s="67" t="str">
        <f t="shared" ca="1" si="2"/>
        <v/>
      </c>
      <c r="O193" s="69"/>
    </row>
    <row r="194" spans="1:15" x14ac:dyDescent="0.3">
      <c r="A194" s="69"/>
      <c r="B194" s="68"/>
      <c r="C194" s="69"/>
      <c r="D194" s="69"/>
      <c r="E194" s="69"/>
      <c r="F194" s="69"/>
      <c r="G194" s="69"/>
      <c r="H194" s="69"/>
      <c r="I194" s="68"/>
      <c r="J194" s="69"/>
      <c r="K194" s="68"/>
      <c r="L194" s="69"/>
      <c r="M194" s="67" t="str">
        <f>IF(OR(C194="",E194="",L194=""),"",IF(INDEX(KPI_Targets!$F$5:$F$20,MATCH(C194,KPI_Targets!$B$5:$B$20,0))="Higher",IF(L194&gt;E194,"Improved",IF(L194=E194,"No change","Worse")),IF(L194&lt;E194,"Improved",IF(L194=E194,"No change","Worse"))))</f>
        <v/>
      </c>
      <c r="N194" s="67" t="str">
        <f t="shared" ca="1" si="2"/>
        <v/>
      </c>
      <c r="O194" s="69"/>
    </row>
    <row r="195" spans="1:15" x14ac:dyDescent="0.3">
      <c r="A195" s="69"/>
      <c r="B195" s="68"/>
      <c r="C195" s="69"/>
      <c r="D195" s="69"/>
      <c r="E195" s="69"/>
      <c r="F195" s="69"/>
      <c r="G195" s="69"/>
      <c r="H195" s="69"/>
      <c r="I195" s="68"/>
      <c r="J195" s="69"/>
      <c r="K195" s="68"/>
      <c r="L195" s="69"/>
      <c r="M195" s="67" t="str">
        <f>IF(OR(C195="",E195="",L195=""),"",IF(INDEX(KPI_Targets!$F$5:$F$20,MATCH(C195,KPI_Targets!$B$5:$B$20,0))="Higher",IF(L195&gt;E195,"Improved",IF(L195=E195,"No change","Worse")),IF(L195&lt;E195,"Improved",IF(L195=E195,"No change","Worse"))))</f>
        <v/>
      </c>
      <c r="N195" s="67" t="str">
        <f t="shared" ca="1" si="2"/>
        <v/>
      </c>
      <c r="O195" s="69"/>
    </row>
    <row r="196" spans="1:15" x14ac:dyDescent="0.3">
      <c r="A196" s="69"/>
      <c r="B196" s="68"/>
      <c r="C196" s="69"/>
      <c r="D196" s="69"/>
      <c r="E196" s="69"/>
      <c r="F196" s="69"/>
      <c r="G196" s="69"/>
      <c r="H196" s="69"/>
      <c r="I196" s="68"/>
      <c r="J196" s="69"/>
      <c r="K196" s="68"/>
      <c r="L196" s="69"/>
      <c r="M196" s="67" t="str">
        <f>IF(OR(C196="",E196="",L196=""),"",IF(INDEX(KPI_Targets!$F$5:$F$20,MATCH(C196,KPI_Targets!$B$5:$B$20,0))="Higher",IF(L196&gt;E196,"Improved",IF(L196=E196,"No change","Worse")),IF(L196&lt;E196,"Improved",IF(L196=E196,"No change","Worse"))))</f>
        <v/>
      </c>
      <c r="N196" s="67" t="str">
        <f t="shared" ca="1" si="2"/>
        <v/>
      </c>
      <c r="O196" s="69"/>
    </row>
    <row r="197" spans="1:15" x14ac:dyDescent="0.3">
      <c r="A197" s="69"/>
      <c r="B197" s="68"/>
      <c r="C197" s="69"/>
      <c r="D197" s="69"/>
      <c r="E197" s="69"/>
      <c r="F197" s="69"/>
      <c r="G197" s="69"/>
      <c r="H197" s="69"/>
      <c r="I197" s="68"/>
      <c r="J197" s="69"/>
      <c r="K197" s="68"/>
      <c r="L197" s="69"/>
      <c r="M197" s="67" t="str">
        <f>IF(OR(C197="",E197="",L197=""),"",IF(INDEX(KPI_Targets!$F$5:$F$20,MATCH(C197,KPI_Targets!$B$5:$B$20,0))="Higher",IF(L197&gt;E197,"Improved",IF(L197=E197,"No change","Worse")),IF(L197&lt;E197,"Improved",IF(L197=E197,"No change","Worse"))))</f>
        <v/>
      </c>
      <c r="N197" s="67" t="str">
        <f t="shared" ref="N197:N260" ca="1" si="3">IF(B197="","",IF(OR(J197="Implemented",J197="Cancelled"),"Closed",IF(AND(I197&lt;&gt;"",I197&lt;TODAY()),"OVERDUE","On track")))</f>
        <v/>
      </c>
      <c r="O197" s="69"/>
    </row>
    <row r="198" spans="1:15" x14ac:dyDescent="0.3">
      <c r="A198" s="69"/>
      <c r="B198" s="68"/>
      <c r="C198" s="69"/>
      <c r="D198" s="69"/>
      <c r="E198" s="69"/>
      <c r="F198" s="69"/>
      <c r="G198" s="69"/>
      <c r="H198" s="69"/>
      <c r="I198" s="68"/>
      <c r="J198" s="69"/>
      <c r="K198" s="68"/>
      <c r="L198" s="69"/>
      <c r="M198" s="67" t="str">
        <f>IF(OR(C198="",E198="",L198=""),"",IF(INDEX(KPI_Targets!$F$5:$F$20,MATCH(C198,KPI_Targets!$B$5:$B$20,0))="Higher",IF(L198&gt;E198,"Improved",IF(L198=E198,"No change","Worse")),IF(L198&lt;E198,"Improved",IF(L198=E198,"No change","Worse"))))</f>
        <v/>
      </c>
      <c r="N198" s="67" t="str">
        <f t="shared" ca="1" si="3"/>
        <v/>
      </c>
      <c r="O198" s="69"/>
    </row>
    <row r="199" spans="1:15" x14ac:dyDescent="0.3">
      <c r="A199" s="69"/>
      <c r="B199" s="68"/>
      <c r="C199" s="69"/>
      <c r="D199" s="69"/>
      <c r="E199" s="69"/>
      <c r="F199" s="69"/>
      <c r="G199" s="69"/>
      <c r="H199" s="69"/>
      <c r="I199" s="68"/>
      <c r="J199" s="69"/>
      <c r="K199" s="68"/>
      <c r="L199" s="69"/>
      <c r="M199" s="67" t="str">
        <f>IF(OR(C199="",E199="",L199=""),"",IF(INDEX(KPI_Targets!$F$5:$F$20,MATCH(C199,KPI_Targets!$B$5:$B$20,0))="Higher",IF(L199&gt;E199,"Improved",IF(L199=E199,"No change","Worse")),IF(L199&lt;E199,"Improved",IF(L199=E199,"No change","Worse"))))</f>
        <v/>
      </c>
      <c r="N199" s="67" t="str">
        <f t="shared" ca="1" si="3"/>
        <v/>
      </c>
      <c r="O199" s="69"/>
    </row>
    <row r="200" spans="1:15" x14ac:dyDescent="0.3">
      <c r="A200" s="69"/>
      <c r="B200" s="68"/>
      <c r="C200" s="69"/>
      <c r="D200" s="69"/>
      <c r="E200" s="69"/>
      <c r="F200" s="69"/>
      <c r="G200" s="69"/>
      <c r="H200" s="69"/>
      <c r="I200" s="68"/>
      <c r="J200" s="69"/>
      <c r="K200" s="68"/>
      <c r="L200" s="69"/>
      <c r="M200" s="67" t="str">
        <f>IF(OR(C200="",E200="",L200=""),"",IF(INDEX(KPI_Targets!$F$5:$F$20,MATCH(C200,KPI_Targets!$B$5:$B$20,0))="Higher",IF(L200&gt;E200,"Improved",IF(L200=E200,"No change","Worse")),IF(L200&lt;E200,"Improved",IF(L200=E200,"No change","Worse"))))</f>
        <v/>
      </c>
      <c r="N200" s="67" t="str">
        <f t="shared" ca="1" si="3"/>
        <v/>
      </c>
      <c r="O200" s="69"/>
    </row>
    <row r="201" spans="1:15" x14ac:dyDescent="0.3">
      <c r="A201" s="69"/>
      <c r="B201" s="68"/>
      <c r="C201" s="69"/>
      <c r="D201" s="69"/>
      <c r="E201" s="69"/>
      <c r="F201" s="69"/>
      <c r="G201" s="69"/>
      <c r="H201" s="69"/>
      <c r="I201" s="68"/>
      <c r="J201" s="69"/>
      <c r="K201" s="68"/>
      <c r="L201" s="69"/>
      <c r="M201" s="67" t="str">
        <f>IF(OR(C201="",E201="",L201=""),"",IF(INDEX(KPI_Targets!$F$5:$F$20,MATCH(C201,KPI_Targets!$B$5:$B$20,0))="Higher",IF(L201&gt;E201,"Improved",IF(L201=E201,"No change","Worse")),IF(L201&lt;E201,"Improved",IF(L201=E201,"No change","Worse"))))</f>
        <v/>
      </c>
      <c r="N201" s="67" t="str">
        <f t="shared" ca="1" si="3"/>
        <v/>
      </c>
      <c r="O201" s="69"/>
    </row>
    <row r="202" spans="1:15" x14ac:dyDescent="0.3">
      <c r="A202" s="69"/>
      <c r="B202" s="68"/>
      <c r="C202" s="69"/>
      <c r="D202" s="69"/>
      <c r="E202" s="69"/>
      <c r="F202" s="69"/>
      <c r="G202" s="69"/>
      <c r="H202" s="69"/>
      <c r="I202" s="68"/>
      <c r="J202" s="69"/>
      <c r="K202" s="68"/>
      <c r="L202" s="69"/>
      <c r="M202" s="67" t="str">
        <f>IF(OR(C202="",E202="",L202=""),"",IF(INDEX(KPI_Targets!$F$5:$F$20,MATCH(C202,KPI_Targets!$B$5:$B$20,0))="Higher",IF(L202&gt;E202,"Improved",IF(L202=E202,"No change","Worse")),IF(L202&lt;E202,"Improved",IF(L202=E202,"No change","Worse"))))</f>
        <v/>
      </c>
      <c r="N202" s="67" t="str">
        <f t="shared" ca="1" si="3"/>
        <v/>
      </c>
      <c r="O202" s="69"/>
    </row>
    <row r="203" spans="1:15" x14ac:dyDescent="0.3">
      <c r="A203" s="69"/>
      <c r="B203" s="68"/>
      <c r="C203" s="69"/>
      <c r="D203" s="69"/>
      <c r="E203" s="69"/>
      <c r="F203" s="69"/>
      <c r="G203" s="69"/>
      <c r="H203" s="69"/>
      <c r="I203" s="68"/>
      <c r="J203" s="69"/>
      <c r="K203" s="68"/>
      <c r="L203" s="69"/>
      <c r="M203" s="67" t="str">
        <f>IF(OR(C203="",E203="",L203=""),"",IF(INDEX(KPI_Targets!$F$5:$F$20,MATCH(C203,KPI_Targets!$B$5:$B$20,0))="Higher",IF(L203&gt;E203,"Improved",IF(L203=E203,"No change","Worse")),IF(L203&lt;E203,"Improved",IF(L203=E203,"No change","Worse"))))</f>
        <v/>
      </c>
      <c r="N203" s="67" t="str">
        <f t="shared" ca="1" si="3"/>
        <v/>
      </c>
      <c r="O203" s="69"/>
    </row>
    <row r="204" spans="1:15" x14ac:dyDescent="0.3">
      <c r="A204" s="69"/>
      <c r="B204" s="68"/>
      <c r="C204" s="69"/>
      <c r="D204" s="69"/>
      <c r="E204" s="69"/>
      <c r="F204" s="69"/>
      <c r="G204" s="69"/>
      <c r="H204" s="69"/>
      <c r="I204" s="68"/>
      <c r="J204" s="69"/>
      <c r="K204" s="68"/>
      <c r="L204" s="69"/>
      <c r="M204" s="67" t="str">
        <f>IF(OR(C204="",E204="",L204=""),"",IF(INDEX(KPI_Targets!$F$5:$F$20,MATCH(C204,KPI_Targets!$B$5:$B$20,0))="Higher",IF(L204&gt;E204,"Improved",IF(L204=E204,"No change","Worse")),IF(L204&lt;E204,"Improved",IF(L204=E204,"No change","Worse"))))</f>
        <v/>
      </c>
      <c r="N204" s="67" t="str">
        <f t="shared" ca="1" si="3"/>
        <v/>
      </c>
      <c r="O204" s="69"/>
    </row>
    <row r="205" spans="1:15" x14ac:dyDescent="0.3">
      <c r="A205" s="69"/>
      <c r="B205" s="68"/>
      <c r="C205" s="69"/>
      <c r="D205" s="69"/>
      <c r="E205" s="69"/>
      <c r="F205" s="69"/>
      <c r="G205" s="69"/>
      <c r="H205" s="69"/>
      <c r="I205" s="68"/>
      <c r="J205" s="69"/>
      <c r="K205" s="68"/>
      <c r="L205" s="69"/>
      <c r="M205" s="67" t="str">
        <f>IF(OR(C205="",E205="",L205=""),"",IF(INDEX(KPI_Targets!$F$5:$F$20,MATCH(C205,KPI_Targets!$B$5:$B$20,0))="Higher",IF(L205&gt;E205,"Improved",IF(L205=E205,"No change","Worse")),IF(L205&lt;E205,"Improved",IF(L205=E205,"No change","Worse"))))</f>
        <v/>
      </c>
      <c r="N205" s="67" t="str">
        <f t="shared" ca="1" si="3"/>
        <v/>
      </c>
      <c r="O205" s="69"/>
    </row>
    <row r="206" spans="1:15" x14ac:dyDescent="0.3">
      <c r="A206" s="69"/>
      <c r="B206" s="68"/>
      <c r="C206" s="69"/>
      <c r="D206" s="69"/>
      <c r="E206" s="69"/>
      <c r="F206" s="69"/>
      <c r="G206" s="69"/>
      <c r="H206" s="69"/>
      <c r="I206" s="68"/>
      <c r="J206" s="69"/>
      <c r="K206" s="68"/>
      <c r="L206" s="69"/>
      <c r="M206" s="67" t="str">
        <f>IF(OR(C206="",E206="",L206=""),"",IF(INDEX(KPI_Targets!$F$5:$F$20,MATCH(C206,KPI_Targets!$B$5:$B$20,0))="Higher",IF(L206&gt;E206,"Improved",IF(L206=E206,"No change","Worse")),IF(L206&lt;E206,"Improved",IF(L206=E206,"No change","Worse"))))</f>
        <v/>
      </c>
      <c r="N206" s="67" t="str">
        <f t="shared" ca="1" si="3"/>
        <v/>
      </c>
      <c r="O206" s="69"/>
    </row>
    <row r="207" spans="1:15" x14ac:dyDescent="0.3">
      <c r="A207" s="69"/>
      <c r="B207" s="68"/>
      <c r="C207" s="69"/>
      <c r="D207" s="69"/>
      <c r="E207" s="69"/>
      <c r="F207" s="69"/>
      <c r="G207" s="69"/>
      <c r="H207" s="69"/>
      <c r="I207" s="68"/>
      <c r="J207" s="69"/>
      <c r="K207" s="68"/>
      <c r="L207" s="69"/>
      <c r="M207" s="67" t="str">
        <f>IF(OR(C207="",E207="",L207=""),"",IF(INDEX(KPI_Targets!$F$5:$F$20,MATCH(C207,KPI_Targets!$B$5:$B$20,0))="Higher",IF(L207&gt;E207,"Improved",IF(L207=E207,"No change","Worse")),IF(L207&lt;E207,"Improved",IF(L207=E207,"No change","Worse"))))</f>
        <v/>
      </c>
      <c r="N207" s="67" t="str">
        <f t="shared" ca="1" si="3"/>
        <v/>
      </c>
      <c r="O207" s="69"/>
    </row>
    <row r="208" spans="1:15" x14ac:dyDescent="0.3">
      <c r="A208" s="69"/>
      <c r="B208" s="68"/>
      <c r="C208" s="69"/>
      <c r="D208" s="69"/>
      <c r="E208" s="69"/>
      <c r="F208" s="69"/>
      <c r="G208" s="69"/>
      <c r="H208" s="69"/>
      <c r="I208" s="68"/>
      <c r="J208" s="69"/>
      <c r="K208" s="68"/>
      <c r="L208" s="69"/>
      <c r="M208" s="67" t="str">
        <f>IF(OR(C208="",E208="",L208=""),"",IF(INDEX(KPI_Targets!$F$5:$F$20,MATCH(C208,KPI_Targets!$B$5:$B$20,0))="Higher",IF(L208&gt;E208,"Improved",IF(L208=E208,"No change","Worse")),IF(L208&lt;E208,"Improved",IF(L208=E208,"No change","Worse"))))</f>
        <v/>
      </c>
      <c r="N208" s="67" t="str">
        <f t="shared" ca="1" si="3"/>
        <v/>
      </c>
      <c r="O208" s="69"/>
    </row>
    <row r="209" spans="1:15" x14ac:dyDescent="0.3">
      <c r="A209" s="69"/>
      <c r="B209" s="68"/>
      <c r="C209" s="69"/>
      <c r="D209" s="69"/>
      <c r="E209" s="69"/>
      <c r="F209" s="69"/>
      <c r="G209" s="69"/>
      <c r="H209" s="69"/>
      <c r="I209" s="68"/>
      <c r="J209" s="69"/>
      <c r="K209" s="68"/>
      <c r="L209" s="69"/>
      <c r="M209" s="67" t="str">
        <f>IF(OR(C209="",E209="",L209=""),"",IF(INDEX(KPI_Targets!$F$5:$F$20,MATCH(C209,KPI_Targets!$B$5:$B$20,0))="Higher",IF(L209&gt;E209,"Improved",IF(L209=E209,"No change","Worse")),IF(L209&lt;E209,"Improved",IF(L209=E209,"No change","Worse"))))</f>
        <v/>
      </c>
      <c r="N209" s="67" t="str">
        <f t="shared" ca="1" si="3"/>
        <v/>
      </c>
      <c r="O209" s="69"/>
    </row>
    <row r="210" spans="1:15" x14ac:dyDescent="0.3">
      <c r="A210" s="69"/>
      <c r="B210" s="68"/>
      <c r="C210" s="69"/>
      <c r="D210" s="69"/>
      <c r="E210" s="69"/>
      <c r="F210" s="69"/>
      <c r="G210" s="69"/>
      <c r="H210" s="69"/>
      <c r="I210" s="68"/>
      <c r="J210" s="69"/>
      <c r="K210" s="68"/>
      <c r="L210" s="69"/>
      <c r="M210" s="67" t="str">
        <f>IF(OR(C210="",E210="",L210=""),"",IF(INDEX(KPI_Targets!$F$5:$F$20,MATCH(C210,KPI_Targets!$B$5:$B$20,0))="Higher",IF(L210&gt;E210,"Improved",IF(L210=E210,"No change","Worse")),IF(L210&lt;E210,"Improved",IF(L210=E210,"No change","Worse"))))</f>
        <v/>
      </c>
      <c r="N210" s="67" t="str">
        <f t="shared" ca="1" si="3"/>
        <v/>
      </c>
      <c r="O210" s="69"/>
    </row>
    <row r="211" spans="1:15" x14ac:dyDescent="0.3">
      <c r="A211" s="69"/>
      <c r="B211" s="68"/>
      <c r="C211" s="69"/>
      <c r="D211" s="69"/>
      <c r="E211" s="69"/>
      <c r="F211" s="69"/>
      <c r="G211" s="69"/>
      <c r="H211" s="69"/>
      <c r="I211" s="68"/>
      <c r="J211" s="69"/>
      <c r="K211" s="68"/>
      <c r="L211" s="69"/>
      <c r="M211" s="67" t="str">
        <f>IF(OR(C211="",E211="",L211=""),"",IF(INDEX(KPI_Targets!$F$5:$F$20,MATCH(C211,KPI_Targets!$B$5:$B$20,0))="Higher",IF(L211&gt;E211,"Improved",IF(L211=E211,"No change","Worse")),IF(L211&lt;E211,"Improved",IF(L211=E211,"No change","Worse"))))</f>
        <v/>
      </c>
      <c r="N211" s="67" t="str">
        <f t="shared" ca="1" si="3"/>
        <v/>
      </c>
      <c r="O211" s="69"/>
    </row>
    <row r="212" spans="1:15" x14ac:dyDescent="0.3">
      <c r="A212" s="69"/>
      <c r="B212" s="68"/>
      <c r="C212" s="69"/>
      <c r="D212" s="69"/>
      <c r="E212" s="69"/>
      <c r="F212" s="69"/>
      <c r="G212" s="69"/>
      <c r="H212" s="69"/>
      <c r="I212" s="68"/>
      <c r="J212" s="69"/>
      <c r="K212" s="68"/>
      <c r="L212" s="69"/>
      <c r="M212" s="67" t="str">
        <f>IF(OR(C212="",E212="",L212=""),"",IF(INDEX(KPI_Targets!$F$5:$F$20,MATCH(C212,KPI_Targets!$B$5:$B$20,0))="Higher",IF(L212&gt;E212,"Improved",IF(L212=E212,"No change","Worse")),IF(L212&lt;E212,"Improved",IF(L212=E212,"No change","Worse"))))</f>
        <v/>
      </c>
      <c r="N212" s="67" t="str">
        <f t="shared" ca="1" si="3"/>
        <v/>
      </c>
      <c r="O212" s="69"/>
    </row>
    <row r="213" spans="1:15" x14ac:dyDescent="0.3">
      <c r="A213" s="69"/>
      <c r="B213" s="68"/>
      <c r="C213" s="69"/>
      <c r="D213" s="69"/>
      <c r="E213" s="69"/>
      <c r="F213" s="69"/>
      <c r="G213" s="69"/>
      <c r="H213" s="69"/>
      <c r="I213" s="68"/>
      <c r="J213" s="69"/>
      <c r="K213" s="68"/>
      <c r="L213" s="69"/>
      <c r="M213" s="67" t="str">
        <f>IF(OR(C213="",E213="",L213=""),"",IF(INDEX(KPI_Targets!$F$5:$F$20,MATCH(C213,KPI_Targets!$B$5:$B$20,0))="Higher",IF(L213&gt;E213,"Improved",IF(L213=E213,"No change","Worse")),IF(L213&lt;E213,"Improved",IF(L213=E213,"No change","Worse"))))</f>
        <v/>
      </c>
      <c r="N213" s="67" t="str">
        <f t="shared" ca="1" si="3"/>
        <v/>
      </c>
      <c r="O213" s="69"/>
    </row>
    <row r="214" spans="1:15" x14ac:dyDescent="0.3">
      <c r="A214" s="69"/>
      <c r="B214" s="68"/>
      <c r="C214" s="69"/>
      <c r="D214" s="69"/>
      <c r="E214" s="69"/>
      <c r="F214" s="69"/>
      <c r="G214" s="69"/>
      <c r="H214" s="69"/>
      <c r="I214" s="68"/>
      <c r="J214" s="69"/>
      <c r="K214" s="68"/>
      <c r="L214" s="69"/>
      <c r="M214" s="67" t="str">
        <f>IF(OR(C214="",E214="",L214=""),"",IF(INDEX(KPI_Targets!$F$5:$F$20,MATCH(C214,KPI_Targets!$B$5:$B$20,0))="Higher",IF(L214&gt;E214,"Improved",IF(L214=E214,"No change","Worse")),IF(L214&lt;E214,"Improved",IF(L214=E214,"No change","Worse"))))</f>
        <v/>
      </c>
      <c r="N214" s="67" t="str">
        <f t="shared" ca="1" si="3"/>
        <v/>
      </c>
      <c r="O214" s="69"/>
    </row>
    <row r="215" spans="1:15" x14ac:dyDescent="0.3">
      <c r="A215" s="69"/>
      <c r="B215" s="68"/>
      <c r="C215" s="69"/>
      <c r="D215" s="69"/>
      <c r="E215" s="69"/>
      <c r="F215" s="69"/>
      <c r="G215" s="69"/>
      <c r="H215" s="69"/>
      <c r="I215" s="68"/>
      <c r="J215" s="69"/>
      <c r="K215" s="68"/>
      <c r="L215" s="69"/>
      <c r="M215" s="67" t="str">
        <f>IF(OR(C215="",E215="",L215=""),"",IF(INDEX(KPI_Targets!$F$5:$F$20,MATCH(C215,KPI_Targets!$B$5:$B$20,0))="Higher",IF(L215&gt;E215,"Improved",IF(L215=E215,"No change","Worse")),IF(L215&lt;E215,"Improved",IF(L215=E215,"No change","Worse"))))</f>
        <v/>
      </c>
      <c r="N215" s="67" t="str">
        <f t="shared" ca="1" si="3"/>
        <v/>
      </c>
      <c r="O215" s="69"/>
    </row>
    <row r="216" spans="1:15" x14ac:dyDescent="0.3">
      <c r="A216" s="69"/>
      <c r="B216" s="68"/>
      <c r="C216" s="69"/>
      <c r="D216" s="69"/>
      <c r="E216" s="69"/>
      <c r="F216" s="69"/>
      <c r="G216" s="69"/>
      <c r="H216" s="69"/>
      <c r="I216" s="68"/>
      <c r="J216" s="69"/>
      <c r="K216" s="68"/>
      <c r="L216" s="69"/>
      <c r="M216" s="67" t="str">
        <f>IF(OR(C216="",E216="",L216=""),"",IF(INDEX(KPI_Targets!$F$5:$F$20,MATCH(C216,KPI_Targets!$B$5:$B$20,0))="Higher",IF(L216&gt;E216,"Improved",IF(L216=E216,"No change","Worse")),IF(L216&lt;E216,"Improved",IF(L216=E216,"No change","Worse"))))</f>
        <v/>
      </c>
      <c r="N216" s="67" t="str">
        <f t="shared" ca="1" si="3"/>
        <v/>
      </c>
      <c r="O216" s="69"/>
    </row>
    <row r="217" spans="1:15" x14ac:dyDescent="0.3">
      <c r="A217" s="69"/>
      <c r="B217" s="68"/>
      <c r="C217" s="69"/>
      <c r="D217" s="69"/>
      <c r="E217" s="69"/>
      <c r="F217" s="69"/>
      <c r="G217" s="69"/>
      <c r="H217" s="69"/>
      <c r="I217" s="68"/>
      <c r="J217" s="69"/>
      <c r="K217" s="68"/>
      <c r="L217" s="69"/>
      <c r="M217" s="67" t="str">
        <f>IF(OR(C217="",E217="",L217=""),"",IF(INDEX(KPI_Targets!$F$5:$F$20,MATCH(C217,KPI_Targets!$B$5:$B$20,0))="Higher",IF(L217&gt;E217,"Improved",IF(L217=E217,"No change","Worse")),IF(L217&lt;E217,"Improved",IF(L217=E217,"No change","Worse"))))</f>
        <v/>
      </c>
      <c r="N217" s="67" t="str">
        <f t="shared" ca="1" si="3"/>
        <v/>
      </c>
      <c r="O217" s="69"/>
    </row>
    <row r="218" spans="1:15" x14ac:dyDescent="0.3">
      <c r="A218" s="69"/>
      <c r="B218" s="68"/>
      <c r="C218" s="69"/>
      <c r="D218" s="69"/>
      <c r="E218" s="69"/>
      <c r="F218" s="69"/>
      <c r="G218" s="69"/>
      <c r="H218" s="69"/>
      <c r="I218" s="68"/>
      <c r="J218" s="69"/>
      <c r="K218" s="68"/>
      <c r="L218" s="69"/>
      <c r="M218" s="67" t="str">
        <f>IF(OR(C218="",E218="",L218=""),"",IF(INDEX(KPI_Targets!$F$5:$F$20,MATCH(C218,KPI_Targets!$B$5:$B$20,0))="Higher",IF(L218&gt;E218,"Improved",IF(L218=E218,"No change","Worse")),IF(L218&lt;E218,"Improved",IF(L218=E218,"No change","Worse"))))</f>
        <v/>
      </c>
      <c r="N218" s="67" t="str">
        <f t="shared" ca="1" si="3"/>
        <v/>
      </c>
      <c r="O218" s="69"/>
    </row>
    <row r="219" spans="1:15" x14ac:dyDescent="0.3">
      <c r="A219" s="69"/>
      <c r="B219" s="68"/>
      <c r="C219" s="69"/>
      <c r="D219" s="69"/>
      <c r="E219" s="69"/>
      <c r="F219" s="69"/>
      <c r="G219" s="69"/>
      <c r="H219" s="69"/>
      <c r="I219" s="68"/>
      <c r="J219" s="69"/>
      <c r="K219" s="68"/>
      <c r="L219" s="69"/>
      <c r="M219" s="67" t="str">
        <f>IF(OR(C219="",E219="",L219=""),"",IF(INDEX(KPI_Targets!$F$5:$F$20,MATCH(C219,KPI_Targets!$B$5:$B$20,0))="Higher",IF(L219&gt;E219,"Improved",IF(L219=E219,"No change","Worse")),IF(L219&lt;E219,"Improved",IF(L219=E219,"No change","Worse"))))</f>
        <v/>
      </c>
      <c r="N219" s="67" t="str">
        <f t="shared" ca="1" si="3"/>
        <v/>
      </c>
      <c r="O219" s="69"/>
    </row>
    <row r="220" spans="1:15" x14ac:dyDescent="0.3">
      <c r="A220" s="69"/>
      <c r="B220" s="68"/>
      <c r="C220" s="69"/>
      <c r="D220" s="69"/>
      <c r="E220" s="69"/>
      <c r="F220" s="69"/>
      <c r="G220" s="69"/>
      <c r="H220" s="69"/>
      <c r="I220" s="68"/>
      <c r="J220" s="69"/>
      <c r="K220" s="68"/>
      <c r="L220" s="69"/>
      <c r="M220" s="67" t="str">
        <f>IF(OR(C220="",E220="",L220=""),"",IF(INDEX(KPI_Targets!$F$5:$F$20,MATCH(C220,KPI_Targets!$B$5:$B$20,0))="Higher",IF(L220&gt;E220,"Improved",IF(L220=E220,"No change","Worse")),IF(L220&lt;E220,"Improved",IF(L220=E220,"No change","Worse"))))</f>
        <v/>
      </c>
      <c r="N220" s="67" t="str">
        <f t="shared" ca="1" si="3"/>
        <v/>
      </c>
      <c r="O220" s="69"/>
    </row>
    <row r="221" spans="1:15" x14ac:dyDescent="0.3">
      <c r="A221" s="69"/>
      <c r="B221" s="68"/>
      <c r="C221" s="69"/>
      <c r="D221" s="69"/>
      <c r="E221" s="69"/>
      <c r="F221" s="69"/>
      <c r="G221" s="69"/>
      <c r="H221" s="69"/>
      <c r="I221" s="68"/>
      <c r="J221" s="69"/>
      <c r="K221" s="68"/>
      <c r="L221" s="69"/>
      <c r="M221" s="67" t="str">
        <f>IF(OR(C221="",E221="",L221=""),"",IF(INDEX(KPI_Targets!$F$5:$F$20,MATCH(C221,KPI_Targets!$B$5:$B$20,0))="Higher",IF(L221&gt;E221,"Improved",IF(L221=E221,"No change","Worse")),IF(L221&lt;E221,"Improved",IF(L221=E221,"No change","Worse"))))</f>
        <v/>
      </c>
      <c r="N221" s="67" t="str">
        <f t="shared" ca="1" si="3"/>
        <v/>
      </c>
      <c r="O221" s="69"/>
    </row>
    <row r="222" spans="1:15" x14ac:dyDescent="0.3">
      <c r="A222" s="69"/>
      <c r="B222" s="68"/>
      <c r="C222" s="69"/>
      <c r="D222" s="69"/>
      <c r="E222" s="69"/>
      <c r="F222" s="69"/>
      <c r="G222" s="69"/>
      <c r="H222" s="69"/>
      <c r="I222" s="68"/>
      <c r="J222" s="69"/>
      <c r="K222" s="68"/>
      <c r="L222" s="69"/>
      <c r="M222" s="67" t="str">
        <f>IF(OR(C222="",E222="",L222=""),"",IF(INDEX(KPI_Targets!$F$5:$F$20,MATCH(C222,KPI_Targets!$B$5:$B$20,0))="Higher",IF(L222&gt;E222,"Improved",IF(L222=E222,"No change","Worse")),IF(L222&lt;E222,"Improved",IF(L222=E222,"No change","Worse"))))</f>
        <v/>
      </c>
      <c r="N222" s="67" t="str">
        <f t="shared" ca="1" si="3"/>
        <v/>
      </c>
      <c r="O222" s="69"/>
    </row>
    <row r="223" spans="1:15" x14ac:dyDescent="0.3">
      <c r="A223" s="69"/>
      <c r="B223" s="68"/>
      <c r="C223" s="69"/>
      <c r="D223" s="69"/>
      <c r="E223" s="69"/>
      <c r="F223" s="69"/>
      <c r="G223" s="69"/>
      <c r="H223" s="69"/>
      <c r="I223" s="68"/>
      <c r="J223" s="69"/>
      <c r="K223" s="68"/>
      <c r="L223" s="69"/>
      <c r="M223" s="67" t="str">
        <f>IF(OR(C223="",E223="",L223=""),"",IF(INDEX(KPI_Targets!$F$5:$F$20,MATCH(C223,KPI_Targets!$B$5:$B$20,0))="Higher",IF(L223&gt;E223,"Improved",IF(L223=E223,"No change","Worse")),IF(L223&lt;E223,"Improved",IF(L223=E223,"No change","Worse"))))</f>
        <v/>
      </c>
      <c r="N223" s="67" t="str">
        <f t="shared" ca="1" si="3"/>
        <v/>
      </c>
      <c r="O223" s="69"/>
    </row>
    <row r="224" spans="1:15" x14ac:dyDescent="0.3">
      <c r="A224" s="69"/>
      <c r="B224" s="68"/>
      <c r="C224" s="69"/>
      <c r="D224" s="69"/>
      <c r="E224" s="69"/>
      <c r="F224" s="69"/>
      <c r="G224" s="69"/>
      <c r="H224" s="69"/>
      <c r="I224" s="68"/>
      <c r="J224" s="69"/>
      <c r="K224" s="68"/>
      <c r="L224" s="69"/>
      <c r="M224" s="67" t="str">
        <f>IF(OR(C224="",E224="",L224=""),"",IF(INDEX(KPI_Targets!$F$5:$F$20,MATCH(C224,KPI_Targets!$B$5:$B$20,0))="Higher",IF(L224&gt;E224,"Improved",IF(L224=E224,"No change","Worse")),IF(L224&lt;E224,"Improved",IF(L224=E224,"No change","Worse"))))</f>
        <v/>
      </c>
      <c r="N224" s="67" t="str">
        <f t="shared" ca="1" si="3"/>
        <v/>
      </c>
      <c r="O224" s="69"/>
    </row>
    <row r="225" spans="1:15" x14ac:dyDescent="0.3">
      <c r="A225" s="69"/>
      <c r="B225" s="68"/>
      <c r="C225" s="69"/>
      <c r="D225" s="69"/>
      <c r="E225" s="69"/>
      <c r="F225" s="69"/>
      <c r="G225" s="69"/>
      <c r="H225" s="69"/>
      <c r="I225" s="68"/>
      <c r="J225" s="69"/>
      <c r="K225" s="68"/>
      <c r="L225" s="69"/>
      <c r="M225" s="67" t="str">
        <f>IF(OR(C225="",E225="",L225=""),"",IF(INDEX(KPI_Targets!$F$5:$F$20,MATCH(C225,KPI_Targets!$B$5:$B$20,0))="Higher",IF(L225&gt;E225,"Improved",IF(L225=E225,"No change","Worse")),IF(L225&lt;E225,"Improved",IF(L225=E225,"No change","Worse"))))</f>
        <v/>
      </c>
      <c r="N225" s="67" t="str">
        <f t="shared" ca="1" si="3"/>
        <v/>
      </c>
      <c r="O225" s="69"/>
    </row>
    <row r="226" spans="1:15" x14ac:dyDescent="0.3">
      <c r="A226" s="69"/>
      <c r="B226" s="68"/>
      <c r="C226" s="69"/>
      <c r="D226" s="69"/>
      <c r="E226" s="69"/>
      <c r="F226" s="69"/>
      <c r="G226" s="69"/>
      <c r="H226" s="69"/>
      <c r="I226" s="68"/>
      <c r="J226" s="69"/>
      <c r="K226" s="68"/>
      <c r="L226" s="69"/>
      <c r="M226" s="67" t="str">
        <f>IF(OR(C226="",E226="",L226=""),"",IF(INDEX(KPI_Targets!$F$5:$F$20,MATCH(C226,KPI_Targets!$B$5:$B$20,0))="Higher",IF(L226&gt;E226,"Improved",IF(L226=E226,"No change","Worse")),IF(L226&lt;E226,"Improved",IF(L226=E226,"No change","Worse"))))</f>
        <v/>
      </c>
      <c r="N226" s="67" t="str">
        <f t="shared" ca="1" si="3"/>
        <v/>
      </c>
      <c r="O226" s="69"/>
    </row>
    <row r="227" spans="1:15" x14ac:dyDescent="0.3">
      <c r="A227" s="69"/>
      <c r="B227" s="68"/>
      <c r="C227" s="69"/>
      <c r="D227" s="69"/>
      <c r="E227" s="69"/>
      <c r="F227" s="69"/>
      <c r="G227" s="69"/>
      <c r="H227" s="69"/>
      <c r="I227" s="68"/>
      <c r="J227" s="69"/>
      <c r="K227" s="68"/>
      <c r="L227" s="69"/>
      <c r="M227" s="67" t="str">
        <f>IF(OR(C227="",E227="",L227=""),"",IF(INDEX(KPI_Targets!$F$5:$F$20,MATCH(C227,KPI_Targets!$B$5:$B$20,0))="Higher",IF(L227&gt;E227,"Improved",IF(L227=E227,"No change","Worse")),IF(L227&lt;E227,"Improved",IF(L227=E227,"No change","Worse"))))</f>
        <v/>
      </c>
      <c r="N227" s="67" t="str">
        <f t="shared" ca="1" si="3"/>
        <v/>
      </c>
      <c r="O227" s="69"/>
    </row>
    <row r="228" spans="1:15" x14ac:dyDescent="0.3">
      <c r="A228" s="69"/>
      <c r="B228" s="68"/>
      <c r="C228" s="69"/>
      <c r="D228" s="69"/>
      <c r="E228" s="69"/>
      <c r="F228" s="69"/>
      <c r="G228" s="69"/>
      <c r="H228" s="69"/>
      <c r="I228" s="68"/>
      <c r="J228" s="69"/>
      <c r="K228" s="68"/>
      <c r="L228" s="69"/>
      <c r="M228" s="67" t="str">
        <f>IF(OR(C228="",E228="",L228=""),"",IF(INDEX(KPI_Targets!$F$5:$F$20,MATCH(C228,KPI_Targets!$B$5:$B$20,0))="Higher",IF(L228&gt;E228,"Improved",IF(L228=E228,"No change","Worse")),IF(L228&lt;E228,"Improved",IF(L228=E228,"No change","Worse"))))</f>
        <v/>
      </c>
      <c r="N228" s="67" t="str">
        <f t="shared" ca="1" si="3"/>
        <v/>
      </c>
      <c r="O228" s="69"/>
    </row>
    <row r="229" spans="1:15" x14ac:dyDescent="0.3">
      <c r="A229" s="69"/>
      <c r="B229" s="68"/>
      <c r="C229" s="69"/>
      <c r="D229" s="69"/>
      <c r="E229" s="69"/>
      <c r="F229" s="69"/>
      <c r="G229" s="69"/>
      <c r="H229" s="69"/>
      <c r="I229" s="68"/>
      <c r="J229" s="69"/>
      <c r="K229" s="68"/>
      <c r="L229" s="69"/>
      <c r="M229" s="67" t="str">
        <f>IF(OR(C229="",E229="",L229=""),"",IF(INDEX(KPI_Targets!$F$5:$F$20,MATCH(C229,KPI_Targets!$B$5:$B$20,0))="Higher",IF(L229&gt;E229,"Improved",IF(L229=E229,"No change","Worse")),IF(L229&lt;E229,"Improved",IF(L229=E229,"No change","Worse"))))</f>
        <v/>
      </c>
      <c r="N229" s="67" t="str">
        <f t="shared" ca="1" si="3"/>
        <v/>
      </c>
      <c r="O229" s="69"/>
    </row>
    <row r="230" spans="1:15" x14ac:dyDescent="0.3">
      <c r="A230" s="69"/>
      <c r="B230" s="68"/>
      <c r="C230" s="69"/>
      <c r="D230" s="69"/>
      <c r="E230" s="69"/>
      <c r="F230" s="69"/>
      <c r="G230" s="69"/>
      <c r="H230" s="69"/>
      <c r="I230" s="68"/>
      <c r="J230" s="69"/>
      <c r="K230" s="68"/>
      <c r="L230" s="69"/>
      <c r="M230" s="67" t="str">
        <f>IF(OR(C230="",E230="",L230=""),"",IF(INDEX(KPI_Targets!$F$5:$F$20,MATCH(C230,KPI_Targets!$B$5:$B$20,0))="Higher",IF(L230&gt;E230,"Improved",IF(L230=E230,"No change","Worse")),IF(L230&lt;E230,"Improved",IF(L230=E230,"No change","Worse"))))</f>
        <v/>
      </c>
      <c r="N230" s="67" t="str">
        <f t="shared" ca="1" si="3"/>
        <v/>
      </c>
      <c r="O230" s="69"/>
    </row>
    <row r="231" spans="1:15" x14ac:dyDescent="0.3">
      <c r="A231" s="69"/>
      <c r="B231" s="68"/>
      <c r="C231" s="69"/>
      <c r="D231" s="69"/>
      <c r="E231" s="69"/>
      <c r="F231" s="69"/>
      <c r="G231" s="69"/>
      <c r="H231" s="69"/>
      <c r="I231" s="68"/>
      <c r="J231" s="69"/>
      <c r="K231" s="68"/>
      <c r="L231" s="69"/>
      <c r="M231" s="67" t="str">
        <f>IF(OR(C231="",E231="",L231=""),"",IF(INDEX(KPI_Targets!$F$5:$F$20,MATCH(C231,KPI_Targets!$B$5:$B$20,0))="Higher",IF(L231&gt;E231,"Improved",IF(L231=E231,"No change","Worse")),IF(L231&lt;E231,"Improved",IF(L231=E231,"No change","Worse"))))</f>
        <v/>
      </c>
      <c r="N231" s="67" t="str">
        <f t="shared" ca="1" si="3"/>
        <v/>
      </c>
      <c r="O231" s="69"/>
    </row>
    <row r="232" spans="1:15" x14ac:dyDescent="0.3">
      <c r="A232" s="69"/>
      <c r="B232" s="68"/>
      <c r="C232" s="69"/>
      <c r="D232" s="69"/>
      <c r="E232" s="69"/>
      <c r="F232" s="69"/>
      <c r="G232" s="69"/>
      <c r="H232" s="69"/>
      <c r="I232" s="68"/>
      <c r="J232" s="69"/>
      <c r="K232" s="68"/>
      <c r="L232" s="69"/>
      <c r="M232" s="67" t="str">
        <f>IF(OR(C232="",E232="",L232=""),"",IF(INDEX(KPI_Targets!$F$5:$F$20,MATCH(C232,KPI_Targets!$B$5:$B$20,0))="Higher",IF(L232&gt;E232,"Improved",IF(L232=E232,"No change","Worse")),IF(L232&lt;E232,"Improved",IF(L232=E232,"No change","Worse"))))</f>
        <v/>
      </c>
      <c r="N232" s="67" t="str">
        <f t="shared" ca="1" si="3"/>
        <v/>
      </c>
      <c r="O232" s="69"/>
    </row>
    <row r="233" spans="1:15" x14ac:dyDescent="0.3">
      <c r="A233" s="69"/>
      <c r="B233" s="68"/>
      <c r="C233" s="69"/>
      <c r="D233" s="69"/>
      <c r="E233" s="69"/>
      <c r="F233" s="69"/>
      <c r="G233" s="69"/>
      <c r="H233" s="69"/>
      <c r="I233" s="68"/>
      <c r="J233" s="69"/>
      <c r="K233" s="68"/>
      <c r="L233" s="69"/>
      <c r="M233" s="67" t="str">
        <f>IF(OR(C233="",E233="",L233=""),"",IF(INDEX(KPI_Targets!$F$5:$F$20,MATCH(C233,KPI_Targets!$B$5:$B$20,0))="Higher",IF(L233&gt;E233,"Improved",IF(L233=E233,"No change","Worse")),IF(L233&lt;E233,"Improved",IF(L233=E233,"No change","Worse"))))</f>
        <v/>
      </c>
      <c r="N233" s="67" t="str">
        <f t="shared" ca="1" si="3"/>
        <v/>
      </c>
      <c r="O233" s="69"/>
    </row>
    <row r="234" spans="1:15" x14ac:dyDescent="0.3">
      <c r="A234" s="69"/>
      <c r="B234" s="68"/>
      <c r="C234" s="69"/>
      <c r="D234" s="69"/>
      <c r="E234" s="69"/>
      <c r="F234" s="69"/>
      <c r="G234" s="69"/>
      <c r="H234" s="69"/>
      <c r="I234" s="68"/>
      <c r="J234" s="69"/>
      <c r="K234" s="68"/>
      <c r="L234" s="69"/>
      <c r="M234" s="67" t="str">
        <f>IF(OR(C234="",E234="",L234=""),"",IF(INDEX(KPI_Targets!$F$5:$F$20,MATCH(C234,KPI_Targets!$B$5:$B$20,0))="Higher",IF(L234&gt;E234,"Improved",IF(L234=E234,"No change","Worse")),IF(L234&lt;E234,"Improved",IF(L234=E234,"No change","Worse"))))</f>
        <v/>
      </c>
      <c r="N234" s="67" t="str">
        <f t="shared" ca="1" si="3"/>
        <v/>
      </c>
      <c r="O234" s="69"/>
    </row>
    <row r="235" spans="1:15" x14ac:dyDescent="0.3">
      <c r="A235" s="69"/>
      <c r="B235" s="68"/>
      <c r="C235" s="69"/>
      <c r="D235" s="69"/>
      <c r="E235" s="69"/>
      <c r="F235" s="69"/>
      <c r="G235" s="69"/>
      <c r="H235" s="69"/>
      <c r="I235" s="68"/>
      <c r="J235" s="69"/>
      <c r="K235" s="68"/>
      <c r="L235" s="69"/>
      <c r="M235" s="67" t="str">
        <f>IF(OR(C235="",E235="",L235=""),"",IF(INDEX(KPI_Targets!$F$5:$F$20,MATCH(C235,KPI_Targets!$B$5:$B$20,0))="Higher",IF(L235&gt;E235,"Improved",IF(L235=E235,"No change","Worse")),IF(L235&lt;E235,"Improved",IF(L235=E235,"No change","Worse"))))</f>
        <v/>
      </c>
      <c r="N235" s="67" t="str">
        <f t="shared" ca="1" si="3"/>
        <v/>
      </c>
      <c r="O235" s="69"/>
    </row>
    <row r="236" spans="1:15" x14ac:dyDescent="0.3">
      <c r="A236" s="69"/>
      <c r="B236" s="68"/>
      <c r="C236" s="69"/>
      <c r="D236" s="69"/>
      <c r="E236" s="69"/>
      <c r="F236" s="69"/>
      <c r="G236" s="69"/>
      <c r="H236" s="69"/>
      <c r="I236" s="68"/>
      <c r="J236" s="69"/>
      <c r="K236" s="68"/>
      <c r="L236" s="69"/>
      <c r="M236" s="67" t="str">
        <f>IF(OR(C236="",E236="",L236=""),"",IF(INDEX(KPI_Targets!$F$5:$F$20,MATCH(C236,KPI_Targets!$B$5:$B$20,0))="Higher",IF(L236&gt;E236,"Improved",IF(L236=E236,"No change","Worse")),IF(L236&lt;E236,"Improved",IF(L236=E236,"No change","Worse"))))</f>
        <v/>
      </c>
      <c r="N236" s="67" t="str">
        <f t="shared" ca="1" si="3"/>
        <v/>
      </c>
      <c r="O236" s="69"/>
    </row>
    <row r="237" spans="1:15" x14ac:dyDescent="0.3">
      <c r="A237" s="69"/>
      <c r="B237" s="68"/>
      <c r="C237" s="69"/>
      <c r="D237" s="69"/>
      <c r="E237" s="69"/>
      <c r="F237" s="69"/>
      <c r="G237" s="69"/>
      <c r="H237" s="69"/>
      <c r="I237" s="68"/>
      <c r="J237" s="69"/>
      <c r="K237" s="68"/>
      <c r="L237" s="69"/>
      <c r="M237" s="67" t="str">
        <f>IF(OR(C237="",E237="",L237=""),"",IF(INDEX(KPI_Targets!$F$5:$F$20,MATCH(C237,KPI_Targets!$B$5:$B$20,0))="Higher",IF(L237&gt;E237,"Improved",IF(L237=E237,"No change","Worse")),IF(L237&lt;E237,"Improved",IF(L237=E237,"No change","Worse"))))</f>
        <v/>
      </c>
      <c r="N237" s="67" t="str">
        <f t="shared" ca="1" si="3"/>
        <v/>
      </c>
      <c r="O237" s="69"/>
    </row>
    <row r="238" spans="1:15" x14ac:dyDescent="0.3">
      <c r="A238" s="69"/>
      <c r="B238" s="68"/>
      <c r="C238" s="69"/>
      <c r="D238" s="69"/>
      <c r="E238" s="69"/>
      <c r="F238" s="69"/>
      <c r="G238" s="69"/>
      <c r="H238" s="69"/>
      <c r="I238" s="68"/>
      <c r="J238" s="69"/>
      <c r="K238" s="68"/>
      <c r="L238" s="69"/>
      <c r="M238" s="67" t="str">
        <f>IF(OR(C238="",E238="",L238=""),"",IF(INDEX(KPI_Targets!$F$5:$F$20,MATCH(C238,KPI_Targets!$B$5:$B$20,0))="Higher",IF(L238&gt;E238,"Improved",IF(L238=E238,"No change","Worse")),IF(L238&lt;E238,"Improved",IF(L238=E238,"No change","Worse"))))</f>
        <v/>
      </c>
      <c r="N238" s="67" t="str">
        <f t="shared" ca="1" si="3"/>
        <v/>
      </c>
      <c r="O238" s="69"/>
    </row>
    <row r="239" spans="1:15" x14ac:dyDescent="0.3">
      <c r="A239" s="69"/>
      <c r="B239" s="68"/>
      <c r="C239" s="69"/>
      <c r="D239" s="69"/>
      <c r="E239" s="69"/>
      <c r="F239" s="69"/>
      <c r="G239" s="69"/>
      <c r="H239" s="69"/>
      <c r="I239" s="68"/>
      <c r="J239" s="69"/>
      <c r="K239" s="68"/>
      <c r="L239" s="69"/>
      <c r="M239" s="67" t="str">
        <f>IF(OR(C239="",E239="",L239=""),"",IF(INDEX(KPI_Targets!$F$5:$F$20,MATCH(C239,KPI_Targets!$B$5:$B$20,0))="Higher",IF(L239&gt;E239,"Improved",IF(L239=E239,"No change","Worse")),IF(L239&lt;E239,"Improved",IF(L239=E239,"No change","Worse"))))</f>
        <v/>
      </c>
      <c r="N239" s="67" t="str">
        <f t="shared" ca="1" si="3"/>
        <v/>
      </c>
      <c r="O239" s="69"/>
    </row>
    <row r="240" spans="1:15" x14ac:dyDescent="0.3">
      <c r="A240" s="69"/>
      <c r="B240" s="68"/>
      <c r="C240" s="69"/>
      <c r="D240" s="69"/>
      <c r="E240" s="69"/>
      <c r="F240" s="69"/>
      <c r="G240" s="69"/>
      <c r="H240" s="69"/>
      <c r="I240" s="68"/>
      <c r="J240" s="69"/>
      <c r="K240" s="68"/>
      <c r="L240" s="69"/>
      <c r="M240" s="67" t="str">
        <f>IF(OR(C240="",E240="",L240=""),"",IF(INDEX(KPI_Targets!$F$5:$F$20,MATCH(C240,KPI_Targets!$B$5:$B$20,0))="Higher",IF(L240&gt;E240,"Improved",IF(L240=E240,"No change","Worse")),IF(L240&lt;E240,"Improved",IF(L240=E240,"No change","Worse"))))</f>
        <v/>
      </c>
      <c r="N240" s="67" t="str">
        <f t="shared" ca="1" si="3"/>
        <v/>
      </c>
      <c r="O240" s="69"/>
    </row>
    <row r="241" spans="1:15" x14ac:dyDescent="0.3">
      <c r="A241" s="69"/>
      <c r="B241" s="68"/>
      <c r="C241" s="69"/>
      <c r="D241" s="69"/>
      <c r="E241" s="69"/>
      <c r="F241" s="69"/>
      <c r="G241" s="69"/>
      <c r="H241" s="69"/>
      <c r="I241" s="68"/>
      <c r="J241" s="69"/>
      <c r="K241" s="68"/>
      <c r="L241" s="69"/>
      <c r="M241" s="67" t="str">
        <f>IF(OR(C241="",E241="",L241=""),"",IF(INDEX(KPI_Targets!$F$5:$F$20,MATCH(C241,KPI_Targets!$B$5:$B$20,0))="Higher",IF(L241&gt;E241,"Improved",IF(L241=E241,"No change","Worse")),IF(L241&lt;E241,"Improved",IF(L241=E241,"No change","Worse"))))</f>
        <v/>
      </c>
      <c r="N241" s="67" t="str">
        <f t="shared" ca="1" si="3"/>
        <v/>
      </c>
      <c r="O241" s="69"/>
    </row>
    <row r="242" spans="1:15" x14ac:dyDescent="0.3">
      <c r="A242" s="69"/>
      <c r="B242" s="68"/>
      <c r="C242" s="69"/>
      <c r="D242" s="69"/>
      <c r="E242" s="69"/>
      <c r="F242" s="69"/>
      <c r="G242" s="69"/>
      <c r="H242" s="69"/>
      <c r="I242" s="68"/>
      <c r="J242" s="69"/>
      <c r="K242" s="68"/>
      <c r="L242" s="69"/>
      <c r="M242" s="67" t="str">
        <f>IF(OR(C242="",E242="",L242=""),"",IF(INDEX(KPI_Targets!$F$5:$F$20,MATCH(C242,KPI_Targets!$B$5:$B$20,0))="Higher",IF(L242&gt;E242,"Improved",IF(L242=E242,"No change","Worse")),IF(L242&lt;E242,"Improved",IF(L242=E242,"No change","Worse"))))</f>
        <v/>
      </c>
      <c r="N242" s="67" t="str">
        <f t="shared" ca="1" si="3"/>
        <v/>
      </c>
      <c r="O242" s="69"/>
    </row>
    <row r="243" spans="1:15" x14ac:dyDescent="0.3">
      <c r="A243" s="69"/>
      <c r="B243" s="68"/>
      <c r="C243" s="69"/>
      <c r="D243" s="69"/>
      <c r="E243" s="69"/>
      <c r="F243" s="69"/>
      <c r="G243" s="69"/>
      <c r="H243" s="69"/>
      <c r="I243" s="68"/>
      <c r="J243" s="69"/>
      <c r="K243" s="68"/>
      <c r="L243" s="69"/>
      <c r="M243" s="67" t="str">
        <f>IF(OR(C243="",E243="",L243=""),"",IF(INDEX(KPI_Targets!$F$5:$F$20,MATCH(C243,KPI_Targets!$B$5:$B$20,0))="Higher",IF(L243&gt;E243,"Improved",IF(L243=E243,"No change","Worse")),IF(L243&lt;E243,"Improved",IF(L243=E243,"No change","Worse"))))</f>
        <v/>
      </c>
      <c r="N243" s="67" t="str">
        <f t="shared" ca="1" si="3"/>
        <v/>
      </c>
      <c r="O243" s="69"/>
    </row>
    <row r="244" spans="1:15" x14ac:dyDescent="0.3">
      <c r="A244" s="69"/>
      <c r="B244" s="68"/>
      <c r="C244" s="69"/>
      <c r="D244" s="69"/>
      <c r="E244" s="69"/>
      <c r="F244" s="69"/>
      <c r="G244" s="69"/>
      <c r="H244" s="69"/>
      <c r="I244" s="68"/>
      <c r="J244" s="69"/>
      <c r="K244" s="68"/>
      <c r="L244" s="69"/>
      <c r="M244" s="67" t="str">
        <f>IF(OR(C244="",E244="",L244=""),"",IF(INDEX(KPI_Targets!$F$5:$F$20,MATCH(C244,KPI_Targets!$B$5:$B$20,0))="Higher",IF(L244&gt;E244,"Improved",IF(L244=E244,"No change","Worse")),IF(L244&lt;E244,"Improved",IF(L244=E244,"No change","Worse"))))</f>
        <v/>
      </c>
      <c r="N244" s="67" t="str">
        <f t="shared" ca="1" si="3"/>
        <v/>
      </c>
      <c r="O244" s="69"/>
    </row>
    <row r="245" spans="1:15" x14ac:dyDescent="0.3">
      <c r="A245" s="69"/>
      <c r="B245" s="68"/>
      <c r="C245" s="69"/>
      <c r="D245" s="69"/>
      <c r="E245" s="69"/>
      <c r="F245" s="69"/>
      <c r="G245" s="69"/>
      <c r="H245" s="69"/>
      <c r="I245" s="68"/>
      <c r="J245" s="69"/>
      <c r="K245" s="68"/>
      <c r="L245" s="69"/>
      <c r="M245" s="67" t="str">
        <f>IF(OR(C245="",E245="",L245=""),"",IF(INDEX(KPI_Targets!$F$5:$F$20,MATCH(C245,KPI_Targets!$B$5:$B$20,0))="Higher",IF(L245&gt;E245,"Improved",IF(L245=E245,"No change","Worse")),IF(L245&lt;E245,"Improved",IF(L245=E245,"No change","Worse"))))</f>
        <v/>
      </c>
      <c r="N245" s="67" t="str">
        <f t="shared" ca="1" si="3"/>
        <v/>
      </c>
      <c r="O245" s="69"/>
    </row>
    <row r="246" spans="1:15" x14ac:dyDescent="0.3">
      <c r="A246" s="69"/>
      <c r="B246" s="68"/>
      <c r="C246" s="69"/>
      <c r="D246" s="69"/>
      <c r="E246" s="69"/>
      <c r="F246" s="69"/>
      <c r="G246" s="69"/>
      <c r="H246" s="69"/>
      <c r="I246" s="68"/>
      <c r="J246" s="69"/>
      <c r="K246" s="68"/>
      <c r="L246" s="69"/>
      <c r="M246" s="67" t="str">
        <f>IF(OR(C246="",E246="",L246=""),"",IF(INDEX(KPI_Targets!$F$5:$F$20,MATCH(C246,KPI_Targets!$B$5:$B$20,0))="Higher",IF(L246&gt;E246,"Improved",IF(L246=E246,"No change","Worse")),IF(L246&lt;E246,"Improved",IF(L246=E246,"No change","Worse"))))</f>
        <v/>
      </c>
      <c r="N246" s="67" t="str">
        <f t="shared" ca="1" si="3"/>
        <v/>
      </c>
      <c r="O246" s="69"/>
    </row>
    <row r="247" spans="1:15" x14ac:dyDescent="0.3">
      <c r="A247" s="69"/>
      <c r="B247" s="68"/>
      <c r="C247" s="69"/>
      <c r="D247" s="69"/>
      <c r="E247" s="69"/>
      <c r="F247" s="69"/>
      <c r="G247" s="69"/>
      <c r="H247" s="69"/>
      <c r="I247" s="68"/>
      <c r="J247" s="69"/>
      <c r="K247" s="68"/>
      <c r="L247" s="69"/>
      <c r="M247" s="67" t="str">
        <f>IF(OR(C247="",E247="",L247=""),"",IF(INDEX(KPI_Targets!$F$5:$F$20,MATCH(C247,KPI_Targets!$B$5:$B$20,0))="Higher",IF(L247&gt;E247,"Improved",IF(L247=E247,"No change","Worse")),IF(L247&lt;E247,"Improved",IF(L247=E247,"No change","Worse"))))</f>
        <v/>
      </c>
      <c r="N247" s="67" t="str">
        <f t="shared" ca="1" si="3"/>
        <v/>
      </c>
      <c r="O247" s="69"/>
    </row>
    <row r="248" spans="1:15" x14ac:dyDescent="0.3">
      <c r="A248" s="69"/>
      <c r="B248" s="68"/>
      <c r="C248" s="69"/>
      <c r="D248" s="69"/>
      <c r="E248" s="69"/>
      <c r="F248" s="69"/>
      <c r="G248" s="69"/>
      <c r="H248" s="69"/>
      <c r="I248" s="68"/>
      <c r="J248" s="69"/>
      <c r="K248" s="68"/>
      <c r="L248" s="69"/>
      <c r="M248" s="67" t="str">
        <f>IF(OR(C248="",E248="",L248=""),"",IF(INDEX(KPI_Targets!$F$5:$F$20,MATCH(C248,KPI_Targets!$B$5:$B$20,0))="Higher",IF(L248&gt;E248,"Improved",IF(L248=E248,"No change","Worse")),IF(L248&lt;E248,"Improved",IF(L248=E248,"No change","Worse"))))</f>
        <v/>
      </c>
      <c r="N248" s="67" t="str">
        <f t="shared" ca="1" si="3"/>
        <v/>
      </c>
      <c r="O248" s="69"/>
    </row>
    <row r="249" spans="1:15" x14ac:dyDescent="0.3">
      <c r="A249" s="69"/>
      <c r="B249" s="68"/>
      <c r="C249" s="69"/>
      <c r="D249" s="69"/>
      <c r="E249" s="69"/>
      <c r="F249" s="69"/>
      <c r="G249" s="69"/>
      <c r="H249" s="69"/>
      <c r="I249" s="68"/>
      <c r="J249" s="69"/>
      <c r="K249" s="68"/>
      <c r="L249" s="69"/>
      <c r="M249" s="67" t="str">
        <f>IF(OR(C249="",E249="",L249=""),"",IF(INDEX(KPI_Targets!$F$5:$F$20,MATCH(C249,KPI_Targets!$B$5:$B$20,0))="Higher",IF(L249&gt;E249,"Improved",IF(L249=E249,"No change","Worse")),IF(L249&lt;E249,"Improved",IF(L249=E249,"No change","Worse"))))</f>
        <v/>
      </c>
      <c r="N249" s="67" t="str">
        <f t="shared" ca="1" si="3"/>
        <v/>
      </c>
      <c r="O249" s="69"/>
    </row>
    <row r="250" spans="1:15" x14ac:dyDescent="0.3">
      <c r="A250" s="69"/>
      <c r="B250" s="68"/>
      <c r="C250" s="69"/>
      <c r="D250" s="69"/>
      <c r="E250" s="69"/>
      <c r="F250" s="69"/>
      <c r="G250" s="69"/>
      <c r="H250" s="69"/>
      <c r="I250" s="68"/>
      <c r="J250" s="69"/>
      <c r="K250" s="68"/>
      <c r="L250" s="69"/>
      <c r="M250" s="67" t="str">
        <f>IF(OR(C250="",E250="",L250=""),"",IF(INDEX(KPI_Targets!$F$5:$F$20,MATCH(C250,KPI_Targets!$B$5:$B$20,0))="Higher",IF(L250&gt;E250,"Improved",IF(L250=E250,"No change","Worse")),IF(L250&lt;E250,"Improved",IF(L250=E250,"No change","Worse"))))</f>
        <v/>
      </c>
      <c r="N250" s="67" t="str">
        <f t="shared" ca="1" si="3"/>
        <v/>
      </c>
      <c r="O250" s="69"/>
    </row>
    <row r="251" spans="1:15" x14ac:dyDescent="0.3">
      <c r="A251" s="69"/>
      <c r="B251" s="68"/>
      <c r="C251" s="69"/>
      <c r="D251" s="69"/>
      <c r="E251" s="69"/>
      <c r="F251" s="69"/>
      <c r="G251" s="69"/>
      <c r="H251" s="69"/>
      <c r="I251" s="68"/>
      <c r="J251" s="69"/>
      <c r="K251" s="68"/>
      <c r="L251" s="69"/>
      <c r="M251" s="67" t="str">
        <f>IF(OR(C251="",E251="",L251=""),"",IF(INDEX(KPI_Targets!$F$5:$F$20,MATCH(C251,KPI_Targets!$B$5:$B$20,0))="Higher",IF(L251&gt;E251,"Improved",IF(L251=E251,"No change","Worse")),IF(L251&lt;E251,"Improved",IF(L251=E251,"No change","Worse"))))</f>
        <v/>
      </c>
      <c r="N251" s="67" t="str">
        <f t="shared" ca="1" si="3"/>
        <v/>
      </c>
      <c r="O251" s="69"/>
    </row>
    <row r="252" spans="1:15" x14ac:dyDescent="0.3">
      <c r="A252" s="69"/>
      <c r="B252" s="68"/>
      <c r="C252" s="69"/>
      <c r="D252" s="69"/>
      <c r="E252" s="69"/>
      <c r="F252" s="69"/>
      <c r="G252" s="69"/>
      <c r="H252" s="69"/>
      <c r="I252" s="68"/>
      <c r="J252" s="69"/>
      <c r="K252" s="68"/>
      <c r="L252" s="69"/>
      <c r="M252" s="67" t="str">
        <f>IF(OR(C252="",E252="",L252=""),"",IF(INDEX(KPI_Targets!$F$5:$F$20,MATCH(C252,KPI_Targets!$B$5:$B$20,0))="Higher",IF(L252&gt;E252,"Improved",IF(L252=E252,"No change","Worse")),IF(L252&lt;E252,"Improved",IF(L252=E252,"No change","Worse"))))</f>
        <v/>
      </c>
      <c r="N252" s="67" t="str">
        <f t="shared" ca="1" si="3"/>
        <v/>
      </c>
      <c r="O252" s="69"/>
    </row>
    <row r="253" spans="1:15" x14ac:dyDescent="0.3">
      <c r="A253" s="69"/>
      <c r="B253" s="68"/>
      <c r="C253" s="69"/>
      <c r="D253" s="69"/>
      <c r="E253" s="69"/>
      <c r="F253" s="69"/>
      <c r="G253" s="69"/>
      <c r="H253" s="69"/>
      <c r="I253" s="68"/>
      <c r="J253" s="69"/>
      <c r="K253" s="68"/>
      <c r="L253" s="69"/>
      <c r="M253" s="67" t="str">
        <f>IF(OR(C253="",E253="",L253=""),"",IF(INDEX(KPI_Targets!$F$5:$F$20,MATCH(C253,KPI_Targets!$B$5:$B$20,0))="Higher",IF(L253&gt;E253,"Improved",IF(L253=E253,"No change","Worse")),IF(L253&lt;E253,"Improved",IF(L253=E253,"No change","Worse"))))</f>
        <v/>
      </c>
      <c r="N253" s="67" t="str">
        <f t="shared" ca="1" si="3"/>
        <v/>
      </c>
      <c r="O253" s="69"/>
    </row>
    <row r="254" spans="1:15" x14ac:dyDescent="0.3">
      <c r="A254" s="69"/>
      <c r="B254" s="68"/>
      <c r="C254" s="69"/>
      <c r="D254" s="69"/>
      <c r="E254" s="69"/>
      <c r="F254" s="69"/>
      <c r="G254" s="69"/>
      <c r="H254" s="69"/>
      <c r="I254" s="68"/>
      <c r="J254" s="69"/>
      <c r="K254" s="68"/>
      <c r="L254" s="69"/>
      <c r="M254" s="67" t="str">
        <f>IF(OR(C254="",E254="",L254=""),"",IF(INDEX(KPI_Targets!$F$5:$F$20,MATCH(C254,KPI_Targets!$B$5:$B$20,0))="Higher",IF(L254&gt;E254,"Improved",IF(L254=E254,"No change","Worse")),IF(L254&lt;E254,"Improved",IF(L254=E254,"No change","Worse"))))</f>
        <v/>
      </c>
      <c r="N254" s="67" t="str">
        <f t="shared" ca="1" si="3"/>
        <v/>
      </c>
      <c r="O254" s="69"/>
    </row>
    <row r="255" spans="1:15" x14ac:dyDescent="0.3">
      <c r="A255" s="69"/>
      <c r="B255" s="68"/>
      <c r="C255" s="69"/>
      <c r="D255" s="69"/>
      <c r="E255" s="69"/>
      <c r="F255" s="69"/>
      <c r="G255" s="69"/>
      <c r="H255" s="69"/>
      <c r="I255" s="68"/>
      <c r="J255" s="69"/>
      <c r="K255" s="68"/>
      <c r="L255" s="69"/>
      <c r="M255" s="67" t="str">
        <f>IF(OR(C255="",E255="",L255=""),"",IF(INDEX(KPI_Targets!$F$5:$F$20,MATCH(C255,KPI_Targets!$B$5:$B$20,0))="Higher",IF(L255&gt;E255,"Improved",IF(L255=E255,"No change","Worse")),IF(L255&lt;E255,"Improved",IF(L255=E255,"No change","Worse"))))</f>
        <v/>
      </c>
      <c r="N255" s="67" t="str">
        <f t="shared" ca="1" si="3"/>
        <v/>
      </c>
      <c r="O255" s="69"/>
    </row>
    <row r="256" spans="1:15" x14ac:dyDescent="0.3">
      <c r="A256" s="69"/>
      <c r="B256" s="68"/>
      <c r="C256" s="69"/>
      <c r="D256" s="69"/>
      <c r="E256" s="69"/>
      <c r="F256" s="69"/>
      <c r="G256" s="69"/>
      <c r="H256" s="69"/>
      <c r="I256" s="68"/>
      <c r="J256" s="69"/>
      <c r="K256" s="68"/>
      <c r="L256" s="69"/>
      <c r="M256" s="67" t="str">
        <f>IF(OR(C256="",E256="",L256=""),"",IF(INDEX(KPI_Targets!$F$5:$F$20,MATCH(C256,KPI_Targets!$B$5:$B$20,0))="Higher",IF(L256&gt;E256,"Improved",IF(L256=E256,"No change","Worse")),IF(L256&lt;E256,"Improved",IF(L256=E256,"No change","Worse"))))</f>
        <v/>
      </c>
      <c r="N256" s="67" t="str">
        <f t="shared" ca="1" si="3"/>
        <v/>
      </c>
      <c r="O256" s="69"/>
    </row>
    <row r="257" spans="1:15" x14ac:dyDescent="0.3">
      <c r="A257" s="69"/>
      <c r="B257" s="68"/>
      <c r="C257" s="69"/>
      <c r="D257" s="69"/>
      <c r="E257" s="69"/>
      <c r="F257" s="69"/>
      <c r="G257" s="69"/>
      <c r="H257" s="69"/>
      <c r="I257" s="68"/>
      <c r="J257" s="69"/>
      <c r="K257" s="68"/>
      <c r="L257" s="69"/>
      <c r="M257" s="67" t="str">
        <f>IF(OR(C257="",E257="",L257=""),"",IF(INDEX(KPI_Targets!$F$5:$F$20,MATCH(C257,KPI_Targets!$B$5:$B$20,0))="Higher",IF(L257&gt;E257,"Improved",IF(L257=E257,"No change","Worse")),IF(L257&lt;E257,"Improved",IF(L257=E257,"No change","Worse"))))</f>
        <v/>
      </c>
      <c r="N257" s="67" t="str">
        <f t="shared" ca="1" si="3"/>
        <v/>
      </c>
      <c r="O257" s="69"/>
    </row>
    <row r="258" spans="1:15" x14ac:dyDescent="0.3">
      <c r="A258" s="69"/>
      <c r="B258" s="68"/>
      <c r="C258" s="69"/>
      <c r="D258" s="69"/>
      <c r="E258" s="69"/>
      <c r="F258" s="69"/>
      <c r="G258" s="69"/>
      <c r="H258" s="69"/>
      <c r="I258" s="68"/>
      <c r="J258" s="69"/>
      <c r="K258" s="68"/>
      <c r="L258" s="69"/>
      <c r="M258" s="67" t="str">
        <f>IF(OR(C258="",E258="",L258=""),"",IF(INDEX(KPI_Targets!$F$5:$F$20,MATCH(C258,KPI_Targets!$B$5:$B$20,0))="Higher",IF(L258&gt;E258,"Improved",IF(L258=E258,"No change","Worse")),IF(L258&lt;E258,"Improved",IF(L258=E258,"No change","Worse"))))</f>
        <v/>
      </c>
      <c r="N258" s="67" t="str">
        <f t="shared" ca="1" si="3"/>
        <v/>
      </c>
      <c r="O258" s="69"/>
    </row>
    <row r="259" spans="1:15" x14ac:dyDescent="0.3">
      <c r="A259" s="69"/>
      <c r="B259" s="68"/>
      <c r="C259" s="69"/>
      <c r="D259" s="69"/>
      <c r="E259" s="69"/>
      <c r="F259" s="69"/>
      <c r="G259" s="69"/>
      <c r="H259" s="69"/>
      <c r="I259" s="68"/>
      <c r="J259" s="69"/>
      <c r="K259" s="68"/>
      <c r="L259" s="69"/>
      <c r="M259" s="67" t="str">
        <f>IF(OR(C259="",E259="",L259=""),"",IF(INDEX(KPI_Targets!$F$5:$F$20,MATCH(C259,KPI_Targets!$B$5:$B$20,0))="Higher",IF(L259&gt;E259,"Improved",IF(L259=E259,"No change","Worse")),IF(L259&lt;E259,"Improved",IF(L259=E259,"No change","Worse"))))</f>
        <v/>
      </c>
      <c r="N259" s="67" t="str">
        <f t="shared" ca="1" si="3"/>
        <v/>
      </c>
      <c r="O259" s="69"/>
    </row>
    <row r="260" spans="1:15" x14ac:dyDescent="0.3">
      <c r="A260" s="69"/>
      <c r="B260" s="68"/>
      <c r="C260" s="69"/>
      <c r="D260" s="69"/>
      <c r="E260" s="69"/>
      <c r="F260" s="69"/>
      <c r="G260" s="69"/>
      <c r="H260" s="69"/>
      <c r="I260" s="68"/>
      <c r="J260" s="69"/>
      <c r="K260" s="68"/>
      <c r="L260" s="69"/>
      <c r="M260" s="67" t="str">
        <f>IF(OR(C260="",E260="",L260=""),"",IF(INDEX(KPI_Targets!$F$5:$F$20,MATCH(C260,KPI_Targets!$B$5:$B$20,0))="Higher",IF(L260&gt;E260,"Improved",IF(L260=E260,"No change","Worse")),IF(L260&lt;E260,"Improved",IF(L260=E260,"No change","Worse"))))</f>
        <v/>
      </c>
      <c r="N260" s="67" t="str">
        <f t="shared" ca="1" si="3"/>
        <v/>
      </c>
      <c r="O260" s="69"/>
    </row>
    <row r="261" spans="1:15" x14ac:dyDescent="0.3">
      <c r="A261" s="69"/>
      <c r="B261" s="68"/>
      <c r="C261" s="69"/>
      <c r="D261" s="69"/>
      <c r="E261" s="69"/>
      <c r="F261" s="69"/>
      <c r="G261" s="69"/>
      <c r="H261" s="69"/>
      <c r="I261" s="68"/>
      <c r="J261" s="69"/>
      <c r="K261" s="68"/>
      <c r="L261" s="69"/>
      <c r="M261" s="67" t="str">
        <f>IF(OR(C261="",E261="",L261=""),"",IF(INDEX(KPI_Targets!$F$5:$F$20,MATCH(C261,KPI_Targets!$B$5:$B$20,0))="Higher",IF(L261&gt;E261,"Improved",IF(L261=E261,"No change","Worse")),IF(L261&lt;E261,"Improved",IF(L261=E261,"No change","Worse"))))</f>
        <v/>
      </c>
      <c r="N261" s="67" t="str">
        <f t="shared" ref="N261:N324" ca="1" si="4">IF(B261="","",IF(OR(J261="Implemented",J261="Cancelled"),"Closed",IF(AND(I261&lt;&gt;"",I261&lt;TODAY()),"OVERDUE","On track")))</f>
        <v/>
      </c>
      <c r="O261" s="69"/>
    </row>
    <row r="262" spans="1:15" x14ac:dyDescent="0.3">
      <c r="A262" s="69"/>
      <c r="B262" s="68"/>
      <c r="C262" s="69"/>
      <c r="D262" s="69"/>
      <c r="E262" s="69"/>
      <c r="F262" s="69"/>
      <c r="G262" s="69"/>
      <c r="H262" s="69"/>
      <c r="I262" s="68"/>
      <c r="J262" s="69"/>
      <c r="K262" s="68"/>
      <c r="L262" s="69"/>
      <c r="M262" s="67" t="str">
        <f>IF(OR(C262="",E262="",L262=""),"",IF(INDEX(KPI_Targets!$F$5:$F$20,MATCH(C262,KPI_Targets!$B$5:$B$20,0))="Higher",IF(L262&gt;E262,"Improved",IF(L262=E262,"No change","Worse")),IF(L262&lt;E262,"Improved",IF(L262=E262,"No change","Worse"))))</f>
        <v/>
      </c>
      <c r="N262" s="67" t="str">
        <f t="shared" ca="1" si="4"/>
        <v/>
      </c>
      <c r="O262" s="69"/>
    </row>
    <row r="263" spans="1:15" x14ac:dyDescent="0.3">
      <c r="A263" s="69"/>
      <c r="B263" s="68"/>
      <c r="C263" s="69"/>
      <c r="D263" s="69"/>
      <c r="E263" s="69"/>
      <c r="F263" s="69"/>
      <c r="G263" s="69"/>
      <c r="H263" s="69"/>
      <c r="I263" s="68"/>
      <c r="J263" s="69"/>
      <c r="K263" s="68"/>
      <c r="L263" s="69"/>
      <c r="M263" s="67" t="str">
        <f>IF(OR(C263="",E263="",L263=""),"",IF(INDEX(KPI_Targets!$F$5:$F$20,MATCH(C263,KPI_Targets!$B$5:$B$20,0))="Higher",IF(L263&gt;E263,"Improved",IF(L263=E263,"No change","Worse")),IF(L263&lt;E263,"Improved",IF(L263=E263,"No change","Worse"))))</f>
        <v/>
      </c>
      <c r="N263" s="67" t="str">
        <f t="shared" ca="1" si="4"/>
        <v/>
      </c>
      <c r="O263" s="69"/>
    </row>
    <row r="264" spans="1:15" x14ac:dyDescent="0.3">
      <c r="A264" s="69"/>
      <c r="B264" s="68"/>
      <c r="C264" s="69"/>
      <c r="D264" s="69"/>
      <c r="E264" s="69"/>
      <c r="F264" s="69"/>
      <c r="G264" s="69"/>
      <c r="H264" s="69"/>
      <c r="I264" s="68"/>
      <c r="J264" s="69"/>
      <c r="K264" s="68"/>
      <c r="L264" s="69"/>
      <c r="M264" s="67" t="str">
        <f>IF(OR(C264="",E264="",L264=""),"",IF(INDEX(KPI_Targets!$F$5:$F$20,MATCH(C264,KPI_Targets!$B$5:$B$20,0))="Higher",IF(L264&gt;E264,"Improved",IF(L264=E264,"No change","Worse")),IF(L264&lt;E264,"Improved",IF(L264=E264,"No change","Worse"))))</f>
        <v/>
      </c>
      <c r="N264" s="67" t="str">
        <f t="shared" ca="1" si="4"/>
        <v/>
      </c>
      <c r="O264" s="69"/>
    </row>
    <row r="265" spans="1:15" x14ac:dyDescent="0.3">
      <c r="A265" s="69"/>
      <c r="B265" s="68"/>
      <c r="C265" s="69"/>
      <c r="D265" s="69"/>
      <c r="E265" s="69"/>
      <c r="F265" s="69"/>
      <c r="G265" s="69"/>
      <c r="H265" s="69"/>
      <c r="I265" s="68"/>
      <c r="J265" s="69"/>
      <c r="K265" s="68"/>
      <c r="L265" s="69"/>
      <c r="M265" s="67" t="str">
        <f>IF(OR(C265="",E265="",L265=""),"",IF(INDEX(KPI_Targets!$F$5:$F$20,MATCH(C265,KPI_Targets!$B$5:$B$20,0))="Higher",IF(L265&gt;E265,"Improved",IF(L265=E265,"No change","Worse")),IF(L265&lt;E265,"Improved",IF(L265=E265,"No change","Worse"))))</f>
        <v/>
      </c>
      <c r="N265" s="67" t="str">
        <f t="shared" ca="1" si="4"/>
        <v/>
      </c>
      <c r="O265" s="69"/>
    </row>
    <row r="266" spans="1:15" x14ac:dyDescent="0.3">
      <c r="A266" s="69"/>
      <c r="B266" s="68"/>
      <c r="C266" s="69"/>
      <c r="D266" s="69"/>
      <c r="E266" s="69"/>
      <c r="F266" s="69"/>
      <c r="G266" s="69"/>
      <c r="H266" s="69"/>
      <c r="I266" s="68"/>
      <c r="J266" s="69"/>
      <c r="K266" s="68"/>
      <c r="L266" s="69"/>
      <c r="M266" s="67" t="str">
        <f>IF(OR(C266="",E266="",L266=""),"",IF(INDEX(KPI_Targets!$F$5:$F$20,MATCH(C266,KPI_Targets!$B$5:$B$20,0))="Higher",IF(L266&gt;E266,"Improved",IF(L266=E266,"No change","Worse")),IF(L266&lt;E266,"Improved",IF(L266=E266,"No change","Worse"))))</f>
        <v/>
      </c>
      <c r="N266" s="67" t="str">
        <f t="shared" ca="1" si="4"/>
        <v/>
      </c>
      <c r="O266" s="69"/>
    </row>
    <row r="267" spans="1:15" x14ac:dyDescent="0.3">
      <c r="A267" s="69"/>
      <c r="B267" s="68"/>
      <c r="C267" s="69"/>
      <c r="D267" s="69"/>
      <c r="E267" s="69"/>
      <c r="F267" s="69"/>
      <c r="G267" s="69"/>
      <c r="H267" s="69"/>
      <c r="I267" s="68"/>
      <c r="J267" s="69"/>
      <c r="K267" s="68"/>
      <c r="L267" s="69"/>
      <c r="M267" s="67" t="str">
        <f>IF(OR(C267="",E267="",L267=""),"",IF(INDEX(KPI_Targets!$F$5:$F$20,MATCH(C267,KPI_Targets!$B$5:$B$20,0))="Higher",IF(L267&gt;E267,"Improved",IF(L267=E267,"No change","Worse")),IF(L267&lt;E267,"Improved",IF(L267=E267,"No change","Worse"))))</f>
        <v/>
      </c>
      <c r="N267" s="67" t="str">
        <f t="shared" ca="1" si="4"/>
        <v/>
      </c>
      <c r="O267" s="69"/>
    </row>
    <row r="268" spans="1:15" x14ac:dyDescent="0.3">
      <c r="A268" s="69"/>
      <c r="B268" s="68"/>
      <c r="C268" s="69"/>
      <c r="D268" s="69"/>
      <c r="E268" s="69"/>
      <c r="F268" s="69"/>
      <c r="G268" s="69"/>
      <c r="H268" s="69"/>
      <c r="I268" s="68"/>
      <c r="J268" s="69"/>
      <c r="K268" s="68"/>
      <c r="L268" s="69"/>
      <c r="M268" s="67" t="str">
        <f>IF(OR(C268="",E268="",L268=""),"",IF(INDEX(KPI_Targets!$F$5:$F$20,MATCH(C268,KPI_Targets!$B$5:$B$20,0))="Higher",IF(L268&gt;E268,"Improved",IF(L268=E268,"No change","Worse")),IF(L268&lt;E268,"Improved",IF(L268=E268,"No change","Worse"))))</f>
        <v/>
      </c>
      <c r="N268" s="67" t="str">
        <f t="shared" ca="1" si="4"/>
        <v/>
      </c>
      <c r="O268" s="69"/>
    </row>
    <row r="269" spans="1:15" x14ac:dyDescent="0.3">
      <c r="A269" s="69"/>
      <c r="B269" s="68"/>
      <c r="C269" s="69"/>
      <c r="D269" s="69"/>
      <c r="E269" s="69"/>
      <c r="F269" s="69"/>
      <c r="G269" s="69"/>
      <c r="H269" s="69"/>
      <c r="I269" s="68"/>
      <c r="J269" s="69"/>
      <c r="K269" s="68"/>
      <c r="L269" s="69"/>
      <c r="M269" s="67" t="str">
        <f>IF(OR(C269="",E269="",L269=""),"",IF(INDEX(KPI_Targets!$F$5:$F$20,MATCH(C269,KPI_Targets!$B$5:$B$20,0))="Higher",IF(L269&gt;E269,"Improved",IF(L269=E269,"No change","Worse")),IF(L269&lt;E269,"Improved",IF(L269=E269,"No change","Worse"))))</f>
        <v/>
      </c>
      <c r="N269" s="67" t="str">
        <f t="shared" ca="1" si="4"/>
        <v/>
      </c>
      <c r="O269" s="69"/>
    </row>
    <row r="270" spans="1:15" x14ac:dyDescent="0.3">
      <c r="A270" s="69"/>
      <c r="B270" s="68"/>
      <c r="C270" s="69"/>
      <c r="D270" s="69"/>
      <c r="E270" s="69"/>
      <c r="F270" s="69"/>
      <c r="G270" s="69"/>
      <c r="H270" s="69"/>
      <c r="I270" s="68"/>
      <c r="J270" s="69"/>
      <c r="K270" s="68"/>
      <c r="L270" s="69"/>
      <c r="M270" s="67" t="str">
        <f>IF(OR(C270="",E270="",L270=""),"",IF(INDEX(KPI_Targets!$F$5:$F$20,MATCH(C270,KPI_Targets!$B$5:$B$20,0))="Higher",IF(L270&gt;E270,"Improved",IF(L270=E270,"No change","Worse")),IF(L270&lt;E270,"Improved",IF(L270=E270,"No change","Worse"))))</f>
        <v/>
      </c>
      <c r="N270" s="67" t="str">
        <f t="shared" ca="1" si="4"/>
        <v/>
      </c>
      <c r="O270" s="69"/>
    </row>
    <row r="271" spans="1:15" x14ac:dyDescent="0.3">
      <c r="A271" s="69"/>
      <c r="B271" s="68"/>
      <c r="C271" s="69"/>
      <c r="D271" s="69"/>
      <c r="E271" s="69"/>
      <c r="F271" s="69"/>
      <c r="G271" s="69"/>
      <c r="H271" s="69"/>
      <c r="I271" s="68"/>
      <c r="J271" s="69"/>
      <c r="K271" s="68"/>
      <c r="L271" s="69"/>
      <c r="M271" s="67" t="str">
        <f>IF(OR(C271="",E271="",L271=""),"",IF(INDEX(KPI_Targets!$F$5:$F$20,MATCH(C271,KPI_Targets!$B$5:$B$20,0))="Higher",IF(L271&gt;E271,"Improved",IF(L271=E271,"No change","Worse")),IF(L271&lt;E271,"Improved",IF(L271=E271,"No change","Worse"))))</f>
        <v/>
      </c>
      <c r="N271" s="67" t="str">
        <f t="shared" ca="1" si="4"/>
        <v/>
      </c>
      <c r="O271" s="69"/>
    </row>
    <row r="272" spans="1:15" x14ac:dyDescent="0.3">
      <c r="A272" s="69"/>
      <c r="B272" s="68"/>
      <c r="C272" s="69"/>
      <c r="D272" s="69"/>
      <c r="E272" s="69"/>
      <c r="F272" s="69"/>
      <c r="G272" s="69"/>
      <c r="H272" s="69"/>
      <c r="I272" s="68"/>
      <c r="J272" s="69"/>
      <c r="K272" s="68"/>
      <c r="L272" s="69"/>
      <c r="M272" s="67" t="str">
        <f>IF(OR(C272="",E272="",L272=""),"",IF(INDEX(KPI_Targets!$F$5:$F$20,MATCH(C272,KPI_Targets!$B$5:$B$20,0))="Higher",IF(L272&gt;E272,"Improved",IF(L272=E272,"No change","Worse")),IF(L272&lt;E272,"Improved",IF(L272=E272,"No change","Worse"))))</f>
        <v/>
      </c>
      <c r="N272" s="67" t="str">
        <f t="shared" ca="1" si="4"/>
        <v/>
      </c>
      <c r="O272" s="69"/>
    </row>
    <row r="273" spans="1:15" x14ac:dyDescent="0.3">
      <c r="A273" s="69"/>
      <c r="B273" s="68"/>
      <c r="C273" s="69"/>
      <c r="D273" s="69"/>
      <c r="E273" s="69"/>
      <c r="F273" s="69"/>
      <c r="G273" s="69"/>
      <c r="H273" s="69"/>
      <c r="I273" s="68"/>
      <c r="J273" s="69"/>
      <c r="K273" s="68"/>
      <c r="L273" s="69"/>
      <c r="M273" s="67" t="str">
        <f>IF(OR(C273="",E273="",L273=""),"",IF(INDEX(KPI_Targets!$F$5:$F$20,MATCH(C273,KPI_Targets!$B$5:$B$20,0))="Higher",IF(L273&gt;E273,"Improved",IF(L273=E273,"No change","Worse")),IF(L273&lt;E273,"Improved",IF(L273=E273,"No change","Worse"))))</f>
        <v/>
      </c>
      <c r="N273" s="67" t="str">
        <f t="shared" ca="1" si="4"/>
        <v/>
      </c>
      <c r="O273" s="69"/>
    </row>
    <row r="274" spans="1:15" x14ac:dyDescent="0.3">
      <c r="A274" s="69"/>
      <c r="B274" s="68"/>
      <c r="C274" s="69"/>
      <c r="D274" s="69"/>
      <c r="E274" s="69"/>
      <c r="F274" s="69"/>
      <c r="G274" s="69"/>
      <c r="H274" s="69"/>
      <c r="I274" s="68"/>
      <c r="J274" s="69"/>
      <c r="K274" s="68"/>
      <c r="L274" s="69"/>
      <c r="M274" s="67" t="str">
        <f>IF(OR(C274="",E274="",L274=""),"",IF(INDEX(KPI_Targets!$F$5:$F$20,MATCH(C274,KPI_Targets!$B$5:$B$20,0))="Higher",IF(L274&gt;E274,"Improved",IF(L274=E274,"No change","Worse")),IF(L274&lt;E274,"Improved",IF(L274=E274,"No change","Worse"))))</f>
        <v/>
      </c>
      <c r="N274" s="67" t="str">
        <f t="shared" ca="1" si="4"/>
        <v/>
      </c>
      <c r="O274" s="69"/>
    </row>
    <row r="275" spans="1:15" x14ac:dyDescent="0.3">
      <c r="A275" s="69"/>
      <c r="B275" s="68"/>
      <c r="C275" s="69"/>
      <c r="D275" s="69"/>
      <c r="E275" s="69"/>
      <c r="F275" s="69"/>
      <c r="G275" s="69"/>
      <c r="H275" s="69"/>
      <c r="I275" s="68"/>
      <c r="J275" s="69"/>
      <c r="K275" s="68"/>
      <c r="L275" s="69"/>
      <c r="M275" s="67" t="str">
        <f>IF(OR(C275="",E275="",L275=""),"",IF(INDEX(KPI_Targets!$F$5:$F$20,MATCH(C275,KPI_Targets!$B$5:$B$20,0))="Higher",IF(L275&gt;E275,"Improved",IF(L275=E275,"No change","Worse")),IF(L275&lt;E275,"Improved",IF(L275=E275,"No change","Worse"))))</f>
        <v/>
      </c>
      <c r="N275" s="67" t="str">
        <f t="shared" ca="1" si="4"/>
        <v/>
      </c>
      <c r="O275" s="69"/>
    </row>
    <row r="276" spans="1:15" x14ac:dyDescent="0.3">
      <c r="A276" s="69"/>
      <c r="B276" s="68"/>
      <c r="C276" s="69"/>
      <c r="D276" s="69"/>
      <c r="E276" s="69"/>
      <c r="F276" s="69"/>
      <c r="G276" s="69"/>
      <c r="H276" s="69"/>
      <c r="I276" s="68"/>
      <c r="J276" s="69"/>
      <c r="K276" s="68"/>
      <c r="L276" s="69"/>
      <c r="M276" s="67" t="str">
        <f>IF(OR(C276="",E276="",L276=""),"",IF(INDEX(KPI_Targets!$F$5:$F$20,MATCH(C276,KPI_Targets!$B$5:$B$20,0))="Higher",IF(L276&gt;E276,"Improved",IF(L276=E276,"No change","Worse")),IF(L276&lt;E276,"Improved",IF(L276=E276,"No change","Worse"))))</f>
        <v/>
      </c>
      <c r="N276" s="67" t="str">
        <f t="shared" ca="1" si="4"/>
        <v/>
      </c>
      <c r="O276" s="69"/>
    </row>
    <row r="277" spans="1:15" x14ac:dyDescent="0.3">
      <c r="A277" s="69"/>
      <c r="B277" s="68"/>
      <c r="C277" s="69"/>
      <c r="D277" s="69"/>
      <c r="E277" s="69"/>
      <c r="F277" s="69"/>
      <c r="G277" s="69"/>
      <c r="H277" s="69"/>
      <c r="I277" s="68"/>
      <c r="J277" s="69"/>
      <c r="K277" s="68"/>
      <c r="L277" s="69"/>
      <c r="M277" s="67" t="str">
        <f>IF(OR(C277="",E277="",L277=""),"",IF(INDEX(KPI_Targets!$F$5:$F$20,MATCH(C277,KPI_Targets!$B$5:$B$20,0))="Higher",IF(L277&gt;E277,"Improved",IF(L277=E277,"No change","Worse")),IF(L277&lt;E277,"Improved",IF(L277=E277,"No change","Worse"))))</f>
        <v/>
      </c>
      <c r="N277" s="67" t="str">
        <f t="shared" ca="1" si="4"/>
        <v/>
      </c>
      <c r="O277" s="69"/>
    </row>
    <row r="278" spans="1:15" x14ac:dyDescent="0.3">
      <c r="A278" s="69"/>
      <c r="B278" s="68"/>
      <c r="C278" s="69"/>
      <c r="D278" s="69"/>
      <c r="E278" s="69"/>
      <c r="F278" s="69"/>
      <c r="G278" s="69"/>
      <c r="H278" s="69"/>
      <c r="I278" s="68"/>
      <c r="J278" s="69"/>
      <c r="K278" s="68"/>
      <c r="L278" s="69"/>
      <c r="M278" s="67" t="str">
        <f>IF(OR(C278="",E278="",L278=""),"",IF(INDEX(KPI_Targets!$F$5:$F$20,MATCH(C278,KPI_Targets!$B$5:$B$20,0))="Higher",IF(L278&gt;E278,"Improved",IF(L278=E278,"No change","Worse")),IF(L278&lt;E278,"Improved",IF(L278=E278,"No change","Worse"))))</f>
        <v/>
      </c>
      <c r="N278" s="67" t="str">
        <f t="shared" ca="1" si="4"/>
        <v/>
      </c>
      <c r="O278" s="69"/>
    </row>
    <row r="279" spans="1:15" x14ac:dyDescent="0.3">
      <c r="A279" s="69"/>
      <c r="B279" s="68"/>
      <c r="C279" s="69"/>
      <c r="D279" s="69"/>
      <c r="E279" s="69"/>
      <c r="F279" s="69"/>
      <c r="G279" s="69"/>
      <c r="H279" s="69"/>
      <c r="I279" s="68"/>
      <c r="J279" s="69"/>
      <c r="K279" s="68"/>
      <c r="L279" s="69"/>
      <c r="M279" s="67" t="str">
        <f>IF(OR(C279="",E279="",L279=""),"",IF(INDEX(KPI_Targets!$F$5:$F$20,MATCH(C279,KPI_Targets!$B$5:$B$20,0))="Higher",IF(L279&gt;E279,"Improved",IF(L279=E279,"No change","Worse")),IF(L279&lt;E279,"Improved",IF(L279=E279,"No change","Worse"))))</f>
        <v/>
      </c>
      <c r="N279" s="67" t="str">
        <f t="shared" ca="1" si="4"/>
        <v/>
      </c>
      <c r="O279" s="69"/>
    </row>
    <row r="280" spans="1:15" x14ac:dyDescent="0.3">
      <c r="A280" s="69"/>
      <c r="B280" s="68"/>
      <c r="C280" s="69"/>
      <c r="D280" s="69"/>
      <c r="E280" s="69"/>
      <c r="F280" s="69"/>
      <c r="G280" s="69"/>
      <c r="H280" s="69"/>
      <c r="I280" s="68"/>
      <c r="J280" s="69"/>
      <c r="K280" s="68"/>
      <c r="L280" s="69"/>
      <c r="M280" s="67" t="str">
        <f>IF(OR(C280="",E280="",L280=""),"",IF(INDEX(KPI_Targets!$F$5:$F$20,MATCH(C280,KPI_Targets!$B$5:$B$20,0))="Higher",IF(L280&gt;E280,"Improved",IF(L280=E280,"No change","Worse")),IF(L280&lt;E280,"Improved",IF(L280=E280,"No change","Worse"))))</f>
        <v/>
      </c>
      <c r="N280" s="67" t="str">
        <f t="shared" ca="1" si="4"/>
        <v/>
      </c>
      <c r="O280" s="69"/>
    </row>
    <row r="281" spans="1:15" x14ac:dyDescent="0.3">
      <c r="A281" s="69"/>
      <c r="B281" s="68"/>
      <c r="C281" s="69"/>
      <c r="D281" s="69"/>
      <c r="E281" s="69"/>
      <c r="F281" s="69"/>
      <c r="G281" s="69"/>
      <c r="H281" s="69"/>
      <c r="I281" s="68"/>
      <c r="J281" s="69"/>
      <c r="K281" s="68"/>
      <c r="L281" s="69"/>
      <c r="M281" s="67" t="str">
        <f>IF(OR(C281="",E281="",L281=""),"",IF(INDEX(KPI_Targets!$F$5:$F$20,MATCH(C281,KPI_Targets!$B$5:$B$20,0))="Higher",IF(L281&gt;E281,"Improved",IF(L281=E281,"No change","Worse")),IF(L281&lt;E281,"Improved",IF(L281=E281,"No change","Worse"))))</f>
        <v/>
      </c>
      <c r="N281" s="67" t="str">
        <f t="shared" ca="1" si="4"/>
        <v/>
      </c>
      <c r="O281" s="69"/>
    </row>
    <row r="282" spans="1:15" x14ac:dyDescent="0.3">
      <c r="A282" s="69"/>
      <c r="B282" s="68"/>
      <c r="C282" s="69"/>
      <c r="D282" s="69"/>
      <c r="E282" s="69"/>
      <c r="F282" s="69"/>
      <c r="G282" s="69"/>
      <c r="H282" s="69"/>
      <c r="I282" s="68"/>
      <c r="J282" s="69"/>
      <c r="K282" s="68"/>
      <c r="L282" s="69"/>
      <c r="M282" s="67" t="str">
        <f>IF(OR(C282="",E282="",L282=""),"",IF(INDEX(KPI_Targets!$F$5:$F$20,MATCH(C282,KPI_Targets!$B$5:$B$20,0))="Higher",IF(L282&gt;E282,"Improved",IF(L282=E282,"No change","Worse")),IF(L282&lt;E282,"Improved",IF(L282=E282,"No change","Worse"))))</f>
        <v/>
      </c>
      <c r="N282" s="67" t="str">
        <f t="shared" ca="1" si="4"/>
        <v/>
      </c>
      <c r="O282" s="69"/>
    </row>
    <row r="283" spans="1:15" x14ac:dyDescent="0.3">
      <c r="A283" s="69"/>
      <c r="B283" s="68"/>
      <c r="C283" s="69"/>
      <c r="D283" s="69"/>
      <c r="E283" s="69"/>
      <c r="F283" s="69"/>
      <c r="G283" s="69"/>
      <c r="H283" s="69"/>
      <c r="I283" s="68"/>
      <c r="J283" s="69"/>
      <c r="K283" s="68"/>
      <c r="L283" s="69"/>
      <c r="M283" s="67" t="str">
        <f>IF(OR(C283="",E283="",L283=""),"",IF(INDEX(KPI_Targets!$F$5:$F$20,MATCH(C283,KPI_Targets!$B$5:$B$20,0))="Higher",IF(L283&gt;E283,"Improved",IF(L283=E283,"No change","Worse")),IF(L283&lt;E283,"Improved",IF(L283=E283,"No change","Worse"))))</f>
        <v/>
      </c>
      <c r="N283" s="67" t="str">
        <f t="shared" ca="1" si="4"/>
        <v/>
      </c>
      <c r="O283" s="69"/>
    </row>
    <row r="284" spans="1:15" x14ac:dyDescent="0.3">
      <c r="A284" s="69"/>
      <c r="B284" s="68"/>
      <c r="C284" s="69"/>
      <c r="D284" s="69"/>
      <c r="E284" s="69"/>
      <c r="F284" s="69"/>
      <c r="G284" s="69"/>
      <c r="H284" s="69"/>
      <c r="I284" s="68"/>
      <c r="J284" s="69"/>
      <c r="K284" s="68"/>
      <c r="L284" s="69"/>
      <c r="M284" s="67" t="str">
        <f>IF(OR(C284="",E284="",L284=""),"",IF(INDEX(KPI_Targets!$F$5:$F$20,MATCH(C284,KPI_Targets!$B$5:$B$20,0))="Higher",IF(L284&gt;E284,"Improved",IF(L284=E284,"No change","Worse")),IF(L284&lt;E284,"Improved",IF(L284=E284,"No change","Worse"))))</f>
        <v/>
      </c>
      <c r="N284" s="67" t="str">
        <f t="shared" ca="1" si="4"/>
        <v/>
      </c>
      <c r="O284" s="69"/>
    </row>
    <row r="285" spans="1:15" x14ac:dyDescent="0.3">
      <c r="A285" s="69"/>
      <c r="B285" s="68"/>
      <c r="C285" s="69"/>
      <c r="D285" s="69"/>
      <c r="E285" s="69"/>
      <c r="F285" s="69"/>
      <c r="G285" s="69"/>
      <c r="H285" s="69"/>
      <c r="I285" s="68"/>
      <c r="J285" s="69"/>
      <c r="K285" s="68"/>
      <c r="L285" s="69"/>
      <c r="M285" s="67" t="str">
        <f>IF(OR(C285="",E285="",L285=""),"",IF(INDEX(KPI_Targets!$F$5:$F$20,MATCH(C285,KPI_Targets!$B$5:$B$20,0))="Higher",IF(L285&gt;E285,"Improved",IF(L285=E285,"No change","Worse")),IF(L285&lt;E285,"Improved",IF(L285=E285,"No change","Worse"))))</f>
        <v/>
      </c>
      <c r="N285" s="67" t="str">
        <f t="shared" ca="1" si="4"/>
        <v/>
      </c>
      <c r="O285" s="69"/>
    </row>
    <row r="286" spans="1:15" x14ac:dyDescent="0.3">
      <c r="A286" s="69"/>
      <c r="B286" s="68"/>
      <c r="C286" s="69"/>
      <c r="D286" s="69"/>
      <c r="E286" s="69"/>
      <c r="F286" s="69"/>
      <c r="G286" s="69"/>
      <c r="H286" s="69"/>
      <c r="I286" s="68"/>
      <c r="J286" s="69"/>
      <c r="K286" s="68"/>
      <c r="L286" s="69"/>
      <c r="M286" s="67" t="str">
        <f>IF(OR(C286="",E286="",L286=""),"",IF(INDEX(KPI_Targets!$F$5:$F$20,MATCH(C286,KPI_Targets!$B$5:$B$20,0))="Higher",IF(L286&gt;E286,"Improved",IF(L286=E286,"No change","Worse")),IF(L286&lt;E286,"Improved",IF(L286=E286,"No change","Worse"))))</f>
        <v/>
      </c>
      <c r="N286" s="67" t="str">
        <f t="shared" ca="1" si="4"/>
        <v/>
      </c>
      <c r="O286" s="69"/>
    </row>
    <row r="287" spans="1:15" x14ac:dyDescent="0.3">
      <c r="A287" s="69"/>
      <c r="B287" s="68"/>
      <c r="C287" s="69"/>
      <c r="D287" s="69"/>
      <c r="E287" s="69"/>
      <c r="F287" s="69"/>
      <c r="G287" s="69"/>
      <c r="H287" s="69"/>
      <c r="I287" s="68"/>
      <c r="J287" s="69"/>
      <c r="K287" s="68"/>
      <c r="L287" s="69"/>
      <c r="M287" s="67" t="str">
        <f>IF(OR(C287="",E287="",L287=""),"",IF(INDEX(KPI_Targets!$F$5:$F$20,MATCH(C287,KPI_Targets!$B$5:$B$20,0))="Higher",IF(L287&gt;E287,"Improved",IF(L287=E287,"No change","Worse")),IF(L287&lt;E287,"Improved",IF(L287=E287,"No change","Worse"))))</f>
        <v/>
      </c>
      <c r="N287" s="67" t="str">
        <f t="shared" ca="1" si="4"/>
        <v/>
      </c>
      <c r="O287" s="69"/>
    </row>
    <row r="288" spans="1:15" x14ac:dyDescent="0.3">
      <c r="A288" s="69"/>
      <c r="B288" s="68"/>
      <c r="C288" s="69"/>
      <c r="D288" s="69"/>
      <c r="E288" s="69"/>
      <c r="F288" s="69"/>
      <c r="G288" s="69"/>
      <c r="H288" s="69"/>
      <c r="I288" s="68"/>
      <c r="J288" s="69"/>
      <c r="K288" s="68"/>
      <c r="L288" s="69"/>
      <c r="M288" s="67" t="str">
        <f>IF(OR(C288="",E288="",L288=""),"",IF(INDEX(KPI_Targets!$F$5:$F$20,MATCH(C288,KPI_Targets!$B$5:$B$20,0))="Higher",IF(L288&gt;E288,"Improved",IF(L288=E288,"No change","Worse")),IF(L288&lt;E288,"Improved",IF(L288=E288,"No change","Worse"))))</f>
        <v/>
      </c>
      <c r="N288" s="67" t="str">
        <f t="shared" ca="1" si="4"/>
        <v/>
      </c>
      <c r="O288" s="69"/>
    </row>
    <row r="289" spans="1:15" x14ac:dyDescent="0.3">
      <c r="A289" s="69"/>
      <c r="B289" s="68"/>
      <c r="C289" s="69"/>
      <c r="D289" s="69"/>
      <c r="E289" s="69"/>
      <c r="F289" s="69"/>
      <c r="G289" s="69"/>
      <c r="H289" s="69"/>
      <c r="I289" s="68"/>
      <c r="J289" s="69"/>
      <c r="K289" s="68"/>
      <c r="L289" s="69"/>
      <c r="M289" s="67" t="str">
        <f>IF(OR(C289="",E289="",L289=""),"",IF(INDEX(KPI_Targets!$F$5:$F$20,MATCH(C289,KPI_Targets!$B$5:$B$20,0))="Higher",IF(L289&gt;E289,"Improved",IF(L289=E289,"No change","Worse")),IF(L289&lt;E289,"Improved",IF(L289=E289,"No change","Worse"))))</f>
        <v/>
      </c>
      <c r="N289" s="67" t="str">
        <f t="shared" ca="1" si="4"/>
        <v/>
      </c>
      <c r="O289" s="69"/>
    </row>
    <row r="290" spans="1:15" x14ac:dyDescent="0.3">
      <c r="A290" s="69"/>
      <c r="B290" s="68"/>
      <c r="C290" s="69"/>
      <c r="D290" s="69"/>
      <c r="E290" s="69"/>
      <c r="F290" s="69"/>
      <c r="G290" s="69"/>
      <c r="H290" s="69"/>
      <c r="I290" s="68"/>
      <c r="J290" s="69"/>
      <c r="K290" s="68"/>
      <c r="L290" s="69"/>
      <c r="M290" s="67" t="str">
        <f>IF(OR(C290="",E290="",L290=""),"",IF(INDEX(KPI_Targets!$F$5:$F$20,MATCH(C290,KPI_Targets!$B$5:$B$20,0))="Higher",IF(L290&gt;E290,"Improved",IF(L290=E290,"No change","Worse")),IF(L290&lt;E290,"Improved",IF(L290=E290,"No change","Worse"))))</f>
        <v/>
      </c>
      <c r="N290" s="67" t="str">
        <f t="shared" ca="1" si="4"/>
        <v/>
      </c>
      <c r="O290" s="69"/>
    </row>
    <row r="291" spans="1:15" x14ac:dyDescent="0.3">
      <c r="A291" s="69"/>
      <c r="B291" s="68"/>
      <c r="C291" s="69"/>
      <c r="D291" s="69"/>
      <c r="E291" s="69"/>
      <c r="F291" s="69"/>
      <c r="G291" s="69"/>
      <c r="H291" s="69"/>
      <c r="I291" s="68"/>
      <c r="J291" s="69"/>
      <c r="K291" s="68"/>
      <c r="L291" s="69"/>
      <c r="M291" s="67" t="str">
        <f>IF(OR(C291="",E291="",L291=""),"",IF(INDEX(KPI_Targets!$F$5:$F$20,MATCH(C291,KPI_Targets!$B$5:$B$20,0))="Higher",IF(L291&gt;E291,"Improved",IF(L291=E291,"No change","Worse")),IF(L291&lt;E291,"Improved",IF(L291=E291,"No change","Worse"))))</f>
        <v/>
      </c>
      <c r="N291" s="67" t="str">
        <f t="shared" ca="1" si="4"/>
        <v/>
      </c>
      <c r="O291" s="69"/>
    </row>
    <row r="292" spans="1:15" x14ac:dyDescent="0.3">
      <c r="A292" s="69"/>
      <c r="B292" s="68"/>
      <c r="C292" s="69"/>
      <c r="D292" s="69"/>
      <c r="E292" s="69"/>
      <c r="F292" s="69"/>
      <c r="G292" s="69"/>
      <c r="H292" s="69"/>
      <c r="I292" s="68"/>
      <c r="J292" s="69"/>
      <c r="K292" s="68"/>
      <c r="L292" s="69"/>
      <c r="M292" s="67" t="str">
        <f>IF(OR(C292="",E292="",L292=""),"",IF(INDEX(KPI_Targets!$F$5:$F$20,MATCH(C292,KPI_Targets!$B$5:$B$20,0))="Higher",IF(L292&gt;E292,"Improved",IF(L292=E292,"No change","Worse")),IF(L292&lt;E292,"Improved",IF(L292=E292,"No change","Worse"))))</f>
        <v/>
      </c>
      <c r="N292" s="67" t="str">
        <f t="shared" ca="1" si="4"/>
        <v/>
      </c>
      <c r="O292" s="69"/>
    </row>
    <row r="293" spans="1:15" x14ac:dyDescent="0.3">
      <c r="A293" s="69"/>
      <c r="B293" s="68"/>
      <c r="C293" s="69"/>
      <c r="D293" s="69"/>
      <c r="E293" s="69"/>
      <c r="F293" s="69"/>
      <c r="G293" s="69"/>
      <c r="H293" s="69"/>
      <c r="I293" s="68"/>
      <c r="J293" s="69"/>
      <c r="K293" s="68"/>
      <c r="L293" s="69"/>
      <c r="M293" s="67" t="str">
        <f>IF(OR(C293="",E293="",L293=""),"",IF(INDEX(KPI_Targets!$F$5:$F$20,MATCH(C293,KPI_Targets!$B$5:$B$20,0))="Higher",IF(L293&gt;E293,"Improved",IF(L293=E293,"No change","Worse")),IF(L293&lt;E293,"Improved",IF(L293=E293,"No change","Worse"))))</f>
        <v/>
      </c>
      <c r="N293" s="67" t="str">
        <f t="shared" ca="1" si="4"/>
        <v/>
      </c>
      <c r="O293" s="69"/>
    </row>
    <row r="294" spans="1:15" x14ac:dyDescent="0.3">
      <c r="A294" s="69"/>
      <c r="B294" s="68"/>
      <c r="C294" s="69"/>
      <c r="D294" s="69"/>
      <c r="E294" s="69"/>
      <c r="F294" s="69"/>
      <c r="G294" s="69"/>
      <c r="H294" s="69"/>
      <c r="I294" s="68"/>
      <c r="J294" s="69"/>
      <c r="K294" s="68"/>
      <c r="L294" s="69"/>
      <c r="M294" s="67" t="str">
        <f>IF(OR(C294="",E294="",L294=""),"",IF(INDEX(KPI_Targets!$F$5:$F$20,MATCH(C294,KPI_Targets!$B$5:$B$20,0))="Higher",IF(L294&gt;E294,"Improved",IF(L294=E294,"No change","Worse")),IF(L294&lt;E294,"Improved",IF(L294=E294,"No change","Worse"))))</f>
        <v/>
      </c>
      <c r="N294" s="67" t="str">
        <f t="shared" ca="1" si="4"/>
        <v/>
      </c>
      <c r="O294" s="69"/>
    </row>
    <row r="295" spans="1:15" x14ac:dyDescent="0.3">
      <c r="A295" s="69"/>
      <c r="B295" s="68"/>
      <c r="C295" s="69"/>
      <c r="D295" s="69"/>
      <c r="E295" s="69"/>
      <c r="F295" s="69"/>
      <c r="G295" s="69"/>
      <c r="H295" s="69"/>
      <c r="I295" s="68"/>
      <c r="J295" s="69"/>
      <c r="K295" s="68"/>
      <c r="L295" s="69"/>
      <c r="M295" s="67" t="str">
        <f>IF(OR(C295="",E295="",L295=""),"",IF(INDEX(KPI_Targets!$F$5:$F$20,MATCH(C295,KPI_Targets!$B$5:$B$20,0))="Higher",IF(L295&gt;E295,"Improved",IF(L295=E295,"No change","Worse")),IF(L295&lt;E295,"Improved",IF(L295=E295,"No change","Worse"))))</f>
        <v/>
      </c>
      <c r="N295" s="67" t="str">
        <f t="shared" ca="1" si="4"/>
        <v/>
      </c>
      <c r="O295" s="69"/>
    </row>
    <row r="296" spans="1:15" x14ac:dyDescent="0.3">
      <c r="A296" s="69"/>
      <c r="B296" s="68"/>
      <c r="C296" s="69"/>
      <c r="D296" s="69"/>
      <c r="E296" s="69"/>
      <c r="F296" s="69"/>
      <c r="G296" s="69"/>
      <c r="H296" s="69"/>
      <c r="I296" s="68"/>
      <c r="J296" s="69"/>
      <c r="K296" s="68"/>
      <c r="L296" s="69"/>
      <c r="M296" s="67" t="str">
        <f>IF(OR(C296="",E296="",L296=""),"",IF(INDEX(KPI_Targets!$F$5:$F$20,MATCH(C296,KPI_Targets!$B$5:$B$20,0))="Higher",IF(L296&gt;E296,"Improved",IF(L296=E296,"No change","Worse")),IF(L296&lt;E296,"Improved",IF(L296=E296,"No change","Worse"))))</f>
        <v/>
      </c>
      <c r="N296" s="67" t="str">
        <f t="shared" ca="1" si="4"/>
        <v/>
      </c>
      <c r="O296" s="69"/>
    </row>
    <row r="297" spans="1:15" x14ac:dyDescent="0.3">
      <c r="A297" s="69"/>
      <c r="B297" s="68"/>
      <c r="C297" s="69"/>
      <c r="D297" s="69"/>
      <c r="E297" s="69"/>
      <c r="F297" s="69"/>
      <c r="G297" s="69"/>
      <c r="H297" s="69"/>
      <c r="I297" s="68"/>
      <c r="J297" s="69"/>
      <c r="K297" s="68"/>
      <c r="L297" s="69"/>
      <c r="M297" s="67" t="str">
        <f>IF(OR(C297="",E297="",L297=""),"",IF(INDEX(KPI_Targets!$F$5:$F$20,MATCH(C297,KPI_Targets!$B$5:$B$20,0))="Higher",IF(L297&gt;E297,"Improved",IF(L297=E297,"No change","Worse")),IF(L297&lt;E297,"Improved",IF(L297=E297,"No change","Worse"))))</f>
        <v/>
      </c>
      <c r="N297" s="67" t="str">
        <f t="shared" ca="1" si="4"/>
        <v/>
      </c>
      <c r="O297" s="69"/>
    </row>
    <row r="298" spans="1:15" x14ac:dyDescent="0.3">
      <c r="A298" s="69"/>
      <c r="B298" s="68"/>
      <c r="C298" s="69"/>
      <c r="D298" s="69"/>
      <c r="E298" s="69"/>
      <c r="F298" s="69"/>
      <c r="G298" s="69"/>
      <c r="H298" s="69"/>
      <c r="I298" s="68"/>
      <c r="J298" s="69"/>
      <c r="K298" s="68"/>
      <c r="L298" s="69"/>
      <c r="M298" s="67" t="str">
        <f>IF(OR(C298="",E298="",L298=""),"",IF(INDEX(KPI_Targets!$F$5:$F$20,MATCH(C298,KPI_Targets!$B$5:$B$20,0))="Higher",IF(L298&gt;E298,"Improved",IF(L298=E298,"No change","Worse")),IF(L298&lt;E298,"Improved",IF(L298=E298,"No change","Worse"))))</f>
        <v/>
      </c>
      <c r="N298" s="67" t="str">
        <f t="shared" ca="1" si="4"/>
        <v/>
      </c>
      <c r="O298" s="69"/>
    </row>
    <row r="299" spans="1:15" x14ac:dyDescent="0.3">
      <c r="A299" s="69"/>
      <c r="B299" s="68"/>
      <c r="C299" s="69"/>
      <c r="D299" s="69"/>
      <c r="E299" s="69"/>
      <c r="F299" s="69"/>
      <c r="G299" s="69"/>
      <c r="H299" s="69"/>
      <c r="I299" s="68"/>
      <c r="J299" s="69"/>
      <c r="K299" s="68"/>
      <c r="L299" s="69"/>
      <c r="M299" s="67" t="str">
        <f>IF(OR(C299="",E299="",L299=""),"",IF(INDEX(KPI_Targets!$F$5:$F$20,MATCH(C299,KPI_Targets!$B$5:$B$20,0))="Higher",IF(L299&gt;E299,"Improved",IF(L299=E299,"No change","Worse")),IF(L299&lt;E299,"Improved",IF(L299=E299,"No change","Worse"))))</f>
        <v/>
      </c>
      <c r="N299" s="67" t="str">
        <f t="shared" ca="1" si="4"/>
        <v/>
      </c>
      <c r="O299" s="69"/>
    </row>
    <row r="300" spans="1:15" x14ac:dyDescent="0.3">
      <c r="A300" s="69"/>
      <c r="B300" s="68"/>
      <c r="C300" s="69"/>
      <c r="D300" s="69"/>
      <c r="E300" s="69"/>
      <c r="F300" s="69"/>
      <c r="G300" s="69"/>
      <c r="H300" s="69"/>
      <c r="I300" s="68"/>
      <c r="J300" s="69"/>
      <c r="K300" s="68"/>
      <c r="L300" s="69"/>
      <c r="M300" s="67" t="str">
        <f>IF(OR(C300="",E300="",L300=""),"",IF(INDEX(KPI_Targets!$F$5:$F$20,MATCH(C300,KPI_Targets!$B$5:$B$20,0))="Higher",IF(L300&gt;E300,"Improved",IF(L300=E300,"No change","Worse")),IF(L300&lt;E300,"Improved",IF(L300=E300,"No change","Worse"))))</f>
        <v/>
      </c>
      <c r="N300" s="67" t="str">
        <f t="shared" ca="1" si="4"/>
        <v/>
      </c>
      <c r="O300" s="69"/>
    </row>
    <row r="301" spans="1:15" x14ac:dyDescent="0.3">
      <c r="A301" s="69"/>
      <c r="B301" s="68"/>
      <c r="C301" s="69"/>
      <c r="D301" s="69"/>
      <c r="E301" s="69"/>
      <c r="F301" s="69"/>
      <c r="G301" s="69"/>
      <c r="H301" s="69"/>
      <c r="I301" s="68"/>
      <c r="J301" s="69"/>
      <c r="K301" s="68"/>
      <c r="L301" s="69"/>
      <c r="M301" s="67" t="str">
        <f>IF(OR(C301="",E301="",L301=""),"",IF(INDEX(KPI_Targets!$F$5:$F$20,MATCH(C301,KPI_Targets!$B$5:$B$20,0))="Higher",IF(L301&gt;E301,"Improved",IF(L301=E301,"No change","Worse")),IF(L301&lt;E301,"Improved",IF(L301=E301,"No change","Worse"))))</f>
        <v/>
      </c>
      <c r="N301" s="67" t="str">
        <f t="shared" ca="1" si="4"/>
        <v/>
      </c>
      <c r="O301" s="69"/>
    </row>
    <row r="302" spans="1:15" x14ac:dyDescent="0.3">
      <c r="A302" s="69"/>
      <c r="B302" s="68"/>
      <c r="C302" s="69"/>
      <c r="D302" s="69"/>
      <c r="E302" s="69"/>
      <c r="F302" s="69"/>
      <c r="G302" s="69"/>
      <c r="H302" s="69"/>
      <c r="I302" s="68"/>
      <c r="J302" s="69"/>
      <c r="K302" s="68"/>
      <c r="L302" s="69"/>
      <c r="M302" s="67" t="str">
        <f>IF(OR(C302="",E302="",L302=""),"",IF(INDEX(KPI_Targets!$F$5:$F$20,MATCH(C302,KPI_Targets!$B$5:$B$20,0))="Higher",IF(L302&gt;E302,"Improved",IF(L302=E302,"No change","Worse")),IF(L302&lt;E302,"Improved",IF(L302=E302,"No change","Worse"))))</f>
        <v/>
      </c>
      <c r="N302" s="67" t="str">
        <f t="shared" ca="1" si="4"/>
        <v/>
      </c>
      <c r="O302" s="69"/>
    </row>
    <row r="303" spans="1:15" x14ac:dyDescent="0.3">
      <c r="A303" s="69"/>
      <c r="B303" s="68"/>
      <c r="C303" s="69"/>
      <c r="D303" s="69"/>
      <c r="E303" s="69"/>
      <c r="F303" s="69"/>
      <c r="G303" s="69"/>
      <c r="H303" s="69"/>
      <c r="I303" s="68"/>
      <c r="J303" s="69"/>
      <c r="K303" s="68"/>
      <c r="L303" s="69"/>
      <c r="M303" s="67" t="str">
        <f>IF(OR(C303="",E303="",L303=""),"",IF(INDEX(KPI_Targets!$F$5:$F$20,MATCH(C303,KPI_Targets!$B$5:$B$20,0))="Higher",IF(L303&gt;E303,"Improved",IF(L303=E303,"No change","Worse")),IF(L303&lt;E303,"Improved",IF(L303=E303,"No change","Worse"))))</f>
        <v/>
      </c>
      <c r="N303" s="67" t="str">
        <f t="shared" ca="1" si="4"/>
        <v/>
      </c>
      <c r="O303" s="69"/>
    </row>
    <row r="304" spans="1:15" x14ac:dyDescent="0.3">
      <c r="A304" s="69"/>
      <c r="B304" s="68"/>
      <c r="C304" s="69"/>
      <c r="D304" s="69"/>
      <c r="E304" s="69"/>
      <c r="F304" s="69"/>
      <c r="G304" s="69"/>
      <c r="H304" s="69"/>
      <c r="I304" s="68"/>
      <c r="J304" s="69"/>
      <c r="K304" s="68"/>
      <c r="L304" s="69"/>
      <c r="M304" s="67" t="str">
        <f>IF(OR(C304="",E304="",L304=""),"",IF(INDEX(KPI_Targets!$F$5:$F$20,MATCH(C304,KPI_Targets!$B$5:$B$20,0))="Higher",IF(L304&gt;E304,"Improved",IF(L304=E304,"No change","Worse")),IF(L304&lt;E304,"Improved",IF(L304=E304,"No change","Worse"))))</f>
        <v/>
      </c>
      <c r="N304" s="67" t="str">
        <f t="shared" ca="1" si="4"/>
        <v/>
      </c>
      <c r="O304" s="69"/>
    </row>
    <row r="305" spans="1:15" x14ac:dyDescent="0.3">
      <c r="A305" s="69"/>
      <c r="B305" s="68"/>
      <c r="C305" s="69"/>
      <c r="D305" s="69"/>
      <c r="E305" s="69"/>
      <c r="F305" s="69"/>
      <c r="G305" s="69"/>
      <c r="H305" s="69"/>
      <c r="I305" s="68"/>
      <c r="J305" s="69"/>
      <c r="K305" s="68"/>
      <c r="L305" s="69"/>
      <c r="M305" s="67" t="str">
        <f>IF(OR(C305="",E305="",L305=""),"",IF(INDEX(KPI_Targets!$F$5:$F$20,MATCH(C305,KPI_Targets!$B$5:$B$20,0))="Higher",IF(L305&gt;E305,"Improved",IF(L305=E305,"No change","Worse")),IF(L305&lt;E305,"Improved",IF(L305=E305,"No change","Worse"))))</f>
        <v/>
      </c>
      <c r="N305" s="67" t="str">
        <f t="shared" ca="1" si="4"/>
        <v/>
      </c>
      <c r="O305" s="69"/>
    </row>
    <row r="306" spans="1:15" x14ac:dyDescent="0.3">
      <c r="A306" s="69"/>
      <c r="B306" s="68"/>
      <c r="C306" s="69"/>
      <c r="D306" s="69"/>
      <c r="E306" s="69"/>
      <c r="F306" s="69"/>
      <c r="G306" s="69"/>
      <c r="H306" s="69"/>
      <c r="I306" s="68"/>
      <c r="J306" s="69"/>
      <c r="K306" s="68"/>
      <c r="L306" s="69"/>
      <c r="M306" s="67" t="str">
        <f>IF(OR(C306="",E306="",L306=""),"",IF(INDEX(KPI_Targets!$F$5:$F$20,MATCH(C306,KPI_Targets!$B$5:$B$20,0))="Higher",IF(L306&gt;E306,"Improved",IF(L306=E306,"No change","Worse")),IF(L306&lt;E306,"Improved",IF(L306=E306,"No change","Worse"))))</f>
        <v/>
      </c>
      <c r="N306" s="67" t="str">
        <f t="shared" ca="1" si="4"/>
        <v/>
      </c>
      <c r="O306" s="69"/>
    </row>
    <row r="307" spans="1:15" x14ac:dyDescent="0.3">
      <c r="A307" s="69"/>
      <c r="B307" s="68"/>
      <c r="C307" s="69"/>
      <c r="D307" s="69"/>
      <c r="E307" s="69"/>
      <c r="F307" s="69"/>
      <c r="G307" s="69"/>
      <c r="H307" s="69"/>
      <c r="I307" s="68"/>
      <c r="J307" s="69"/>
      <c r="K307" s="68"/>
      <c r="L307" s="69"/>
      <c r="M307" s="67" t="str">
        <f>IF(OR(C307="",E307="",L307=""),"",IF(INDEX(KPI_Targets!$F$5:$F$20,MATCH(C307,KPI_Targets!$B$5:$B$20,0))="Higher",IF(L307&gt;E307,"Improved",IF(L307=E307,"No change","Worse")),IF(L307&lt;E307,"Improved",IF(L307=E307,"No change","Worse"))))</f>
        <v/>
      </c>
      <c r="N307" s="67" t="str">
        <f t="shared" ca="1" si="4"/>
        <v/>
      </c>
      <c r="O307" s="69"/>
    </row>
    <row r="308" spans="1:15" x14ac:dyDescent="0.3">
      <c r="A308" s="69"/>
      <c r="B308" s="68"/>
      <c r="C308" s="69"/>
      <c r="D308" s="69"/>
      <c r="E308" s="69"/>
      <c r="F308" s="69"/>
      <c r="G308" s="69"/>
      <c r="H308" s="69"/>
      <c r="I308" s="68"/>
      <c r="J308" s="69"/>
      <c r="K308" s="68"/>
      <c r="L308" s="69"/>
      <c r="M308" s="67" t="str">
        <f>IF(OR(C308="",E308="",L308=""),"",IF(INDEX(KPI_Targets!$F$5:$F$20,MATCH(C308,KPI_Targets!$B$5:$B$20,0))="Higher",IF(L308&gt;E308,"Improved",IF(L308=E308,"No change","Worse")),IF(L308&lt;E308,"Improved",IF(L308=E308,"No change","Worse"))))</f>
        <v/>
      </c>
      <c r="N308" s="67" t="str">
        <f t="shared" ca="1" si="4"/>
        <v/>
      </c>
      <c r="O308" s="69"/>
    </row>
    <row r="309" spans="1:15" x14ac:dyDescent="0.3">
      <c r="A309" s="69"/>
      <c r="B309" s="68"/>
      <c r="C309" s="69"/>
      <c r="D309" s="69"/>
      <c r="E309" s="69"/>
      <c r="F309" s="69"/>
      <c r="G309" s="69"/>
      <c r="H309" s="69"/>
      <c r="I309" s="68"/>
      <c r="J309" s="69"/>
      <c r="K309" s="68"/>
      <c r="L309" s="69"/>
      <c r="M309" s="67" t="str">
        <f>IF(OR(C309="",E309="",L309=""),"",IF(INDEX(KPI_Targets!$F$5:$F$20,MATCH(C309,KPI_Targets!$B$5:$B$20,0))="Higher",IF(L309&gt;E309,"Improved",IF(L309=E309,"No change","Worse")),IF(L309&lt;E309,"Improved",IF(L309=E309,"No change","Worse"))))</f>
        <v/>
      </c>
      <c r="N309" s="67" t="str">
        <f t="shared" ca="1" si="4"/>
        <v/>
      </c>
      <c r="O309" s="69"/>
    </row>
    <row r="310" spans="1:15" x14ac:dyDescent="0.3">
      <c r="A310" s="69"/>
      <c r="B310" s="68"/>
      <c r="C310" s="69"/>
      <c r="D310" s="69"/>
      <c r="E310" s="69"/>
      <c r="F310" s="69"/>
      <c r="G310" s="69"/>
      <c r="H310" s="69"/>
      <c r="I310" s="68"/>
      <c r="J310" s="69"/>
      <c r="K310" s="68"/>
      <c r="L310" s="69"/>
      <c r="M310" s="67" t="str">
        <f>IF(OR(C310="",E310="",L310=""),"",IF(INDEX(KPI_Targets!$F$5:$F$20,MATCH(C310,KPI_Targets!$B$5:$B$20,0))="Higher",IF(L310&gt;E310,"Improved",IF(L310=E310,"No change","Worse")),IF(L310&lt;E310,"Improved",IF(L310=E310,"No change","Worse"))))</f>
        <v/>
      </c>
      <c r="N310" s="67" t="str">
        <f t="shared" ca="1" si="4"/>
        <v/>
      </c>
      <c r="O310" s="69"/>
    </row>
    <row r="311" spans="1:15" x14ac:dyDescent="0.3">
      <c r="A311" s="69"/>
      <c r="B311" s="68"/>
      <c r="C311" s="69"/>
      <c r="D311" s="69"/>
      <c r="E311" s="69"/>
      <c r="F311" s="69"/>
      <c r="G311" s="69"/>
      <c r="H311" s="69"/>
      <c r="I311" s="68"/>
      <c r="J311" s="69"/>
      <c r="K311" s="68"/>
      <c r="L311" s="69"/>
      <c r="M311" s="67" t="str">
        <f>IF(OR(C311="",E311="",L311=""),"",IF(INDEX(KPI_Targets!$F$5:$F$20,MATCH(C311,KPI_Targets!$B$5:$B$20,0))="Higher",IF(L311&gt;E311,"Improved",IF(L311=E311,"No change","Worse")),IF(L311&lt;E311,"Improved",IF(L311=E311,"No change","Worse"))))</f>
        <v/>
      </c>
      <c r="N311" s="67" t="str">
        <f t="shared" ca="1" si="4"/>
        <v/>
      </c>
      <c r="O311" s="69"/>
    </row>
    <row r="312" spans="1:15" x14ac:dyDescent="0.3">
      <c r="A312" s="69"/>
      <c r="B312" s="68"/>
      <c r="C312" s="69"/>
      <c r="D312" s="69"/>
      <c r="E312" s="69"/>
      <c r="F312" s="69"/>
      <c r="G312" s="69"/>
      <c r="H312" s="69"/>
      <c r="I312" s="68"/>
      <c r="J312" s="69"/>
      <c r="K312" s="68"/>
      <c r="L312" s="69"/>
      <c r="M312" s="67" t="str">
        <f>IF(OR(C312="",E312="",L312=""),"",IF(INDEX(KPI_Targets!$F$5:$F$20,MATCH(C312,KPI_Targets!$B$5:$B$20,0))="Higher",IF(L312&gt;E312,"Improved",IF(L312=E312,"No change","Worse")),IF(L312&lt;E312,"Improved",IF(L312=E312,"No change","Worse"))))</f>
        <v/>
      </c>
      <c r="N312" s="67" t="str">
        <f t="shared" ca="1" si="4"/>
        <v/>
      </c>
      <c r="O312" s="69"/>
    </row>
    <row r="313" spans="1:15" x14ac:dyDescent="0.3">
      <c r="A313" s="69"/>
      <c r="B313" s="68"/>
      <c r="C313" s="69"/>
      <c r="D313" s="69"/>
      <c r="E313" s="69"/>
      <c r="F313" s="69"/>
      <c r="G313" s="69"/>
      <c r="H313" s="69"/>
      <c r="I313" s="68"/>
      <c r="J313" s="69"/>
      <c r="K313" s="68"/>
      <c r="L313" s="69"/>
      <c r="M313" s="67" t="str">
        <f>IF(OR(C313="",E313="",L313=""),"",IF(INDEX(KPI_Targets!$F$5:$F$20,MATCH(C313,KPI_Targets!$B$5:$B$20,0))="Higher",IF(L313&gt;E313,"Improved",IF(L313=E313,"No change","Worse")),IF(L313&lt;E313,"Improved",IF(L313=E313,"No change","Worse"))))</f>
        <v/>
      </c>
      <c r="N313" s="67" t="str">
        <f t="shared" ca="1" si="4"/>
        <v/>
      </c>
      <c r="O313" s="69"/>
    </row>
    <row r="314" spans="1:15" x14ac:dyDescent="0.3">
      <c r="A314" s="69"/>
      <c r="B314" s="68"/>
      <c r="C314" s="69"/>
      <c r="D314" s="69"/>
      <c r="E314" s="69"/>
      <c r="F314" s="69"/>
      <c r="G314" s="69"/>
      <c r="H314" s="69"/>
      <c r="I314" s="68"/>
      <c r="J314" s="69"/>
      <c r="K314" s="68"/>
      <c r="L314" s="69"/>
      <c r="M314" s="67" t="str">
        <f>IF(OR(C314="",E314="",L314=""),"",IF(INDEX(KPI_Targets!$F$5:$F$20,MATCH(C314,KPI_Targets!$B$5:$B$20,0))="Higher",IF(L314&gt;E314,"Improved",IF(L314=E314,"No change","Worse")),IF(L314&lt;E314,"Improved",IF(L314=E314,"No change","Worse"))))</f>
        <v/>
      </c>
      <c r="N314" s="67" t="str">
        <f t="shared" ca="1" si="4"/>
        <v/>
      </c>
      <c r="O314" s="69"/>
    </row>
    <row r="315" spans="1:15" x14ac:dyDescent="0.3">
      <c r="A315" s="69"/>
      <c r="B315" s="68"/>
      <c r="C315" s="69"/>
      <c r="D315" s="69"/>
      <c r="E315" s="69"/>
      <c r="F315" s="69"/>
      <c r="G315" s="69"/>
      <c r="H315" s="69"/>
      <c r="I315" s="68"/>
      <c r="J315" s="69"/>
      <c r="K315" s="68"/>
      <c r="L315" s="69"/>
      <c r="M315" s="67" t="str">
        <f>IF(OR(C315="",E315="",L315=""),"",IF(INDEX(KPI_Targets!$F$5:$F$20,MATCH(C315,KPI_Targets!$B$5:$B$20,0))="Higher",IF(L315&gt;E315,"Improved",IF(L315=E315,"No change","Worse")),IF(L315&lt;E315,"Improved",IF(L315=E315,"No change","Worse"))))</f>
        <v/>
      </c>
      <c r="N315" s="67" t="str">
        <f t="shared" ca="1" si="4"/>
        <v/>
      </c>
      <c r="O315" s="69"/>
    </row>
    <row r="316" spans="1:15" x14ac:dyDescent="0.3">
      <c r="A316" s="69"/>
      <c r="B316" s="68"/>
      <c r="C316" s="69"/>
      <c r="D316" s="69"/>
      <c r="E316" s="69"/>
      <c r="F316" s="69"/>
      <c r="G316" s="69"/>
      <c r="H316" s="69"/>
      <c r="I316" s="68"/>
      <c r="J316" s="69"/>
      <c r="K316" s="68"/>
      <c r="L316" s="69"/>
      <c r="M316" s="67" t="str">
        <f>IF(OR(C316="",E316="",L316=""),"",IF(INDEX(KPI_Targets!$F$5:$F$20,MATCH(C316,KPI_Targets!$B$5:$B$20,0))="Higher",IF(L316&gt;E316,"Improved",IF(L316=E316,"No change","Worse")),IF(L316&lt;E316,"Improved",IF(L316=E316,"No change","Worse"))))</f>
        <v/>
      </c>
      <c r="N316" s="67" t="str">
        <f t="shared" ca="1" si="4"/>
        <v/>
      </c>
      <c r="O316" s="69"/>
    </row>
    <row r="317" spans="1:15" x14ac:dyDescent="0.3">
      <c r="A317" s="69"/>
      <c r="B317" s="68"/>
      <c r="C317" s="69"/>
      <c r="D317" s="69"/>
      <c r="E317" s="69"/>
      <c r="F317" s="69"/>
      <c r="G317" s="69"/>
      <c r="H317" s="69"/>
      <c r="I317" s="68"/>
      <c r="J317" s="69"/>
      <c r="K317" s="68"/>
      <c r="L317" s="69"/>
      <c r="M317" s="67" t="str">
        <f>IF(OR(C317="",E317="",L317=""),"",IF(INDEX(KPI_Targets!$F$5:$F$20,MATCH(C317,KPI_Targets!$B$5:$B$20,0))="Higher",IF(L317&gt;E317,"Improved",IF(L317=E317,"No change","Worse")),IF(L317&lt;E317,"Improved",IF(L317=E317,"No change","Worse"))))</f>
        <v/>
      </c>
      <c r="N317" s="67" t="str">
        <f t="shared" ca="1" si="4"/>
        <v/>
      </c>
      <c r="O317" s="69"/>
    </row>
    <row r="318" spans="1:15" x14ac:dyDescent="0.3">
      <c r="A318" s="69"/>
      <c r="B318" s="68"/>
      <c r="C318" s="69"/>
      <c r="D318" s="69"/>
      <c r="E318" s="69"/>
      <c r="F318" s="69"/>
      <c r="G318" s="69"/>
      <c r="H318" s="69"/>
      <c r="I318" s="68"/>
      <c r="J318" s="69"/>
      <c r="K318" s="68"/>
      <c r="L318" s="69"/>
      <c r="M318" s="67" t="str">
        <f>IF(OR(C318="",E318="",L318=""),"",IF(INDEX(KPI_Targets!$F$5:$F$20,MATCH(C318,KPI_Targets!$B$5:$B$20,0))="Higher",IF(L318&gt;E318,"Improved",IF(L318=E318,"No change","Worse")),IF(L318&lt;E318,"Improved",IF(L318=E318,"No change","Worse"))))</f>
        <v/>
      </c>
      <c r="N318" s="67" t="str">
        <f t="shared" ca="1" si="4"/>
        <v/>
      </c>
      <c r="O318" s="69"/>
    </row>
    <row r="319" spans="1:15" x14ac:dyDescent="0.3">
      <c r="A319" s="69"/>
      <c r="B319" s="68"/>
      <c r="C319" s="69"/>
      <c r="D319" s="69"/>
      <c r="E319" s="69"/>
      <c r="F319" s="69"/>
      <c r="G319" s="69"/>
      <c r="H319" s="69"/>
      <c r="I319" s="68"/>
      <c r="J319" s="69"/>
      <c r="K319" s="68"/>
      <c r="L319" s="69"/>
      <c r="M319" s="67" t="str">
        <f>IF(OR(C319="",E319="",L319=""),"",IF(INDEX(KPI_Targets!$F$5:$F$20,MATCH(C319,KPI_Targets!$B$5:$B$20,0))="Higher",IF(L319&gt;E319,"Improved",IF(L319=E319,"No change","Worse")),IF(L319&lt;E319,"Improved",IF(L319=E319,"No change","Worse"))))</f>
        <v/>
      </c>
      <c r="N319" s="67" t="str">
        <f t="shared" ca="1" si="4"/>
        <v/>
      </c>
      <c r="O319" s="69"/>
    </row>
    <row r="320" spans="1:15" x14ac:dyDescent="0.3">
      <c r="A320" s="69"/>
      <c r="B320" s="68"/>
      <c r="C320" s="69"/>
      <c r="D320" s="69"/>
      <c r="E320" s="69"/>
      <c r="F320" s="69"/>
      <c r="G320" s="69"/>
      <c r="H320" s="69"/>
      <c r="I320" s="68"/>
      <c r="J320" s="69"/>
      <c r="K320" s="68"/>
      <c r="L320" s="69"/>
      <c r="M320" s="67" t="str">
        <f>IF(OR(C320="",E320="",L320=""),"",IF(INDEX(KPI_Targets!$F$5:$F$20,MATCH(C320,KPI_Targets!$B$5:$B$20,0))="Higher",IF(L320&gt;E320,"Improved",IF(L320=E320,"No change","Worse")),IF(L320&lt;E320,"Improved",IF(L320=E320,"No change","Worse"))))</f>
        <v/>
      </c>
      <c r="N320" s="67" t="str">
        <f t="shared" ca="1" si="4"/>
        <v/>
      </c>
      <c r="O320" s="69"/>
    </row>
    <row r="321" spans="1:15" x14ac:dyDescent="0.3">
      <c r="A321" s="69"/>
      <c r="B321" s="68"/>
      <c r="C321" s="69"/>
      <c r="D321" s="69"/>
      <c r="E321" s="69"/>
      <c r="F321" s="69"/>
      <c r="G321" s="69"/>
      <c r="H321" s="69"/>
      <c r="I321" s="68"/>
      <c r="J321" s="69"/>
      <c r="K321" s="68"/>
      <c r="L321" s="69"/>
      <c r="M321" s="67" t="str">
        <f>IF(OR(C321="",E321="",L321=""),"",IF(INDEX(KPI_Targets!$F$5:$F$20,MATCH(C321,KPI_Targets!$B$5:$B$20,0))="Higher",IF(L321&gt;E321,"Improved",IF(L321=E321,"No change","Worse")),IF(L321&lt;E321,"Improved",IF(L321=E321,"No change","Worse"))))</f>
        <v/>
      </c>
      <c r="N321" s="67" t="str">
        <f t="shared" ca="1" si="4"/>
        <v/>
      </c>
      <c r="O321" s="69"/>
    </row>
    <row r="322" spans="1:15" x14ac:dyDescent="0.3">
      <c r="A322" s="69"/>
      <c r="B322" s="68"/>
      <c r="C322" s="69"/>
      <c r="D322" s="69"/>
      <c r="E322" s="69"/>
      <c r="F322" s="69"/>
      <c r="G322" s="69"/>
      <c r="H322" s="69"/>
      <c r="I322" s="68"/>
      <c r="J322" s="69"/>
      <c r="K322" s="68"/>
      <c r="L322" s="69"/>
      <c r="M322" s="67" t="str">
        <f>IF(OR(C322="",E322="",L322=""),"",IF(INDEX(KPI_Targets!$F$5:$F$20,MATCH(C322,KPI_Targets!$B$5:$B$20,0))="Higher",IF(L322&gt;E322,"Improved",IF(L322=E322,"No change","Worse")),IF(L322&lt;E322,"Improved",IF(L322=E322,"No change","Worse"))))</f>
        <v/>
      </c>
      <c r="N322" s="67" t="str">
        <f t="shared" ca="1" si="4"/>
        <v/>
      </c>
      <c r="O322" s="69"/>
    </row>
    <row r="323" spans="1:15" x14ac:dyDescent="0.3">
      <c r="A323" s="69"/>
      <c r="B323" s="68"/>
      <c r="C323" s="69"/>
      <c r="D323" s="69"/>
      <c r="E323" s="69"/>
      <c r="F323" s="69"/>
      <c r="G323" s="69"/>
      <c r="H323" s="69"/>
      <c r="I323" s="68"/>
      <c r="J323" s="69"/>
      <c r="K323" s="68"/>
      <c r="L323" s="69"/>
      <c r="M323" s="67" t="str">
        <f>IF(OR(C323="",E323="",L323=""),"",IF(INDEX(KPI_Targets!$F$5:$F$20,MATCH(C323,KPI_Targets!$B$5:$B$20,0))="Higher",IF(L323&gt;E323,"Improved",IF(L323=E323,"No change","Worse")),IF(L323&lt;E323,"Improved",IF(L323=E323,"No change","Worse"))))</f>
        <v/>
      </c>
      <c r="N323" s="67" t="str">
        <f t="shared" ca="1" si="4"/>
        <v/>
      </c>
      <c r="O323" s="69"/>
    </row>
    <row r="324" spans="1:15" x14ac:dyDescent="0.3">
      <c r="A324" s="69"/>
      <c r="B324" s="68"/>
      <c r="C324" s="69"/>
      <c r="D324" s="69"/>
      <c r="E324" s="69"/>
      <c r="F324" s="69"/>
      <c r="G324" s="69"/>
      <c r="H324" s="69"/>
      <c r="I324" s="68"/>
      <c r="J324" s="69"/>
      <c r="K324" s="68"/>
      <c r="L324" s="69"/>
      <c r="M324" s="67" t="str">
        <f>IF(OR(C324="",E324="",L324=""),"",IF(INDEX(KPI_Targets!$F$5:$F$20,MATCH(C324,KPI_Targets!$B$5:$B$20,0))="Higher",IF(L324&gt;E324,"Improved",IF(L324=E324,"No change","Worse")),IF(L324&lt;E324,"Improved",IF(L324=E324,"No change","Worse"))))</f>
        <v/>
      </c>
      <c r="N324" s="67" t="str">
        <f t="shared" ca="1" si="4"/>
        <v/>
      </c>
      <c r="O324" s="69"/>
    </row>
    <row r="325" spans="1:15" x14ac:dyDescent="0.3">
      <c r="A325" s="69"/>
      <c r="B325" s="68"/>
      <c r="C325" s="69"/>
      <c r="D325" s="69"/>
      <c r="E325" s="69"/>
      <c r="F325" s="69"/>
      <c r="G325" s="69"/>
      <c r="H325" s="69"/>
      <c r="I325" s="68"/>
      <c r="J325" s="69"/>
      <c r="K325" s="68"/>
      <c r="L325" s="69"/>
      <c r="M325" s="67" t="str">
        <f>IF(OR(C325="",E325="",L325=""),"",IF(INDEX(KPI_Targets!$F$5:$F$20,MATCH(C325,KPI_Targets!$B$5:$B$20,0))="Higher",IF(L325&gt;E325,"Improved",IF(L325=E325,"No change","Worse")),IF(L325&lt;E325,"Improved",IF(L325=E325,"No change","Worse"))))</f>
        <v/>
      </c>
      <c r="N325" s="67" t="str">
        <f t="shared" ref="N325:N388" ca="1" si="5">IF(B325="","",IF(OR(J325="Implemented",J325="Cancelled"),"Closed",IF(AND(I325&lt;&gt;"",I325&lt;TODAY()),"OVERDUE","On track")))</f>
        <v/>
      </c>
      <c r="O325" s="69"/>
    </row>
    <row r="326" spans="1:15" x14ac:dyDescent="0.3">
      <c r="A326" s="69"/>
      <c r="B326" s="68"/>
      <c r="C326" s="69"/>
      <c r="D326" s="69"/>
      <c r="E326" s="69"/>
      <c r="F326" s="69"/>
      <c r="G326" s="69"/>
      <c r="H326" s="69"/>
      <c r="I326" s="68"/>
      <c r="J326" s="69"/>
      <c r="K326" s="68"/>
      <c r="L326" s="69"/>
      <c r="M326" s="67" t="str">
        <f>IF(OR(C326="",E326="",L326=""),"",IF(INDEX(KPI_Targets!$F$5:$F$20,MATCH(C326,KPI_Targets!$B$5:$B$20,0))="Higher",IF(L326&gt;E326,"Improved",IF(L326=E326,"No change","Worse")),IF(L326&lt;E326,"Improved",IF(L326=E326,"No change","Worse"))))</f>
        <v/>
      </c>
      <c r="N326" s="67" t="str">
        <f t="shared" ca="1" si="5"/>
        <v/>
      </c>
      <c r="O326" s="69"/>
    </row>
    <row r="327" spans="1:15" x14ac:dyDescent="0.3">
      <c r="A327" s="69"/>
      <c r="B327" s="68"/>
      <c r="C327" s="69"/>
      <c r="D327" s="69"/>
      <c r="E327" s="69"/>
      <c r="F327" s="69"/>
      <c r="G327" s="69"/>
      <c r="H327" s="69"/>
      <c r="I327" s="68"/>
      <c r="J327" s="69"/>
      <c r="K327" s="68"/>
      <c r="L327" s="69"/>
      <c r="M327" s="67" t="str">
        <f>IF(OR(C327="",E327="",L327=""),"",IF(INDEX(KPI_Targets!$F$5:$F$20,MATCH(C327,KPI_Targets!$B$5:$B$20,0))="Higher",IF(L327&gt;E327,"Improved",IF(L327=E327,"No change","Worse")),IF(L327&lt;E327,"Improved",IF(L327=E327,"No change","Worse"))))</f>
        <v/>
      </c>
      <c r="N327" s="67" t="str">
        <f t="shared" ca="1" si="5"/>
        <v/>
      </c>
      <c r="O327" s="69"/>
    </row>
    <row r="328" spans="1:15" x14ac:dyDescent="0.3">
      <c r="A328" s="69"/>
      <c r="B328" s="68"/>
      <c r="C328" s="69"/>
      <c r="D328" s="69"/>
      <c r="E328" s="69"/>
      <c r="F328" s="69"/>
      <c r="G328" s="69"/>
      <c r="H328" s="69"/>
      <c r="I328" s="68"/>
      <c r="J328" s="69"/>
      <c r="K328" s="68"/>
      <c r="L328" s="69"/>
      <c r="M328" s="67" t="str">
        <f>IF(OR(C328="",E328="",L328=""),"",IF(INDEX(KPI_Targets!$F$5:$F$20,MATCH(C328,KPI_Targets!$B$5:$B$20,0))="Higher",IF(L328&gt;E328,"Improved",IF(L328=E328,"No change","Worse")),IF(L328&lt;E328,"Improved",IF(L328=E328,"No change","Worse"))))</f>
        <v/>
      </c>
      <c r="N328" s="67" t="str">
        <f t="shared" ca="1" si="5"/>
        <v/>
      </c>
      <c r="O328" s="69"/>
    </row>
    <row r="329" spans="1:15" x14ac:dyDescent="0.3">
      <c r="A329" s="69"/>
      <c r="B329" s="68"/>
      <c r="C329" s="69"/>
      <c r="D329" s="69"/>
      <c r="E329" s="69"/>
      <c r="F329" s="69"/>
      <c r="G329" s="69"/>
      <c r="H329" s="69"/>
      <c r="I329" s="68"/>
      <c r="J329" s="69"/>
      <c r="K329" s="68"/>
      <c r="L329" s="69"/>
      <c r="M329" s="67" t="str">
        <f>IF(OR(C329="",E329="",L329=""),"",IF(INDEX(KPI_Targets!$F$5:$F$20,MATCH(C329,KPI_Targets!$B$5:$B$20,0))="Higher",IF(L329&gt;E329,"Improved",IF(L329=E329,"No change","Worse")),IF(L329&lt;E329,"Improved",IF(L329=E329,"No change","Worse"))))</f>
        <v/>
      </c>
      <c r="N329" s="67" t="str">
        <f t="shared" ca="1" si="5"/>
        <v/>
      </c>
      <c r="O329" s="69"/>
    </row>
    <row r="330" spans="1:15" x14ac:dyDescent="0.3">
      <c r="A330" s="69"/>
      <c r="B330" s="68"/>
      <c r="C330" s="69"/>
      <c r="D330" s="69"/>
      <c r="E330" s="69"/>
      <c r="F330" s="69"/>
      <c r="G330" s="69"/>
      <c r="H330" s="69"/>
      <c r="I330" s="68"/>
      <c r="J330" s="69"/>
      <c r="K330" s="68"/>
      <c r="L330" s="69"/>
      <c r="M330" s="67" t="str">
        <f>IF(OR(C330="",E330="",L330=""),"",IF(INDEX(KPI_Targets!$F$5:$F$20,MATCH(C330,KPI_Targets!$B$5:$B$20,0))="Higher",IF(L330&gt;E330,"Improved",IF(L330=E330,"No change","Worse")),IF(L330&lt;E330,"Improved",IF(L330=E330,"No change","Worse"))))</f>
        <v/>
      </c>
      <c r="N330" s="67" t="str">
        <f t="shared" ca="1" si="5"/>
        <v/>
      </c>
      <c r="O330" s="69"/>
    </row>
    <row r="331" spans="1:15" x14ac:dyDescent="0.3">
      <c r="A331" s="69"/>
      <c r="B331" s="68"/>
      <c r="C331" s="69"/>
      <c r="D331" s="69"/>
      <c r="E331" s="69"/>
      <c r="F331" s="69"/>
      <c r="G331" s="69"/>
      <c r="H331" s="69"/>
      <c r="I331" s="68"/>
      <c r="J331" s="69"/>
      <c r="K331" s="68"/>
      <c r="L331" s="69"/>
      <c r="M331" s="67" t="str">
        <f>IF(OR(C331="",E331="",L331=""),"",IF(INDEX(KPI_Targets!$F$5:$F$20,MATCH(C331,KPI_Targets!$B$5:$B$20,0))="Higher",IF(L331&gt;E331,"Improved",IF(L331=E331,"No change","Worse")),IF(L331&lt;E331,"Improved",IF(L331=E331,"No change","Worse"))))</f>
        <v/>
      </c>
      <c r="N331" s="67" t="str">
        <f t="shared" ca="1" si="5"/>
        <v/>
      </c>
      <c r="O331" s="69"/>
    </row>
    <row r="332" spans="1:15" x14ac:dyDescent="0.3">
      <c r="A332" s="69"/>
      <c r="B332" s="68"/>
      <c r="C332" s="69"/>
      <c r="D332" s="69"/>
      <c r="E332" s="69"/>
      <c r="F332" s="69"/>
      <c r="G332" s="69"/>
      <c r="H332" s="69"/>
      <c r="I332" s="68"/>
      <c r="J332" s="69"/>
      <c r="K332" s="68"/>
      <c r="L332" s="69"/>
      <c r="M332" s="67" t="str">
        <f>IF(OR(C332="",E332="",L332=""),"",IF(INDEX(KPI_Targets!$F$5:$F$20,MATCH(C332,KPI_Targets!$B$5:$B$20,0))="Higher",IF(L332&gt;E332,"Improved",IF(L332=E332,"No change","Worse")),IF(L332&lt;E332,"Improved",IF(L332=E332,"No change","Worse"))))</f>
        <v/>
      </c>
      <c r="N332" s="67" t="str">
        <f t="shared" ca="1" si="5"/>
        <v/>
      </c>
      <c r="O332" s="69"/>
    </row>
    <row r="333" spans="1:15" x14ac:dyDescent="0.3">
      <c r="A333" s="69"/>
      <c r="B333" s="68"/>
      <c r="C333" s="69"/>
      <c r="D333" s="69"/>
      <c r="E333" s="69"/>
      <c r="F333" s="69"/>
      <c r="G333" s="69"/>
      <c r="H333" s="69"/>
      <c r="I333" s="68"/>
      <c r="J333" s="69"/>
      <c r="K333" s="68"/>
      <c r="L333" s="69"/>
      <c r="M333" s="67" t="str">
        <f>IF(OR(C333="",E333="",L333=""),"",IF(INDEX(KPI_Targets!$F$5:$F$20,MATCH(C333,KPI_Targets!$B$5:$B$20,0))="Higher",IF(L333&gt;E333,"Improved",IF(L333=E333,"No change","Worse")),IF(L333&lt;E333,"Improved",IF(L333=E333,"No change","Worse"))))</f>
        <v/>
      </c>
      <c r="N333" s="67" t="str">
        <f t="shared" ca="1" si="5"/>
        <v/>
      </c>
      <c r="O333" s="69"/>
    </row>
    <row r="334" spans="1:15" x14ac:dyDescent="0.3">
      <c r="A334" s="69"/>
      <c r="B334" s="68"/>
      <c r="C334" s="69"/>
      <c r="D334" s="69"/>
      <c r="E334" s="69"/>
      <c r="F334" s="69"/>
      <c r="G334" s="69"/>
      <c r="H334" s="69"/>
      <c r="I334" s="68"/>
      <c r="J334" s="69"/>
      <c r="K334" s="68"/>
      <c r="L334" s="69"/>
      <c r="M334" s="67" t="str">
        <f>IF(OR(C334="",E334="",L334=""),"",IF(INDEX(KPI_Targets!$F$5:$F$20,MATCH(C334,KPI_Targets!$B$5:$B$20,0))="Higher",IF(L334&gt;E334,"Improved",IF(L334=E334,"No change","Worse")),IF(L334&lt;E334,"Improved",IF(L334=E334,"No change","Worse"))))</f>
        <v/>
      </c>
      <c r="N334" s="67" t="str">
        <f t="shared" ca="1" si="5"/>
        <v/>
      </c>
      <c r="O334" s="69"/>
    </row>
    <row r="335" spans="1:15" x14ac:dyDescent="0.3">
      <c r="A335" s="69"/>
      <c r="B335" s="68"/>
      <c r="C335" s="69"/>
      <c r="D335" s="69"/>
      <c r="E335" s="69"/>
      <c r="F335" s="69"/>
      <c r="G335" s="69"/>
      <c r="H335" s="69"/>
      <c r="I335" s="68"/>
      <c r="J335" s="69"/>
      <c r="K335" s="68"/>
      <c r="L335" s="69"/>
      <c r="M335" s="67" t="str">
        <f>IF(OR(C335="",E335="",L335=""),"",IF(INDEX(KPI_Targets!$F$5:$F$20,MATCH(C335,KPI_Targets!$B$5:$B$20,0))="Higher",IF(L335&gt;E335,"Improved",IF(L335=E335,"No change","Worse")),IF(L335&lt;E335,"Improved",IF(L335=E335,"No change","Worse"))))</f>
        <v/>
      </c>
      <c r="N335" s="67" t="str">
        <f t="shared" ca="1" si="5"/>
        <v/>
      </c>
      <c r="O335" s="69"/>
    </row>
    <row r="336" spans="1:15" x14ac:dyDescent="0.3">
      <c r="A336" s="69"/>
      <c r="B336" s="68"/>
      <c r="C336" s="69"/>
      <c r="D336" s="69"/>
      <c r="E336" s="69"/>
      <c r="F336" s="69"/>
      <c r="G336" s="69"/>
      <c r="H336" s="69"/>
      <c r="I336" s="68"/>
      <c r="J336" s="69"/>
      <c r="K336" s="68"/>
      <c r="L336" s="69"/>
      <c r="M336" s="67" t="str">
        <f>IF(OR(C336="",E336="",L336=""),"",IF(INDEX(KPI_Targets!$F$5:$F$20,MATCH(C336,KPI_Targets!$B$5:$B$20,0))="Higher",IF(L336&gt;E336,"Improved",IF(L336=E336,"No change","Worse")),IF(L336&lt;E336,"Improved",IF(L336=E336,"No change","Worse"))))</f>
        <v/>
      </c>
      <c r="N336" s="67" t="str">
        <f t="shared" ca="1" si="5"/>
        <v/>
      </c>
      <c r="O336" s="69"/>
    </row>
    <row r="337" spans="1:15" x14ac:dyDescent="0.3">
      <c r="A337" s="69"/>
      <c r="B337" s="68"/>
      <c r="C337" s="69"/>
      <c r="D337" s="69"/>
      <c r="E337" s="69"/>
      <c r="F337" s="69"/>
      <c r="G337" s="69"/>
      <c r="H337" s="69"/>
      <c r="I337" s="68"/>
      <c r="J337" s="69"/>
      <c r="K337" s="68"/>
      <c r="L337" s="69"/>
      <c r="M337" s="67" t="str">
        <f>IF(OR(C337="",E337="",L337=""),"",IF(INDEX(KPI_Targets!$F$5:$F$20,MATCH(C337,KPI_Targets!$B$5:$B$20,0))="Higher",IF(L337&gt;E337,"Improved",IF(L337=E337,"No change","Worse")),IF(L337&lt;E337,"Improved",IF(L337=E337,"No change","Worse"))))</f>
        <v/>
      </c>
      <c r="N337" s="67" t="str">
        <f t="shared" ca="1" si="5"/>
        <v/>
      </c>
      <c r="O337" s="69"/>
    </row>
    <row r="338" spans="1:15" x14ac:dyDescent="0.3">
      <c r="A338" s="69"/>
      <c r="B338" s="68"/>
      <c r="C338" s="69"/>
      <c r="D338" s="69"/>
      <c r="E338" s="69"/>
      <c r="F338" s="69"/>
      <c r="G338" s="69"/>
      <c r="H338" s="69"/>
      <c r="I338" s="68"/>
      <c r="J338" s="69"/>
      <c r="K338" s="68"/>
      <c r="L338" s="69"/>
      <c r="M338" s="67" t="str">
        <f>IF(OR(C338="",E338="",L338=""),"",IF(INDEX(KPI_Targets!$F$5:$F$20,MATCH(C338,KPI_Targets!$B$5:$B$20,0))="Higher",IF(L338&gt;E338,"Improved",IF(L338=E338,"No change","Worse")),IF(L338&lt;E338,"Improved",IF(L338=E338,"No change","Worse"))))</f>
        <v/>
      </c>
      <c r="N338" s="67" t="str">
        <f t="shared" ca="1" si="5"/>
        <v/>
      </c>
      <c r="O338" s="69"/>
    </row>
    <row r="339" spans="1:15" x14ac:dyDescent="0.3">
      <c r="A339" s="69"/>
      <c r="B339" s="68"/>
      <c r="C339" s="69"/>
      <c r="D339" s="69"/>
      <c r="E339" s="69"/>
      <c r="F339" s="69"/>
      <c r="G339" s="69"/>
      <c r="H339" s="69"/>
      <c r="I339" s="68"/>
      <c r="J339" s="69"/>
      <c r="K339" s="68"/>
      <c r="L339" s="69"/>
      <c r="M339" s="67" t="str">
        <f>IF(OR(C339="",E339="",L339=""),"",IF(INDEX(KPI_Targets!$F$5:$F$20,MATCH(C339,KPI_Targets!$B$5:$B$20,0))="Higher",IF(L339&gt;E339,"Improved",IF(L339=E339,"No change","Worse")),IF(L339&lt;E339,"Improved",IF(L339=E339,"No change","Worse"))))</f>
        <v/>
      </c>
      <c r="N339" s="67" t="str">
        <f t="shared" ca="1" si="5"/>
        <v/>
      </c>
      <c r="O339" s="69"/>
    </row>
    <row r="340" spans="1:15" x14ac:dyDescent="0.3">
      <c r="A340" s="69"/>
      <c r="B340" s="68"/>
      <c r="C340" s="69"/>
      <c r="D340" s="69"/>
      <c r="E340" s="69"/>
      <c r="F340" s="69"/>
      <c r="G340" s="69"/>
      <c r="H340" s="69"/>
      <c r="I340" s="68"/>
      <c r="J340" s="69"/>
      <c r="K340" s="68"/>
      <c r="L340" s="69"/>
      <c r="M340" s="67" t="str">
        <f>IF(OR(C340="",E340="",L340=""),"",IF(INDEX(KPI_Targets!$F$5:$F$20,MATCH(C340,KPI_Targets!$B$5:$B$20,0))="Higher",IF(L340&gt;E340,"Improved",IF(L340=E340,"No change","Worse")),IF(L340&lt;E340,"Improved",IF(L340=E340,"No change","Worse"))))</f>
        <v/>
      </c>
      <c r="N340" s="67" t="str">
        <f t="shared" ca="1" si="5"/>
        <v/>
      </c>
      <c r="O340" s="69"/>
    </row>
    <row r="341" spans="1:15" x14ac:dyDescent="0.3">
      <c r="A341" s="69"/>
      <c r="B341" s="68"/>
      <c r="C341" s="69"/>
      <c r="D341" s="69"/>
      <c r="E341" s="69"/>
      <c r="F341" s="69"/>
      <c r="G341" s="69"/>
      <c r="H341" s="69"/>
      <c r="I341" s="68"/>
      <c r="J341" s="69"/>
      <c r="K341" s="68"/>
      <c r="L341" s="69"/>
      <c r="M341" s="67" t="str">
        <f>IF(OR(C341="",E341="",L341=""),"",IF(INDEX(KPI_Targets!$F$5:$F$20,MATCH(C341,KPI_Targets!$B$5:$B$20,0))="Higher",IF(L341&gt;E341,"Improved",IF(L341=E341,"No change","Worse")),IF(L341&lt;E341,"Improved",IF(L341=E341,"No change","Worse"))))</f>
        <v/>
      </c>
      <c r="N341" s="67" t="str">
        <f t="shared" ca="1" si="5"/>
        <v/>
      </c>
      <c r="O341" s="69"/>
    </row>
    <row r="342" spans="1:15" x14ac:dyDescent="0.3">
      <c r="A342" s="69"/>
      <c r="B342" s="68"/>
      <c r="C342" s="69"/>
      <c r="D342" s="69"/>
      <c r="E342" s="69"/>
      <c r="F342" s="69"/>
      <c r="G342" s="69"/>
      <c r="H342" s="69"/>
      <c r="I342" s="68"/>
      <c r="J342" s="69"/>
      <c r="K342" s="68"/>
      <c r="L342" s="69"/>
      <c r="M342" s="67" t="str">
        <f>IF(OR(C342="",E342="",L342=""),"",IF(INDEX(KPI_Targets!$F$5:$F$20,MATCH(C342,KPI_Targets!$B$5:$B$20,0))="Higher",IF(L342&gt;E342,"Improved",IF(L342=E342,"No change","Worse")),IF(L342&lt;E342,"Improved",IF(L342=E342,"No change","Worse"))))</f>
        <v/>
      </c>
      <c r="N342" s="67" t="str">
        <f t="shared" ca="1" si="5"/>
        <v/>
      </c>
      <c r="O342" s="69"/>
    </row>
    <row r="343" spans="1:15" x14ac:dyDescent="0.3">
      <c r="A343" s="69"/>
      <c r="B343" s="68"/>
      <c r="C343" s="69"/>
      <c r="D343" s="69"/>
      <c r="E343" s="69"/>
      <c r="F343" s="69"/>
      <c r="G343" s="69"/>
      <c r="H343" s="69"/>
      <c r="I343" s="68"/>
      <c r="J343" s="69"/>
      <c r="K343" s="68"/>
      <c r="L343" s="69"/>
      <c r="M343" s="67" t="str">
        <f>IF(OR(C343="",E343="",L343=""),"",IF(INDEX(KPI_Targets!$F$5:$F$20,MATCH(C343,KPI_Targets!$B$5:$B$20,0))="Higher",IF(L343&gt;E343,"Improved",IF(L343=E343,"No change","Worse")),IF(L343&lt;E343,"Improved",IF(L343=E343,"No change","Worse"))))</f>
        <v/>
      </c>
      <c r="N343" s="67" t="str">
        <f t="shared" ca="1" si="5"/>
        <v/>
      </c>
      <c r="O343" s="69"/>
    </row>
    <row r="344" spans="1:15" x14ac:dyDescent="0.3">
      <c r="A344" s="69"/>
      <c r="B344" s="68"/>
      <c r="C344" s="69"/>
      <c r="D344" s="69"/>
      <c r="E344" s="69"/>
      <c r="F344" s="69"/>
      <c r="G344" s="69"/>
      <c r="H344" s="69"/>
      <c r="I344" s="68"/>
      <c r="J344" s="69"/>
      <c r="K344" s="68"/>
      <c r="L344" s="69"/>
      <c r="M344" s="67" t="str">
        <f>IF(OR(C344="",E344="",L344=""),"",IF(INDEX(KPI_Targets!$F$5:$F$20,MATCH(C344,KPI_Targets!$B$5:$B$20,0))="Higher",IF(L344&gt;E344,"Improved",IF(L344=E344,"No change","Worse")),IF(L344&lt;E344,"Improved",IF(L344=E344,"No change","Worse"))))</f>
        <v/>
      </c>
      <c r="N344" s="67" t="str">
        <f t="shared" ca="1" si="5"/>
        <v/>
      </c>
      <c r="O344" s="69"/>
    </row>
    <row r="345" spans="1:15" x14ac:dyDescent="0.3">
      <c r="A345" s="69"/>
      <c r="B345" s="68"/>
      <c r="C345" s="69"/>
      <c r="D345" s="69"/>
      <c r="E345" s="69"/>
      <c r="F345" s="69"/>
      <c r="G345" s="69"/>
      <c r="H345" s="69"/>
      <c r="I345" s="68"/>
      <c r="J345" s="69"/>
      <c r="K345" s="68"/>
      <c r="L345" s="69"/>
      <c r="M345" s="67" t="str">
        <f>IF(OR(C345="",E345="",L345=""),"",IF(INDEX(KPI_Targets!$F$5:$F$20,MATCH(C345,KPI_Targets!$B$5:$B$20,0))="Higher",IF(L345&gt;E345,"Improved",IF(L345=E345,"No change","Worse")),IF(L345&lt;E345,"Improved",IF(L345=E345,"No change","Worse"))))</f>
        <v/>
      </c>
      <c r="N345" s="67" t="str">
        <f t="shared" ca="1" si="5"/>
        <v/>
      </c>
      <c r="O345" s="69"/>
    </row>
    <row r="346" spans="1:15" x14ac:dyDescent="0.3">
      <c r="A346" s="69"/>
      <c r="B346" s="68"/>
      <c r="C346" s="69"/>
      <c r="D346" s="69"/>
      <c r="E346" s="69"/>
      <c r="F346" s="69"/>
      <c r="G346" s="69"/>
      <c r="H346" s="69"/>
      <c r="I346" s="68"/>
      <c r="J346" s="69"/>
      <c r="K346" s="68"/>
      <c r="L346" s="69"/>
      <c r="M346" s="67" t="str">
        <f>IF(OR(C346="",E346="",L346=""),"",IF(INDEX(KPI_Targets!$F$5:$F$20,MATCH(C346,KPI_Targets!$B$5:$B$20,0))="Higher",IF(L346&gt;E346,"Improved",IF(L346=E346,"No change","Worse")),IF(L346&lt;E346,"Improved",IF(L346=E346,"No change","Worse"))))</f>
        <v/>
      </c>
      <c r="N346" s="67" t="str">
        <f t="shared" ca="1" si="5"/>
        <v/>
      </c>
      <c r="O346" s="69"/>
    </row>
    <row r="347" spans="1:15" x14ac:dyDescent="0.3">
      <c r="A347" s="69"/>
      <c r="B347" s="68"/>
      <c r="C347" s="69"/>
      <c r="D347" s="69"/>
      <c r="E347" s="69"/>
      <c r="F347" s="69"/>
      <c r="G347" s="69"/>
      <c r="H347" s="69"/>
      <c r="I347" s="68"/>
      <c r="J347" s="69"/>
      <c r="K347" s="68"/>
      <c r="L347" s="69"/>
      <c r="M347" s="67" t="str">
        <f>IF(OR(C347="",E347="",L347=""),"",IF(INDEX(KPI_Targets!$F$5:$F$20,MATCH(C347,KPI_Targets!$B$5:$B$20,0))="Higher",IF(L347&gt;E347,"Improved",IF(L347=E347,"No change","Worse")),IF(L347&lt;E347,"Improved",IF(L347=E347,"No change","Worse"))))</f>
        <v/>
      </c>
      <c r="N347" s="67" t="str">
        <f t="shared" ca="1" si="5"/>
        <v/>
      </c>
      <c r="O347" s="69"/>
    </row>
    <row r="348" spans="1:15" x14ac:dyDescent="0.3">
      <c r="A348" s="69"/>
      <c r="B348" s="68"/>
      <c r="C348" s="69"/>
      <c r="D348" s="69"/>
      <c r="E348" s="69"/>
      <c r="F348" s="69"/>
      <c r="G348" s="69"/>
      <c r="H348" s="69"/>
      <c r="I348" s="68"/>
      <c r="J348" s="69"/>
      <c r="K348" s="68"/>
      <c r="L348" s="69"/>
      <c r="M348" s="67" t="str">
        <f>IF(OR(C348="",E348="",L348=""),"",IF(INDEX(KPI_Targets!$F$5:$F$20,MATCH(C348,KPI_Targets!$B$5:$B$20,0))="Higher",IF(L348&gt;E348,"Improved",IF(L348=E348,"No change","Worse")),IF(L348&lt;E348,"Improved",IF(L348=E348,"No change","Worse"))))</f>
        <v/>
      </c>
      <c r="N348" s="67" t="str">
        <f t="shared" ca="1" si="5"/>
        <v/>
      </c>
      <c r="O348" s="69"/>
    </row>
    <row r="349" spans="1:15" x14ac:dyDescent="0.3">
      <c r="A349" s="69"/>
      <c r="B349" s="68"/>
      <c r="C349" s="69"/>
      <c r="D349" s="69"/>
      <c r="E349" s="69"/>
      <c r="F349" s="69"/>
      <c r="G349" s="69"/>
      <c r="H349" s="69"/>
      <c r="I349" s="68"/>
      <c r="J349" s="69"/>
      <c r="K349" s="68"/>
      <c r="L349" s="69"/>
      <c r="M349" s="67" t="str">
        <f>IF(OR(C349="",E349="",L349=""),"",IF(INDEX(KPI_Targets!$F$5:$F$20,MATCH(C349,KPI_Targets!$B$5:$B$20,0))="Higher",IF(L349&gt;E349,"Improved",IF(L349=E349,"No change","Worse")),IF(L349&lt;E349,"Improved",IF(L349=E349,"No change","Worse"))))</f>
        <v/>
      </c>
      <c r="N349" s="67" t="str">
        <f t="shared" ca="1" si="5"/>
        <v/>
      </c>
      <c r="O349" s="69"/>
    </row>
    <row r="350" spans="1:15" x14ac:dyDescent="0.3">
      <c r="A350" s="69"/>
      <c r="B350" s="68"/>
      <c r="C350" s="69"/>
      <c r="D350" s="69"/>
      <c r="E350" s="69"/>
      <c r="F350" s="69"/>
      <c r="G350" s="69"/>
      <c r="H350" s="69"/>
      <c r="I350" s="68"/>
      <c r="J350" s="69"/>
      <c r="K350" s="68"/>
      <c r="L350" s="69"/>
      <c r="M350" s="67" t="str">
        <f>IF(OR(C350="",E350="",L350=""),"",IF(INDEX(KPI_Targets!$F$5:$F$20,MATCH(C350,KPI_Targets!$B$5:$B$20,0))="Higher",IF(L350&gt;E350,"Improved",IF(L350=E350,"No change","Worse")),IF(L350&lt;E350,"Improved",IF(L350=E350,"No change","Worse"))))</f>
        <v/>
      </c>
      <c r="N350" s="67" t="str">
        <f t="shared" ca="1" si="5"/>
        <v/>
      </c>
      <c r="O350" s="69"/>
    </row>
    <row r="351" spans="1:15" x14ac:dyDescent="0.3">
      <c r="A351" s="69"/>
      <c r="B351" s="68"/>
      <c r="C351" s="69"/>
      <c r="D351" s="69"/>
      <c r="E351" s="69"/>
      <c r="F351" s="69"/>
      <c r="G351" s="69"/>
      <c r="H351" s="69"/>
      <c r="I351" s="68"/>
      <c r="J351" s="69"/>
      <c r="K351" s="68"/>
      <c r="L351" s="69"/>
      <c r="M351" s="67" t="str">
        <f>IF(OR(C351="",E351="",L351=""),"",IF(INDEX(KPI_Targets!$F$5:$F$20,MATCH(C351,KPI_Targets!$B$5:$B$20,0))="Higher",IF(L351&gt;E351,"Improved",IF(L351=E351,"No change","Worse")),IF(L351&lt;E351,"Improved",IF(L351=E351,"No change","Worse"))))</f>
        <v/>
      </c>
      <c r="N351" s="67" t="str">
        <f t="shared" ca="1" si="5"/>
        <v/>
      </c>
      <c r="O351" s="69"/>
    </row>
    <row r="352" spans="1:15" x14ac:dyDescent="0.3">
      <c r="A352" s="69"/>
      <c r="B352" s="68"/>
      <c r="C352" s="69"/>
      <c r="D352" s="69"/>
      <c r="E352" s="69"/>
      <c r="F352" s="69"/>
      <c r="G352" s="69"/>
      <c r="H352" s="69"/>
      <c r="I352" s="68"/>
      <c r="J352" s="69"/>
      <c r="K352" s="68"/>
      <c r="L352" s="69"/>
      <c r="M352" s="67" t="str">
        <f>IF(OR(C352="",E352="",L352=""),"",IF(INDEX(KPI_Targets!$F$5:$F$20,MATCH(C352,KPI_Targets!$B$5:$B$20,0))="Higher",IF(L352&gt;E352,"Improved",IF(L352=E352,"No change","Worse")),IF(L352&lt;E352,"Improved",IF(L352=E352,"No change","Worse"))))</f>
        <v/>
      </c>
      <c r="N352" s="67" t="str">
        <f t="shared" ca="1" si="5"/>
        <v/>
      </c>
      <c r="O352" s="69"/>
    </row>
    <row r="353" spans="1:15" x14ac:dyDescent="0.3">
      <c r="A353" s="69"/>
      <c r="B353" s="68"/>
      <c r="C353" s="69"/>
      <c r="D353" s="69"/>
      <c r="E353" s="69"/>
      <c r="F353" s="69"/>
      <c r="G353" s="69"/>
      <c r="H353" s="69"/>
      <c r="I353" s="68"/>
      <c r="J353" s="69"/>
      <c r="K353" s="68"/>
      <c r="L353" s="69"/>
      <c r="M353" s="67" t="str">
        <f>IF(OR(C353="",E353="",L353=""),"",IF(INDEX(KPI_Targets!$F$5:$F$20,MATCH(C353,KPI_Targets!$B$5:$B$20,0))="Higher",IF(L353&gt;E353,"Improved",IF(L353=E353,"No change","Worse")),IF(L353&lt;E353,"Improved",IF(L353=E353,"No change","Worse"))))</f>
        <v/>
      </c>
      <c r="N353" s="67" t="str">
        <f t="shared" ca="1" si="5"/>
        <v/>
      </c>
      <c r="O353" s="69"/>
    </row>
    <row r="354" spans="1:15" x14ac:dyDescent="0.3">
      <c r="A354" s="69"/>
      <c r="B354" s="68"/>
      <c r="C354" s="69"/>
      <c r="D354" s="69"/>
      <c r="E354" s="69"/>
      <c r="F354" s="69"/>
      <c r="G354" s="69"/>
      <c r="H354" s="69"/>
      <c r="I354" s="68"/>
      <c r="J354" s="69"/>
      <c r="K354" s="68"/>
      <c r="L354" s="69"/>
      <c r="M354" s="67" t="str">
        <f>IF(OR(C354="",E354="",L354=""),"",IF(INDEX(KPI_Targets!$F$5:$F$20,MATCH(C354,KPI_Targets!$B$5:$B$20,0))="Higher",IF(L354&gt;E354,"Improved",IF(L354=E354,"No change","Worse")),IF(L354&lt;E354,"Improved",IF(L354=E354,"No change","Worse"))))</f>
        <v/>
      </c>
      <c r="N354" s="67" t="str">
        <f t="shared" ca="1" si="5"/>
        <v/>
      </c>
      <c r="O354" s="69"/>
    </row>
    <row r="355" spans="1:15" x14ac:dyDescent="0.3">
      <c r="A355" s="69"/>
      <c r="B355" s="68"/>
      <c r="C355" s="69"/>
      <c r="D355" s="69"/>
      <c r="E355" s="69"/>
      <c r="F355" s="69"/>
      <c r="G355" s="69"/>
      <c r="H355" s="69"/>
      <c r="I355" s="68"/>
      <c r="J355" s="69"/>
      <c r="K355" s="68"/>
      <c r="L355" s="69"/>
      <c r="M355" s="67" t="str">
        <f>IF(OR(C355="",E355="",L355=""),"",IF(INDEX(KPI_Targets!$F$5:$F$20,MATCH(C355,KPI_Targets!$B$5:$B$20,0))="Higher",IF(L355&gt;E355,"Improved",IF(L355=E355,"No change","Worse")),IF(L355&lt;E355,"Improved",IF(L355=E355,"No change","Worse"))))</f>
        <v/>
      </c>
      <c r="N355" s="67" t="str">
        <f t="shared" ca="1" si="5"/>
        <v/>
      </c>
      <c r="O355" s="69"/>
    </row>
    <row r="356" spans="1:15" x14ac:dyDescent="0.3">
      <c r="A356" s="69"/>
      <c r="B356" s="68"/>
      <c r="C356" s="69"/>
      <c r="D356" s="69"/>
      <c r="E356" s="69"/>
      <c r="F356" s="69"/>
      <c r="G356" s="69"/>
      <c r="H356" s="69"/>
      <c r="I356" s="68"/>
      <c r="J356" s="69"/>
      <c r="K356" s="68"/>
      <c r="L356" s="69"/>
      <c r="M356" s="67" t="str">
        <f>IF(OR(C356="",E356="",L356=""),"",IF(INDEX(KPI_Targets!$F$5:$F$20,MATCH(C356,KPI_Targets!$B$5:$B$20,0))="Higher",IF(L356&gt;E356,"Improved",IF(L356=E356,"No change","Worse")),IF(L356&lt;E356,"Improved",IF(L356=E356,"No change","Worse"))))</f>
        <v/>
      </c>
      <c r="N356" s="67" t="str">
        <f t="shared" ca="1" si="5"/>
        <v/>
      </c>
      <c r="O356" s="69"/>
    </row>
    <row r="357" spans="1:15" x14ac:dyDescent="0.3">
      <c r="A357" s="69"/>
      <c r="B357" s="68"/>
      <c r="C357" s="69"/>
      <c r="D357" s="69"/>
      <c r="E357" s="69"/>
      <c r="F357" s="69"/>
      <c r="G357" s="69"/>
      <c r="H357" s="69"/>
      <c r="I357" s="68"/>
      <c r="J357" s="69"/>
      <c r="K357" s="68"/>
      <c r="L357" s="69"/>
      <c r="M357" s="67" t="str">
        <f>IF(OR(C357="",E357="",L357=""),"",IF(INDEX(KPI_Targets!$F$5:$F$20,MATCH(C357,KPI_Targets!$B$5:$B$20,0))="Higher",IF(L357&gt;E357,"Improved",IF(L357=E357,"No change","Worse")),IF(L357&lt;E357,"Improved",IF(L357=E357,"No change","Worse"))))</f>
        <v/>
      </c>
      <c r="N357" s="67" t="str">
        <f t="shared" ca="1" si="5"/>
        <v/>
      </c>
      <c r="O357" s="69"/>
    </row>
    <row r="358" spans="1:15" x14ac:dyDescent="0.3">
      <c r="A358" s="69"/>
      <c r="B358" s="68"/>
      <c r="C358" s="69"/>
      <c r="D358" s="69"/>
      <c r="E358" s="69"/>
      <c r="F358" s="69"/>
      <c r="G358" s="69"/>
      <c r="H358" s="69"/>
      <c r="I358" s="68"/>
      <c r="J358" s="69"/>
      <c r="K358" s="68"/>
      <c r="L358" s="69"/>
      <c r="M358" s="67" t="str">
        <f>IF(OR(C358="",E358="",L358=""),"",IF(INDEX(KPI_Targets!$F$5:$F$20,MATCH(C358,KPI_Targets!$B$5:$B$20,0))="Higher",IF(L358&gt;E358,"Improved",IF(L358=E358,"No change","Worse")),IF(L358&lt;E358,"Improved",IF(L358=E358,"No change","Worse"))))</f>
        <v/>
      </c>
      <c r="N358" s="67" t="str">
        <f t="shared" ca="1" si="5"/>
        <v/>
      </c>
      <c r="O358" s="69"/>
    </row>
    <row r="359" spans="1:15" x14ac:dyDescent="0.3">
      <c r="A359" s="69"/>
      <c r="B359" s="68"/>
      <c r="C359" s="69"/>
      <c r="D359" s="69"/>
      <c r="E359" s="69"/>
      <c r="F359" s="69"/>
      <c r="G359" s="69"/>
      <c r="H359" s="69"/>
      <c r="I359" s="68"/>
      <c r="J359" s="69"/>
      <c r="K359" s="68"/>
      <c r="L359" s="69"/>
      <c r="M359" s="67" t="str">
        <f>IF(OR(C359="",E359="",L359=""),"",IF(INDEX(KPI_Targets!$F$5:$F$20,MATCH(C359,KPI_Targets!$B$5:$B$20,0))="Higher",IF(L359&gt;E359,"Improved",IF(L359=E359,"No change","Worse")),IF(L359&lt;E359,"Improved",IF(L359=E359,"No change","Worse"))))</f>
        <v/>
      </c>
      <c r="N359" s="67" t="str">
        <f t="shared" ca="1" si="5"/>
        <v/>
      </c>
      <c r="O359" s="69"/>
    </row>
    <row r="360" spans="1:15" x14ac:dyDescent="0.3">
      <c r="A360" s="69"/>
      <c r="B360" s="68"/>
      <c r="C360" s="69"/>
      <c r="D360" s="69"/>
      <c r="E360" s="69"/>
      <c r="F360" s="69"/>
      <c r="G360" s="69"/>
      <c r="H360" s="69"/>
      <c r="I360" s="68"/>
      <c r="J360" s="69"/>
      <c r="K360" s="68"/>
      <c r="L360" s="69"/>
      <c r="M360" s="67" t="str">
        <f>IF(OR(C360="",E360="",L360=""),"",IF(INDEX(KPI_Targets!$F$5:$F$20,MATCH(C360,KPI_Targets!$B$5:$B$20,0))="Higher",IF(L360&gt;E360,"Improved",IF(L360=E360,"No change","Worse")),IF(L360&lt;E360,"Improved",IF(L360=E360,"No change","Worse"))))</f>
        <v/>
      </c>
      <c r="N360" s="67" t="str">
        <f t="shared" ca="1" si="5"/>
        <v/>
      </c>
      <c r="O360" s="69"/>
    </row>
    <row r="361" spans="1:15" x14ac:dyDescent="0.3">
      <c r="A361" s="69"/>
      <c r="B361" s="68"/>
      <c r="C361" s="69"/>
      <c r="D361" s="69"/>
      <c r="E361" s="69"/>
      <c r="F361" s="69"/>
      <c r="G361" s="69"/>
      <c r="H361" s="69"/>
      <c r="I361" s="68"/>
      <c r="J361" s="69"/>
      <c r="K361" s="68"/>
      <c r="L361" s="69"/>
      <c r="M361" s="67" t="str">
        <f>IF(OR(C361="",E361="",L361=""),"",IF(INDEX(KPI_Targets!$F$5:$F$20,MATCH(C361,KPI_Targets!$B$5:$B$20,0))="Higher",IF(L361&gt;E361,"Improved",IF(L361=E361,"No change","Worse")),IF(L361&lt;E361,"Improved",IF(L361=E361,"No change","Worse"))))</f>
        <v/>
      </c>
      <c r="N361" s="67" t="str">
        <f t="shared" ca="1" si="5"/>
        <v/>
      </c>
      <c r="O361" s="69"/>
    </row>
    <row r="362" spans="1:15" x14ac:dyDescent="0.3">
      <c r="A362" s="69"/>
      <c r="B362" s="68"/>
      <c r="C362" s="69"/>
      <c r="D362" s="69"/>
      <c r="E362" s="69"/>
      <c r="F362" s="69"/>
      <c r="G362" s="69"/>
      <c r="H362" s="69"/>
      <c r="I362" s="68"/>
      <c r="J362" s="69"/>
      <c r="K362" s="68"/>
      <c r="L362" s="69"/>
      <c r="M362" s="67" t="str">
        <f>IF(OR(C362="",E362="",L362=""),"",IF(INDEX(KPI_Targets!$F$5:$F$20,MATCH(C362,KPI_Targets!$B$5:$B$20,0))="Higher",IF(L362&gt;E362,"Improved",IF(L362=E362,"No change","Worse")),IF(L362&lt;E362,"Improved",IF(L362=E362,"No change","Worse"))))</f>
        <v/>
      </c>
      <c r="N362" s="67" t="str">
        <f t="shared" ca="1" si="5"/>
        <v/>
      </c>
      <c r="O362" s="69"/>
    </row>
    <row r="363" spans="1:15" x14ac:dyDescent="0.3">
      <c r="A363" s="69"/>
      <c r="B363" s="68"/>
      <c r="C363" s="69"/>
      <c r="D363" s="69"/>
      <c r="E363" s="69"/>
      <c r="F363" s="69"/>
      <c r="G363" s="69"/>
      <c r="H363" s="69"/>
      <c r="I363" s="68"/>
      <c r="J363" s="69"/>
      <c r="K363" s="68"/>
      <c r="L363" s="69"/>
      <c r="M363" s="67" t="str">
        <f>IF(OR(C363="",E363="",L363=""),"",IF(INDEX(KPI_Targets!$F$5:$F$20,MATCH(C363,KPI_Targets!$B$5:$B$20,0))="Higher",IF(L363&gt;E363,"Improved",IF(L363=E363,"No change","Worse")),IF(L363&lt;E363,"Improved",IF(L363=E363,"No change","Worse"))))</f>
        <v/>
      </c>
      <c r="N363" s="67" t="str">
        <f t="shared" ca="1" si="5"/>
        <v/>
      </c>
      <c r="O363" s="69"/>
    </row>
    <row r="364" spans="1:15" x14ac:dyDescent="0.3">
      <c r="A364" s="69"/>
      <c r="B364" s="68"/>
      <c r="C364" s="69"/>
      <c r="D364" s="69"/>
      <c r="E364" s="69"/>
      <c r="F364" s="69"/>
      <c r="G364" s="69"/>
      <c r="H364" s="69"/>
      <c r="I364" s="68"/>
      <c r="J364" s="69"/>
      <c r="K364" s="68"/>
      <c r="L364" s="69"/>
      <c r="M364" s="67" t="str">
        <f>IF(OR(C364="",E364="",L364=""),"",IF(INDEX(KPI_Targets!$F$5:$F$20,MATCH(C364,KPI_Targets!$B$5:$B$20,0))="Higher",IF(L364&gt;E364,"Improved",IF(L364=E364,"No change","Worse")),IF(L364&lt;E364,"Improved",IF(L364=E364,"No change","Worse"))))</f>
        <v/>
      </c>
      <c r="N364" s="67" t="str">
        <f t="shared" ca="1" si="5"/>
        <v/>
      </c>
      <c r="O364" s="69"/>
    </row>
    <row r="365" spans="1:15" x14ac:dyDescent="0.3">
      <c r="A365" s="69"/>
      <c r="B365" s="68"/>
      <c r="C365" s="69"/>
      <c r="D365" s="69"/>
      <c r="E365" s="69"/>
      <c r="F365" s="69"/>
      <c r="G365" s="69"/>
      <c r="H365" s="69"/>
      <c r="I365" s="68"/>
      <c r="J365" s="69"/>
      <c r="K365" s="68"/>
      <c r="L365" s="69"/>
      <c r="M365" s="67" t="str">
        <f>IF(OR(C365="",E365="",L365=""),"",IF(INDEX(KPI_Targets!$F$5:$F$20,MATCH(C365,KPI_Targets!$B$5:$B$20,0))="Higher",IF(L365&gt;E365,"Improved",IF(L365=E365,"No change","Worse")),IF(L365&lt;E365,"Improved",IF(L365=E365,"No change","Worse"))))</f>
        <v/>
      </c>
      <c r="N365" s="67" t="str">
        <f t="shared" ca="1" si="5"/>
        <v/>
      </c>
      <c r="O365" s="69"/>
    </row>
    <row r="366" spans="1:15" x14ac:dyDescent="0.3">
      <c r="A366" s="69"/>
      <c r="B366" s="68"/>
      <c r="C366" s="69"/>
      <c r="D366" s="69"/>
      <c r="E366" s="69"/>
      <c r="F366" s="69"/>
      <c r="G366" s="69"/>
      <c r="H366" s="69"/>
      <c r="I366" s="68"/>
      <c r="J366" s="69"/>
      <c r="K366" s="68"/>
      <c r="L366" s="69"/>
      <c r="M366" s="67" t="str">
        <f>IF(OR(C366="",E366="",L366=""),"",IF(INDEX(KPI_Targets!$F$5:$F$20,MATCH(C366,KPI_Targets!$B$5:$B$20,0))="Higher",IF(L366&gt;E366,"Improved",IF(L366=E366,"No change","Worse")),IF(L366&lt;E366,"Improved",IF(L366=E366,"No change","Worse"))))</f>
        <v/>
      </c>
      <c r="N366" s="67" t="str">
        <f t="shared" ca="1" si="5"/>
        <v/>
      </c>
      <c r="O366" s="69"/>
    </row>
    <row r="367" spans="1:15" x14ac:dyDescent="0.3">
      <c r="A367" s="69"/>
      <c r="B367" s="68"/>
      <c r="C367" s="69"/>
      <c r="D367" s="69"/>
      <c r="E367" s="69"/>
      <c r="F367" s="69"/>
      <c r="G367" s="69"/>
      <c r="H367" s="69"/>
      <c r="I367" s="68"/>
      <c r="J367" s="69"/>
      <c r="K367" s="68"/>
      <c r="L367" s="69"/>
      <c r="M367" s="67" t="str">
        <f>IF(OR(C367="",E367="",L367=""),"",IF(INDEX(KPI_Targets!$F$5:$F$20,MATCH(C367,KPI_Targets!$B$5:$B$20,0))="Higher",IF(L367&gt;E367,"Improved",IF(L367=E367,"No change","Worse")),IF(L367&lt;E367,"Improved",IF(L367=E367,"No change","Worse"))))</f>
        <v/>
      </c>
      <c r="N367" s="67" t="str">
        <f t="shared" ca="1" si="5"/>
        <v/>
      </c>
      <c r="O367" s="69"/>
    </row>
    <row r="368" spans="1:15" x14ac:dyDescent="0.3">
      <c r="A368" s="69"/>
      <c r="B368" s="68"/>
      <c r="C368" s="69"/>
      <c r="D368" s="69"/>
      <c r="E368" s="69"/>
      <c r="F368" s="69"/>
      <c r="G368" s="69"/>
      <c r="H368" s="69"/>
      <c r="I368" s="68"/>
      <c r="J368" s="69"/>
      <c r="K368" s="68"/>
      <c r="L368" s="69"/>
      <c r="M368" s="67" t="str">
        <f>IF(OR(C368="",E368="",L368=""),"",IF(INDEX(KPI_Targets!$F$5:$F$20,MATCH(C368,KPI_Targets!$B$5:$B$20,0))="Higher",IF(L368&gt;E368,"Improved",IF(L368=E368,"No change","Worse")),IF(L368&lt;E368,"Improved",IF(L368=E368,"No change","Worse"))))</f>
        <v/>
      </c>
      <c r="N368" s="67" t="str">
        <f t="shared" ca="1" si="5"/>
        <v/>
      </c>
      <c r="O368" s="69"/>
    </row>
    <row r="369" spans="1:15" x14ac:dyDescent="0.3">
      <c r="A369" s="69"/>
      <c r="B369" s="68"/>
      <c r="C369" s="69"/>
      <c r="D369" s="69"/>
      <c r="E369" s="69"/>
      <c r="F369" s="69"/>
      <c r="G369" s="69"/>
      <c r="H369" s="69"/>
      <c r="I369" s="68"/>
      <c r="J369" s="69"/>
      <c r="K369" s="68"/>
      <c r="L369" s="69"/>
      <c r="M369" s="67" t="str">
        <f>IF(OR(C369="",E369="",L369=""),"",IF(INDEX(KPI_Targets!$F$5:$F$20,MATCH(C369,KPI_Targets!$B$5:$B$20,0))="Higher",IF(L369&gt;E369,"Improved",IF(L369=E369,"No change","Worse")),IF(L369&lt;E369,"Improved",IF(L369=E369,"No change","Worse"))))</f>
        <v/>
      </c>
      <c r="N369" s="67" t="str">
        <f t="shared" ca="1" si="5"/>
        <v/>
      </c>
      <c r="O369" s="69"/>
    </row>
    <row r="370" spans="1:15" x14ac:dyDescent="0.3">
      <c r="A370" s="69"/>
      <c r="B370" s="68"/>
      <c r="C370" s="69"/>
      <c r="D370" s="69"/>
      <c r="E370" s="69"/>
      <c r="F370" s="69"/>
      <c r="G370" s="69"/>
      <c r="H370" s="69"/>
      <c r="I370" s="68"/>
      <c r="J370" s="69"/>
      <c r="K370" s="68"/>
      <c r="L370" s="69"/>
      <c r="M370" s="67" t="str">
        <f>IF(OR(C370="",E370="",L370=""),"",IF(INDEX(KPI_Targets!$F$5:$F$20,MATCH(C370,KPI_Targets!$B$5:$B$20,0))="Higher",IF(L370&gt;E370,"Improved",IF(L370=E370,"No change","Worse")),IF(L370&lt;E370,"Improved",IF(L370=E370,"No change","Worse"))))</f>
        <v/>
      </c>
      <c r="N370" s="67" t="str">
        <f t="shared" ca="1" si="5"/>
        <v/>
      </c>
      <c r="O370" s="69"/>
    </row>
    <row r="371" spans="1:15" x14ac:dyDescent="0.3">
      <c r="A371" s="69"/>
      <c r="B371" s="68"/>
      <c r="C371" s="69"/>
      <c r="D371" s="69"/>
      <c r="E371" s="69"/>
      <c r="F371" s="69"/>
      <c r="G371" s="69"/>
      <c r="H371" s="69"/>
      <c r="I371" s="68"/>
      <c r="J371" s="69"/>
      <c r="K371" s="68"/>
      <c r="L371" s="69"/>
      <c r="M371" s="67" t="str">
        <f>IF(OR(C371="",E371="",L371=""),"",IF(INDEX(KPI_Targets!$F$5:$F$20,MATCH(C371,KPI_Targets!$B$5:$B$20,0))="Higher",IF(L371&gt;E371,"Improved",IF(L371=E371,"No change","Worse")),IF(L371&lt;E371,"Improved",IF(L371=E371,"No change","Worse"))))</f>
        <v/>
      </c>
      <c r="N371" s="67" t="str">
        <f t="shared" ca="1" si="5"/>
        <v/>
      </c>
      <c r="O371" s="69"/>
    </row>
    <row r="372" spans="1:15" x14ac:dyDescent="0.3">
      <c r="A372" s="69"/>
      <c r="B372" s="68"/>
      <c r="C372" s="69"/>
      <c r="D372" s="69"/>
      <c r="E372" s="69"/>
      <c r="F372" s="69"/>
      <c r="G372" s="69"/>
      <c r="H372" s="69"/>
      <c r="I372" s="68"/>
      <c r="J372" s="69"/>
      <c r="K372" s="68"/>
      <c r="L372" s="69"/>
      <c r="M372" s="67" t="str">
        <f>IF(OR(C372="",E372="",L372=""),"",IF(INDEX(KPI_Targets!$F$5:$F$20,MATCH(C372,KPI_Targets!$B$5:$B$20,0))="Higher",IF(L372&gt;E372,"Improved",IF(L372=E372,"No change","Worse")),IF(L372&lt;E372,"Improved",IF(L372=E372,"No change","Worse"))))</f>
        <v/>
      </c>
      <c r="N372" s="67" t="str">
        <f t="shared" ca="1" si="5"/>
        <v/>
      </c>
      <c r="O372" s="69"/>
    </row>
    <row r="373" spans="1:15" x14ac:dyDescent="0.3">
      <c r="A373" s="69"/>
      <c r="B373" s="68"/>
      <c r="C373" s="69"/>
      <c r="D373" s="69"/>
      <c r="E373" s="69"/>
      <c r="F373" s="69"/>
      <c r="G373" s="69"/>
      <c r="H373" s="69"/>
      <c r="I373" s="68"/>
      <c r="J373" s="69"/>
      <c r="K373" s="68"/>
      <c r="L373" s="69"/>
      <c r="M373" s="67" t="str">
        <f>IF(OR(C373="",E373="",L373=""),"",IF(INDEX(KPI_Targets!$F$5:$F$20,MATCH(C373,KPI_Targets!$B$5:$B$20,0))="Higher",IF(L373&gt;E373,"Improved",IF(L373=E373,"No change","Worse")),IF(L373&lt;E373,"Improved",IF(L373=E373,"No change","Worse"))))</f>
        <v/>
      </c>
      <c r="N373" s="67" t="str">
        <f t="shared" ca="1" si="5"/>
        <v/>
      </c>
      <c r="O373" s="69"/>
    </row>
    <row r="374" spans="1:15" x14ac:dyDescent="0.3">
      <c r="A374" s="69"/>
      <c r="B374" s="68"/>
      <c r="C374" s="69"/>
      <c r="D374" s="69"/>
      <c r="E374" s="69"/>
      <c r="F374" s="69"/>
      <c r="G374" s="69"/>
      <c r="H374" s="69"/>
      <c r="I374" s="68"/>
      <c r="J374" s="69"/>
      <c r="K374" s="68"/>
      <c r="L374" s="69"/>
      <c r="M374" s="67" t="str">
        <f>IF(OR(C374="",E374="",L374=""),"",IF(INDEX(KPI_Targets!$F$5:$F$20,MATCH(C374,KPI_Targets!$B$5:$B$20,0))="Higher",IF(L374&gt;E374,"Improved",IF(L374=E374,"No change","Worse")),IF(L374&lt;E374,"Improved",IF(L374=E374,"No change","Worse"))))</f>
        <v/>
      </c>
      <c r="N374" s="67" t="str">
        <f t="shared" ca="1" si="5"/>
        <v/>
      </c>
      <c r="O374" s="69"/>
    </row>
    <row r="375" spans="1:15" x14ac:dyDescent="0.3">
      <c r="A375" s="69"/>
      <c r="B375" s="68"/>
      <c r="C375" s="69"/>
      <c r="D375" s="69"/>
      <c r="E375" s="69"/>
      <c r="F375" s="69"/>
      <c r="G375" s="69"/>
      <c r="H375" s="69"/>
      <c r="I375" s="68"/>
      <c r="J375" s="69"/>
      <c r="K375" s="68"/>
      <c r="L375" s="69"/>
      <c r="M375" s="67" t="str">
        <f>IF(OR(C375="",E375="",L375=""),"",IF(INDEX(KPI_Targets!$F$5:$F$20,MATCH(C375,KPI_Targets!$B$5:$B$20,0))="Higher",IF(L375&gt;E375,"Improved",IF(L375=E375,"No change","Worse")),IF(L375&lt;E375,"Improved",IF(L375=E375,"No change","Worse"))))</f>
        <v/>
      </c>
      <c r="N375" s="67" t="str">
        <f t="shared" ca="1" si="5"/>
        <v/>
      </c>
      <c r="O375" s="69"/>
    </row>
    <row r="376" spans="1:15" x14ac:dyDescent="0.3">
      <c r="A376" s="69"/>
      <c r="B376" s="68"/>
      <c r="C376" s="69"/>
      <c r="D376" s="69"/>
      <c r="E376" s="69"/>
      <c r="F376" s="69"/>
      <c r="G376" s="69"/>
      <c r="H376" s="69"/>
      <c r="I376" s="68"/>
      <c r="J376" s="69"/>
      <c r="K376" s="68"/>
      <c r="L376" s="69"/>
      <c r="M376" s="67" t="str">
        <f>IF(OR(C376="",E376="",L376=""),"",IF(INDEX(KPI_Targets!$F$5:$F$20,MATCH(C376,KPI_Targets!$B$5:$B$20,0))="Higher",IF(L376&gt;E376,"Improved",IF(L376=E376,"No change","Worse")),IF(L376&lt;E376,"Improved",IF(L376=E376,"No change","Worse"))))</f>
        <v/>
      </c>
      <c r="N376" s="67" t="str">
        <f t="shared" ca="1" si="5"/>
        <v/>
      </c>
      <c r="O376" s="69"/>
    </row>
    <row r="377" spans="1:15" x14ac:dyDescent="0.3">
      <c r="A377" s="69"/>
      <c r="B377" s="68"/>
      <c r="C377" s="69"/>
      <c r="D377" s="69"/>
      <c r="E377" s="69"/>
      <c r="F377" s="69"/>
      <c r="G377" s="69"/>
      <c r="H377" s="69"/>
      <c r="I377" s="68"/>
      <c r="J377" s="69"/>
      <c r="K377" s="68"/>
      <c r="L377" s="69"/>
      <c r="M377" s="67" t="str">
        <f>IF(OR(C377="",E377="",L377=""),"",IF(INDEX(KPI_Targets!$F$5:$F$20,MATCH(C377,KPI_Targets!$B$5:$B$20,0))="Higher",IF(L377&gt;E377,"Improved",IF(L377=E377,"No change","Worse")),IF(L377&lt;E377,"Improved",IF(L377=E377,"No change","Worse"))))</f>
        <v/>
      </c>
      <c r="N377" s="67" t="str">
        <f t="shared" ca="1" si="5"/>
        <v/>
      </c>
      <c r="O377" s="69"/>
    </row>
    <row r="378" spans="1:15" x14ac:dyDescent="0.3">
      <c r="A378" s="69"/>
      <c r="B378" s="68"/>
      <c r="C378" s="69"/>
      <c r="D378" s="69"/>
      <c r="E378" s="69"/>
      <c r="F378" s="69"/>
      <c r="G378" s="69"/>
      <c r="H378" s="69"/>
      <c r="I378" s="68"/>
      <c r="J378" s="69"/>
      <c r="K378" s="68"/>
      <c r="L378" s="69"/>
      <c r="M378" s="67" t="str">
        <f>IF(OR(C378="",E378="",L378=""),"",IF(INDEX(KPI_Targets!$F$5:$F$20,MATCH(C378,KPI_Targets!$B$5:$B$20,0))="Higher",IF(L378&gt;E378,"Improved",IF(L378=E378,"No change","Worse")),IF(L378&lt;E378,"Improved",IF(L378=E378,"No change","Worse"))))</f>
        <v/>
      </c>
      <c r="N378" s="67" t="str">
        <f t="shared" ca="1" si="5"/>
        <v/>
      </c>
      <c r="O378" s="69"/>
    </row>
    <row r="379" spans="1:15" x14ac:dyDescent="0.3">
      <c r="A379" s="69"/>
      <c r="B379" s="68"/>
      <c r="C379" s="69"/>
      <c r="D379" s="69"/>
      <c r="E379" s="69"/>
      <c r="F379" s="69"/>
      <c r="G379" s="69"/>
      <c r="H379" s="69"/>
      <c r="I379" s="68"/>
      <c r="J379" s="69"/>
      <c r="K379" s="68"/>
      <c r="L379" s="69"/>
      <c r="M379" s="67" t="str">
        <f>IF(OR(C379="",E379="",L379=""),"",IF(INDEX(KPI_Targets!$F$5:$F$20,MATCH(C379,KPI_Targets!$B$5:$B$20,0))="Higher",IF(L379&gt;E379,"Improved",IF(L379=E379,"No change","Worse")),IF(L379&lt;E379,"Improved",IF(L379=E379,"No change","Worse"))))</f>
        <v/>
      </c>
      <c r="N379" s="67" t="str">
        <f t="shared" ca="1" si="5"/>
        <v/>
      </c>
      <c r="O379" s="69"/>
    </row>
    <row r="380" spans="1:15" x14ac:dyDescent="0.3">
      <c r="A380" s="69"/>
      <c r="B380" s="68"/>
      <c r="C380" s="69"/>
      <c r="D380" s="69"/>
      <c r="E380" s="69"/>
      <c r="F380" s="69"/>
      <c r="G380" s="69"/>
      <c r="H380" s="69"/>
      <c r="I380" s="68"/>
      <c r="J380" s="69"/>
      <c r="K380" s="68"/>
      <c r="L380" s="69"/>
      <c r="M380" s="67" t="str">
        <f>IF(OR(C380="",E380="",L380=""),"",IF(INDEX(KPI_Targets!$F$5:$F$20,MATCH(C380,KPI_Targets!$B$5:$B$20,0))="Higher",IF(L380&gt;E380,"Improved",IF(L380=E380,"No change","Worse")),IF(L380&lt;E380,"Improved",IF(L380=E380,"No change","Worse"))))</f>
        <v/>
      </c>
      <c r="N380" s="67" t="str">
        <f t="shared" ca="1" si="5"/>
        <v/>
      </c>
      <c r="O380" s="69"/>
    </row>
    <row r="381" spans="1:15" x14ac:dyDescent="0.3">
      <c r="A381" s="69"/>
      <c r="B381" s="68"/>
      <c r="C381" s="69"/>
      <c r="D381" s="69"/>
      <c r="E381" s="69"/>
      <c r="F381" s="69"/>
      <c r="G381" s="69"/>
      <c r="H381" s="69"/>
      <c r="I381" s="68"/>
      <c r="J381" s="69"/>
      <c r="K381" s="68"/>
      <c r="L381" s="69"/>
      <c r="M381" s="67" t="str">
        <f>IF(OR(C381="",E381="",L381=""),"",IF(INDEX(KPI_Targets!$F$5:$F$20,MATCH(C381,KPI_Targets!$B$5:$B$20,0))="Higher",IF(L381&gt;E381,"Improved",IF(L381=E381,"No change","Worse")),IF(L381&lt;E381,"Improved",IF(L381=E381,"No change","Worse"))))</f>
        <v/>
      </c>
      <c r="N381" s="67" t="str">
        <f t="shared" ca="1" si="5"/>
        <v/>
      </c>
      <c r="O381" s="69"/>
    </row>
    <row r="382" spans="1:15" x14ac:dyDescent="0.3">
      <c r="A382" s="69"/>
      <c r="B382" s="68"/>
      <c r="C382" s="69"/>
      <c r="D382" s="69"/>
      <c r="E382" s="69"/>
      <c r="F382" s="69"/>
      <c r="G382" s="69"/>
      <c r="H382" s="69"/>
      <c r="I382" s="68"/>
      <c r="J382" s="69"/>
      <c r="K382" s="68"/>
      <c r="L382" s="69"/>
      <c r="M382" s="67" t="str">
        <f>IF(OR(C382="",E382="",L382=""),"",IF(INDEX(KPI_Targets!$F$5:$F$20,MATCH(C382,KPI_Targets!$B$5:$B$20,0))="Higher",IF(L382&gt;E382,"Improved",IF(L382=E382,"No change","Worse")),IF(L382&lt;E382,"Improved",IF(L382=E382,"No change","Worse"))))</f>
        <v/>
      </c>
      <c r="N382" s="67" t="str">
        <f t="shared" ca="1" si="5"/>
        <v/>
      </c>
      <c r="O382" s="69"/>
    </row>
    <row r="383" spans="1:15" x14ac:dyDescent="0.3">
      <c r="A383" s="69"/>
      <c r="B383" s="68"/>
      <c r="C383" s="69"/>
      <c r="D383" s="69"/>
      <c r="E383" s="69"/>
      <c r="F383" s="69"/>
      <c r="G383" s="69"/>
      <c r="H383" s="69"/>
      <c r="I383" s="68"/>
      <c r="J383" s="69"/>
      <c r="K383" s="68"/>
      <c r="L383" s="69"/>
      <c r="M383" s="67" t="str">
        <f>IF(OR(C383="",E383="",L383=""),"",IF(INDEX(KPI_Targets!$F$5:$F$20,MATCH(C383,KPI_Targets!$B$5:$B$20,0))="Higher",IF(L383&gt;E383,"Improved",IF(L383=E383,"No change","Worse")),IF(L383&lt;E383,"Improved",IF(L383=E383,"No change","Worse"))))</f>
        <v/>
      </c>
      <c r="N383" s="67" t="str">
        <f t="shared" ca="1" si="5"/>
        <v/>
      </c>
      <c r="O383" s="69"/>
    </row>
    <row r="384" spans="1:15" x14ac:dyDescent="0.3">
      <c r="A384" s="69"/>
      <c r="B384" s="68"/>
      <c r="C384" s="69"/>
      <c r="D384" s="69"/>
      <c r="E384" s="69"/>
      <c r="F384" s="69"/>
      <c r="G384" s="69"/>
      <c r="H384" s="69"/>
      <c r="I384" s="68"/>
      <c r="J384" s="69"/>
      <c r="K384" s="68"/>
      <c r="L384" s="69"/>
      <c r="M384" s="67" t="str">
        <f>IF(OR(C384="",E384="",L384=""),"",IF(INDEX(KPI_Targets!$F$5:$F$20,MATCH(C384,KPI_Targets!$B$5:$B$20,0))="Higher",IF(L384&gt;E384,"Improved",IF(L384=E384,"No change","Worse")),IF(L384&lt;E384,"Improved",IF(L384=E384,"No change","Worse"))))</f>
        <v/>
      </c>
      <c r="N384" s="67" t="str">
        <f t="shared" ca="1" si="5"/>
        <v/>
      </c>
      <c r="O384" s="69"/>
    </row>
    <row r="385" spans="1:15" x14ac:dyDescent="0.3">
      <c r="A385" s="69"/>
      <c r="B385" s="68"/>
      <c r="C385" s="69"/>
      <c r="D385" s="69"/>
      <c r="E385" s="69"/>
      <c r="F385" s="69"/>
      <c r="G385" s="69"/>
      <c r="H385" s="69"/>
      <c r="I385" s="68"/>
      <c r="J385" s="69"/>
      <c r="K385" s="68"/>
      <c r="L385" s="69"/>
      <c r="M385" s="67" t="str">
        <f>IF(OR(C385="",E385="",L385=""),"",IF(INDEX(KPI_Targets!$F$5:$F$20,MATCH(C385,KPI_Targets!$B$5:$B$20,0))="Higher",IF(L385&gt;E385,"Improved",IF(L385=E385,"No change","Worse")),IF(L385&lt;E385,"Improved",IF(L385=E385,"No change","Worse"))))</f>
        <v/>
      </c>
      <c r="N385" s="67" t="str">
        <f t="shared" ca="1" si="5"/>
        <v/>
      </c>
      <c r="O385" s="69"/>
    </row>
    <row r="386" spans="1:15" x14ac:dyDescent="0.3">
      <c r="A386" s="69"/>
      <c r="B386" s="68"/>
      <c r="C386" s="69"/>
      <c r="D386" s="69"/>
      <c r="E386" s="69"/>
      <c r="F386" s="69"/>
      <c r="G386" s="69"/>
      <c r="H386" s="69"/>
      <c r="I386" s="68"/>
      <c r="J386" s="69"/>
      <c r="K386" s="68"/>
      <c r="L386" s="69"/>
      <c r="M386" s="67" t="str">
        <f>IF(OR(C386="",E386="",L386=""),"",IF(INDEX(KPI_Targets!$F$5:$F$20,MATCH(C386,KPI_Targets!$B$5:$B$20,0))="Higher",IF(L386&gt;E386,"Improved",IF(L386=E386,"No change","Worse")),IF(L386&lt;E386,"Improved",IF(L386=E386,"No change","Worse"))))</f>
        <v/>
      </c>
      <c r="N386" s="67" t="str">
        <f t="shared" ca="1" si="5"/>
        <v/>
      </c>
      <c r="O386" s="69"/>
    </row>
    <row r="387" spans="1:15" x14ac:dyDescent="0.3">
      <c r="A387" s="69"/>
      <c r="B387" s="68"/>
      <c r="C387" s="69"/>
      <c r="D387" s="69"/>
      <c r="E387" s="69"/>
      <c r="F387" s="69"/>
      <c r="G387" s="69"/>
      <c r="H387" s="69"/>
      <c r="I387" s="68"/>
      <c r="J387" s="69"/>
      <c r="K387" s="68"/>
      <c r="L387" s="69"/>
      <c r="M387" s="67" t="str">
        <f>IF(OR(C387="",E387="",L387=""),"",IF(INDEX(KPI_Targets!$F$5:$F$20,MATCH(C387,KPI_Targets!$B$5:$B$20,0))="Higher",IF(L387&gt;E387,"Improved",IF(L387=E387,"No change","Worse")),IF(L387&lt;E387,"Improved",IF(L387=E387,"No change","Worse"))))</f>
        <v/>
      </c>
      <c r="N387" s="67" t="str">
        <f t="shared" ca="1" si="5"/>
        <v/>
      </c>
      <c r="O387" s="69"/>
    </row>
    <row r="388" spans="1:15" x14ac:dyDescent="0.3">
      <c r="A388" s="69"/>
      <c r="B388" s="68"/>
      <c r="C388" s="69"/>
      <c r="D388" s="69"/>
      <c r="E388" s="69"/>
      <c r="F388" s="69"/>
      <c r="G388" s="69"/>
      <c r="H388" s="69"/>
      <c r="I388" s="68"/>
      <c r="J388" s="69"/>
      <c r="K388" s="68"/>
      <c r="L388" s="69"/>
      <c r="M388" s="67" t="str">
        <f>IF(OR(C388="",E388="",L388=""),"",IF(INDEX(KPI_Targets!$F$5:$F$20,MATCH(C388,KPI_Targets!$B$5:$B$20,0))="Higher",IF(L388&gt;E388,"Improved",IF(L388=E388,"No change","Worse")),IF(L388&lt;E388,"Improved",IF(L388=E388,"No change","Worse"))))</f>
        <v/>
      </c>
      <c r="N388" s="67" t="str">
        <f t="shared" ca="1" si="5"/>
        <v/>
      </c>
      <c r="O388" s="69"/>
    </row>
    <row r="389" spans="1:15" x14ac:dyDescent="0.3">
      <c r="A389" s="69"/>
      <c r="B389" s="68"/>
      <c r="C389" s="69"/>
      <c r="D389" s="69"/>
      <c r="E389" s="69"/>
      <c r="F389" s="69"/>
      <c r="G389" s="69"/>
      <c r="H389" s="69"/>
      <c r="I389" s="68"/>
      <c r="J389" s="69"/>
      <c r="K389" s="68"/>
      <c r="L389" s="69"/>
      <c r="M389" s="67" t="str">
        <f>IF(OR(C389="",E389="",L389=""),"",IF(INDEX(KPI_Targets!$F$5:$F$20,MATCH(C389,KPI_Targets!$B$5:$B$20,0))="Higher",IF(L389&gt;E389,"Improved",IF(L389=E389,"No change","Worse")),IF(L389&lt;E389,"Improved",IF(L389=E389,"No change","Worse"))))</f>
        <v/>
      </c>
      <c r="N389" s="67" t="str">
        <f t="shared" ref="N389:N452" ca="1" si="6">IF(B389="","",IF(OR(J389="Implemented",J389="Cancelled"),"Closed",IF(AND(I389&lt;&gt;"",I389&lt;TODAY()),"OVERDUE","On track")))</f>
        <v/>
      </c>
      <c r="O389" s="69"/>
    </row>
    <row r="390" spans="1:15" x14ac:dyDescent="0.3">
      <c r="A390" s="69"/>
      <c r="B390" s="68"/>
      <c r="C390" s="69"/>
      <c r="D390" s="69"/>
      <c r="E390" s="69"/>
      <c r="F390" s="69"/>
      <c r="G390" s="69"/>
      <c r="H390" s="69"/>
      <c r="I390" s="68"/>
      <c r="J390" s="69"/>
      <c r="K390" s="68"/>
      <c r="L390" s="69"/>
      <c r="M390" s="67" t="str">
        <f>IF(OR(C390="",E390="",L390=""),"",IF(INDEX(KPI_Targets!$F$5:$F$20,MATCH(C390,KPI_Targets!$B$5:$B$20,0))="Higher",IF(L390&gt;E390,"Improved",IF(L390=E390,"No change","Worse")),IF(L390&lt;E390,"Improved",IF(L390=E390,"No change","Worse"))))</f>
        <v/>
      </c>
      <c r="N390" s="67" t="str">
        <f t="shared" ca="1" si="6"/>
        <v/>
      </c>
      <c r="O390" s="69"/>
    </row>
    <row r="391" spans="1:15" x14ac:dyDescent="0.3">
      <c r="A391" s="69"/>
      <c r="B391" s="68"/>
      <c r="C391" s="69"/>
      <c r="D391" s="69"/>
      <c r="E391" s="69"/>
      <c r="F391" s="69"/>
      <c r="G391" s="69"/>
      <c r="H391" s="69"/>
      <c r="I391" s="68"/>
      <c r="J391" s="69"/>
      <c r="K391" s="68"/>
      <c r="L391" s="69"/>
      <c r="M391" s="67" t="str">
        <f>IF(OR(C391="",E391="",L391=""),"",IF(INDEX(KPI_Targets!$F$5:$F$20,MATCH(C391,KPI_Targets!$B$5:$B$20,0))="Higher",IF(L391&gt;E391,"Improved",IF(L391=E391,"No change","Worse")),IF(L391&lt;E391,"Improved",IF(L391=E391,"No change","Worse"))))</f>
        <v/>
      </c>
      <c r="N391" s="67" t="str">
        <f t="shared" ca="1" si="6"/>
        <v/>
      </c>
      <c r="O391" s="69"/>
    </row>
    <row r="392" spans="1:15" x14ac:dyDescent="0.3">
      <c r="A392" s="69"/>
      <c r="B392" s="68"/>
      <c r="C392" s="69"/>
      <c r="D392" s="69"/>
      <c r="E392" s="69"/>
      <c r="F392" s="69"/>
      <c r="G392" s="69"/>
      <c r="H392" s="69"/>
      <c r="I392" s="68"/>
      <c r="J392" s="69"/>
      <c r="K392" s="68"/>
      <c r="L392" s="69"/>
      <c r="M392" s="67" t="str">
        <f>IF(OR(C392="",E392="",L392=""),"",IF(INDEX(KPI_Targets!$F$5:$F$20,MATCH(C392,KPI_Targets!$B$5:$B$20,0))="Higher",IF(L392&gt;E392,"Improved",IF(L392=E392,"No change","Worse")),IF(L392&lt;E392,"Improved",IF(L392=E392,"No change","Worse"))))</f>
        <v/>
      </c>
      <c r="N392" s="67" t="str">
        <f t="shared" ca="1" si="6"/>
        <v/>
      </c>
      <c r="O392" s="69"/>
    </row>
    <row r="393" spans="1:15" x14ac:dyDescent="0.3">
      <c r="A393" s="69"/>
      <c r="B393" s="68"/>
      <c r="C393" s="69"/>
      <c r="D393" s="69"/>
      <c r="E393" s="69"/>
      <c r="F393" s="69"/>
      <c r="G393" s="69"/>
      <c r="H393" s="69"/>
      <c r="I393" s="68"/>
      <c r="J393" s="69"/>
      <c r="K393" s="68"/>
      <c r="L393" s="69"/>
      <c r="M393" s="67" t="str">
        <f>IF(OR(C393="",E393="",L393=""),"",IF(INDEX(KPI_Targets!$F$5:$F$20,MATCH(C393,KPI_Targets!$B$5:$B$20,0))="Higher",IF(L393&gt;E393,"Improved",IF(L393=E393,"No change","Worse")),IF(L393&lt;E393,"Improved",IF(L393=E393,"No change","Worse"))))</f>
        <v/>
      </c>
      <c r="N393" s="67" t="str">
        <f t="shared" ca="1" si="6"/>
        <v/>
      </c>
      <c r="O393" s="69"/>
    </row>
    <row r="394" spans="1:15" x14ac:dyDescent="0.3">
      <c r="A394" s="69"/>
      <c r="B394" s="68"/>
      <c r="C394" s="69"/>
      <c r="D394" s="69"/>
      <c r="E394" s="69"/>
      <c r="F394" s="69"/>
      <c r="G394" s="69"/>
      <c r="H394" s="69"/>
      <c r="I394" s="68"/>
      <c r="J394" s="69"/>
      <c r="K394" s="68"/>
      <c r="L394" s="69"/>
      <c r="M394" s="67" t="str">
        <f>IF(OR(C394="",E394="",L394=""),"",IF(INDEX(KPI_Targets!$F$5:$F$20,MATCH(C394,KPI_Targets!$B$5:$B$20,0))="Higher",IF(L394&gt;E394,"Improved",IF(L394=E394,"No change","Worse")),IF(L394&lt;E394,"Improved",IF(L394=E394,"No change","Worse"))))</f>
        <v/>
      </c>
      <c r="N394" s="67" t="str">
        <f t="shared" ca="1" si="6"/>
        <v/>
      </c>
      <c r="O394" s="69"/>
    </row>
    <row r="395" spans="1:15" x14ac:dyDescent="0.3">
      <c r="A395" s="69"/>
      <c r="B395" s="68"/>
      <c r="C395" s="69"/>
      <c r="D395" s="69"/>
      <c r="E395" s="69"/>
      <c r="F395" s="69"/>
      <c r="G395" s="69"/>
      <c r="H395" s="69"/>
      <c r="I395" s="68"/>
      <c r="J395" s="69"/>
      <c r="K395" s="68"/>
      <c r="L395" s="69"/>
      <c r="M395" s="67" t="str">
        <f>IF(OR(C395="",E395="",L395=""),"",IF(INDEX(KPI_Targets!$F$5:$F$20,MATCH(C395,KPI_Targets!$B$5:$B$20,0))="Higher",IF(L395&gt;E395,"Improved",IF(L395=E395,"No change","Worse")),IF(L395&lt;E395,"Improved",IF(L395=E395,"No change","Worse"))))</f>
        <v/>
      </c>
      <c r="N395" s="67" t="str">
        <f t="shared" ca="1" si="6"/>
        <v/>
      </c>
      <c r="O395" s="69"/>
    </row>
    <row r="396" spans="1:15" x14ac:dyDescent="0.3">
      <c r="A396" s="69"/>
      <c r="B396" s="68"/>
      <c r="C396" s="69"/>
      <c r="D396" s="69"/>
      <c r="E396" s="69"/>
      <c r="F396" s="69"/>
      <c r="G396" s="69"/>
      <c r="H396" s="69"/>
      <c r="I396" s="68"/>
      <c r="J396" s="69"/>
      <c r="K396" s="68"/>
      <c r="L396" s="69"/>
      <c r="M396" s="67" t="str">
        <f>IF(OR(C396="",E396="",L396=""),"",IF(INDEX(KPI_Targets!$F$5:$F$20,MATCH(C396,KPI_Targets!$B$5:$B$20,0))="Higher",IF(L396&gt;E396,"Improved",IF(L396=E396,"No change","Worse")),IF(L396&lt;E396,"Improved",IF(L396=E396,"No change","Worse"))))</f>
        <v/>
      </c>
      <c r="N396" s="67" t="str">
        <f t="shared" ca="1" si="6"/>
        <v/>
      </c>
      <c r="O396" s="69"/>
    </row>
    <row r="397" spans="1:15" x14ac:dyDescent="0.3">
      <c r="A397" s="69"/>
      <c r="B397" s="68"/>
      <c r="C397" s="69"/>
      <c r="D397" s="69"/>
      <c r="E397" s="69"/>
      <c r="F397" s="69"/>
      <c r="G397" s="69"/>
      <c r="H397" s="69"/>
      <c r="I397" s="68"/>
      <c r="J397" s="69"/>
      <c r="K397" s="68"/>
      <c r="L397" s="69"/>
      <c r="M397" s="67" t="str">
        <f>IF(OR(C397="",E397="",L397=""),"",IF(INDEX(KPI_Targets!$F$5:$F$20,MATCH(C397,KPI_Targets!$B$5:$B$20,0))="Higher",IF(L397&gt;E397,"Improved",IF(L397=E397,"No change","Worse")),IF(L397&lt;E397,"Improved",IF(L397=E397,"No change","Worse"))))</f>
        <v/>
      </c>
      <c r="N397" s="67" t="str">
        <f t="shared" ca="1" si="6"/>
        <v/>
      </c>
      <c r="O397" s="69"/>
    </row>
    <row r="398" spans="1:15" x14ac:dyDescent="0.3">
      <c r="A398" s="69"/>
      <c r="B398" s="68"/>
      <c r="C398" s="69"/>
      <c r="D398" s="69"/>
      <c r="E398" s="69"/>
      <c r="F398" s="69"/>
      <c r="G398" s="69"/>
      <c r="H398" s="69"/>
      <c r="I398" s="68"/>
      <c r="J398" s="69"/>
      <c r="K398" s="68"/>
      <c r="L398" s="69"/>
      <c r="M398" s="67" t="str">
        <f>IF(OR(C398="",E398="",L398=""),"",IF(INDEX(KPI_Targets!$F$5:$F$20,MATCH(C398,KPI_Targets!$B$5:$B$20,0))="Higher",IF(L398&gt;E398,"Improved",IF(L398=E398,"No change","Worse")),IF(L398&lt;E398,"Improved",IF(L398=E398,"No change","Worse"))))</f>
        <v/>
      </c>
      <c r="N398" s="67" t="str">
        <f t="shared" ca="1" si="6"/>
        <v/>
      </c>
      <c r="O398" s="69"/>
    </row>
    <row r="399" spans="1:15" x14ac:dyDescent="0.3">
      <c r="A399" s="69"/>
      <c r="B399" s="68"/>
      <c r="C399" s="69"/>
      <c r="D399" s="69"/>
      <c r="E399" s="69"/>
      <c r="F399" s="69"/>
      <c r="G399" s="69"/>
      <c r="H399" s="69"/>
      <c r="I399" s="68"/>
      <c r="J399" s="69"/>
      <c r="K399" s="68"/>
      <c r="L399" s="69"/>
      <c r="M399" s="67" t="str">
        <f>IF(OR(C399="",E399="",L399=""),"",IF(INDEX(KPI_Targets!$F$5:$F$20,MATCH(C399,KPI_Targets!$B$5:$B$20,0))="Higher",IF(L399&gt;E399,"Improved",IF(L399=E399,"No change","Worse")),IF(L399&lt;E399,"Improved",IF(L399=E399,"No change","Worse"))))</f>
        <v/>
      </c>
      <c r="N399" s="67" t="str">
        <f t="shared" ca="1" si="6"/>
        <v/>
      </c>
      <c r="O399" s="69"/>
    </row>
    <row r="400" spans="1:15" x14ac:dyDescent="0.3">
      <c r="A400" s="69"/>
      <c r="B400" s="68"/>
      <c r="C400" s="69"/>
      <c r="D400" s="69"/>
      <c r="E400" s="69"/>
      <c r="F400" s="69"/>
      <c r="G400" s="69"/>
      <c r="H400" s="69"/>
      <c r="I400" s="68"/>
      <c r="J400" s="69"/>
      <c r="K400" s="68"/>
      <c r="L400" s="69"/>
      <c r="M400" s="67" t="str">
        <f>IF(OR(C400="",E400="",L400=""),"",IF(INDEX(KPI_Targets!$F$5:$F$20,MATCH(C400,KPI_Targets!$B$5:$B$20,0))="Higher",IF(L400&gt;E400,"Improved",IF(L400=E400,"No change","Worse")),IF(L400&lt;E400,"Improved",IF(L400=E400,"No change","Worse"))))</f>
        <v/>
      </c>
      <c r="N400" s="67" t="str">
        <f t="shared" ca="1" si="6"/>
        <v/>
      </c>
      <c r="O400" s="69"/>
    </row>
    <row r="401" spans="1:15" x14ac:dyDescent="0.3">
      <c r="A401" s="69"/>
      <c r="B401" s="68"/>
      <c r="C401" s="69"/>
      <c r="D401" s="69"/>
      <c r="E401" s="69"/>
      <c r="F401" s="69"/>
      <c r="G401" s="69"/>
      <c r="H401" s="69"/>
      <c r="I401" s="68"/>
      <c r="J401" s="69"/>
      <c r="K401" s="68"/>
      <c r="L401" s="69"/>
      <c r="M401" s="67" t="str">
        <f>IF(OR(C401="",E401="",L401=""),"",IF(INDEX(KPI_Targets!$F$5:$F$20,MATCH(C401,KPI_Targets!$B$5:$B$20,0))="Higher",IF(L401&gt;E401,"Improved",IF(L401=E401,"No change","Worse")),IF(L401&lt;E401,"Improved",IF(L401=E401,"No change","Worse"))))</f>
        <v/>
      </c>
      <c r="N401" s="67" t="str">
        <f t="shared" ca="1" si="6"/>
        <v/>
      </c>
      <c r="O401" s="69"/>
    </row>
    <row r="402" spans="1:15" x14ac:dyDescent="0.3">
      <c r="A402" s="69"/>
      <c r="B402" s="68"/>
      <c r="C402" s="69"/>
      <c r="D402" s="69"/>
      <c r="E402" s="69"/>
      <c r="F402" s="69"/>
      <c r="G402" s="69"/>
      <c r="H402" s="69"/>
      <c r="I402" s="68"/>
      <c r="J402" s="69"/>
      <c r="K402" s="68"/>
      <c r="L402" s="69"/>
      <c r="M402" s="67" t="str">
        <f>IF(OR(C402="",E402="",L402=""),"",IF(INDEX(KPI_Targets!$F$5:$F$20,MATCH(C402,KPI_Targets!$B$5:$B$20,0))="Higher",IF(L402&gt;E402,"Improved",IF(L402=E402,"No change","Worse")),IF(L402&lt;E402,"Improved",IF(L402=E402,"No change","Worse"))))</f>
        <v/>
      </c>
      <c r="N402" s="67" t="str">
        <f t="shared" ca="1" si="6"/>
        <v/>
      </c>
      <c r="O402" s="69"/>
    </row>
    <row r="403" spans="1:15" x14ac:dyDescent="0.3">
      <c r="A403" s="69"/>
      <c r="B403" s="68"/>
      <c r="C403" s="69"/>
      <c r="D403" s="69"/>
      <c r="E403" s="69"/>
      <c r="F403" s="69"/>
      <c r="G403" s="69"/>
      <c r="H403" s="69"/>
      <c r="I403" s="68"/>
      <c r="J403" s="69"/>
      <c r="K403" s="68"/>
      <c r="L403" s="69"/>
      <c r="M403" s="67" t="str">
        <f>IF(OR(C403="",E403="",L403=""),"",IF(INDEX(KPI_Targets!$F$5:$F$20,MATCH(C403,KPI_Targets!$B$5:$B$20,0))="Higher",IF(L403&gt;E403,"Improved",IF(L403=E403,"No change","Worse")),IF(L403&lt;E403,"Improved",IF(L403=E403,"No change","Worse"))))</f>
        <v/>
      </c>
      <c r="N403" s="67" t="str">
        <f t="shared" ca="1" si="6"/>
        <v/>
      </c>
      <c r="O403" s="69"/>
    </row>
    <row r="404" spans="1:15" x14ac:dyDescent="0.3">
      <c r="A404" s="69"/>
      <c r="B404" s="68"/>
      <c r="C404" s="69"/>
      <c r="D404" s="69"/>
      <c r="E404" s="69"/>
      <c r="F404" s="69"/>
      <c r="G404" s="69"/>
      <c r="H404" s="69"/>
      <c r="I404" s="68"/>
      <c r="J404" s="69"/>
      <c r="K404" s="68"/>
      <c r="L404" s="69"/>
      <c r="M404" s="67" t="str">
        <f>IF(OR(C404="",E404="",L404=""),"",IF(INDEX(KPI_Targets!$F$5:$F$20,MATCH(C404,KPI_Targets!$B$5:$B$20,0))="Higher",IF(L404&gt;E404,"Improved",IF(L404=E404,"No change","Worse")),IF(L404&lt;E404,"Improved",IF(L404=E404,"No change","Worse"))))</f>
        <v/>
      </c>
      <c r="N404" s="67" t="str">
        <f t="shared" ca="1" si="6"/>
        <v/>
      </c>
      <c r="O404" s="69"/>
    </row>
    <row r="405" spans="1:15" x14ac:dyDescent="0.3">
      <c r="A405" s="69"/>
      <c r="B405" s="68"/>
      <c r="C405" s="69"/>
      <c r="D405" s="69"/>
      <c r="E405" s="69"/>
      <c r="F405" s="69"/>
      <c r="G405" s="69"/>
      <c r="H405" s="69"/>
      <c r="I405" s="68"/>
      <c r="J405" s="69"/>
      <c r="K405" s="68"/>
      <c r="L405" s="69"/>
      <c r="M405" s="67" t="str">
        <f>IF(OR(C405="",E405="",L405=""),"",IF(INDEX(KPI_Targets!$F$5:$F$20,MATCH(C405,KPI_Targets!$B$5:$B$20,0))="Higher",IF(L405&gt;E405,"Improved",IF(L405=E405,"No change","Worse")),IF(L405&lt;E405,"Improved",IF(L405=E405,"No change","Worse"))))</f>
        <v/>
      </c>
      <c r="N405" s="67" t="str">
        <f t="shared" ca="1" si="6"/>
        <v/>
      </c>
      <c r="O405" s="69"/>
    </row>
    <row r="406" spans="1:15" x14ac:dyDescent="0.3">
      <c r="A406" s="69"/>
      <c r="B406" s="68"/>
      <c r="C406" s="69"/>
      <c r="D406" s="69"/>
      <c r="E406" s="69"/>
      <c r="F406" s="69"/>
      <c r="G406" s="69"/>
      <c r="H406" s="69"/>
      <c r="I406" s="68"/>
      <c r="J406" s="69"/>
      <c r="K406" s="68"/>
      <c r="L406" s="69"/>
      <c r="M406" s="67" t="str">
        <f>IF(OR(C406="",E406="",L406=""),"",IF(INDEX(KPI_Targets!$F$5:$F$20,MATCH(C406,KPI_Targets!$B$5:$B$20,0))="Higher",IF(L406&gt;E406,"Improved",IF(L406=E406,"No change","Worse")),IF(L406&lt;E406,"Improved",IF(L406=E406,"No change","Worse"))))</f>
        <v/>
      </c>
      <c r="N406" s="67" t="str">
        <f t="shared" ca="1" si="6"/>
        <v/>
      </c>
      <c r="O406" s="69"/>
    </row>
    <row r="407" spans="1:15" x14ac:dyDescent="0.3">
      <c r="A407" s="69"/>
      <c r="B407" s="68"/>
      <c r="C407" s="69"/>
      <c r="D407" s="69"/>
      <c r="E407" s="69"/>
      <c r="F407" s="69"/>
      <c r="G407" s="69"/>
      <c r="H407" s="69"/>
      <c r="I407" s="68"/>
      <c r="J407" s="69"/>
      <c r="K407" s="68"/>
      <c r="L407" s="69"/>
      <c r="M407" s="67" t="str">
        <f>IF(OR(C407="",E407="",L407=""),"",IF(INDEX(KPI_Targets!$F$5:$F$20,MATCH(C407,KPI_Targets!$B$5:$B$20,0))="Higher",IF(L407&gt;E407,"Improved",IF(L407=E407,"No change","Worse")),IF(L407&lt;E407,"Improved",IF(L407=E407,"No change","Worse"))))</f>
        <v/>
      </c>
      <c r="N407" s="67" t="str">
        <f t="shared" ca="1" si="6"/>
        <v/>
      </c>
      <c r="O407" s="69"/>
    </row>
    <row r="408" spans="1:15" x14ac:dyDescent="0.3">
      <c r="A408" s="69"/>
      <c r="B408" s="68"/>
      <c r="C408" s="69"/>
      <c r="D408" s="69"/>
      <c r="E408" s="69"/>
      <c r="F408" s="69"/>
      <c r="G408" s="69"/>
      <c r="H408" s="69"/>
      <c r="I408" s="68"/>
      <c r="J408" s="69"/>
      <c r="K408" s="68"/>
      <c r="L408" s="69"/>
      <c r="M408" s="67" t="str">
        <f>IF(OR(C408="",E408="",L408=""),"",IF(INDEX(KPI_Targets!$F$5:$F$20,MATCH(C408,KPI_Targets!$B$5:$B$20,0))="Higher",IF(L408&gt;E408,"Improved",IF(L408=E408,"No change","Worse")),IF(L408&lt;E408,"Improved",IF(L408=E408,"No change","Worse"))))</f>
        <v/>
      </c>
      <c r="N408" s="67" t="str">
        <f t="shared" ca="1" si="6"/>
        <v/>
      </c>
      <c r="O408" s="69"/>
    </row>
    <row r="409" spans="1:15" x14ac:dyDescent="0.3">
      <c r="A409" s="69"/>
      <c r="B409" s="68"/>
      <c r="C409" s="69"/>
      <c r="D409" s="69"/>
      <c r="E409" s="69"/>
      <c r="F409" s="69"/>
      <c r="G409" s="69"/>
      <c r="H409" s="69"/>
      <c r="I409" s="68"/>
      <c r="J409" s="69"/>
      <c r="K409" s="68"/>
      <c r="L409" s="69"/>
      <c r="M409" s="67" t="str">
        <f>IF(OR(C409="",E409="",L409=""),"",IF(INDEX(KPI_Targets!$F$5:$F$20,MATCH(C409,KPI_Targets!$B$5:$B$20,0))="Higher",IF(L409&gt;E409,"Improved",IF(L409=E409,"No change","Worse")),IF(L409&lt;E409,"Improved",IF(L409=E409,"No change","Worse"))))</f>
        <v/>
      </c>
      <c r="N409" s="67" t="str">
        <f t="shared" ca="1" si="6"/>
        <v/>
      </c>
      <c r="O409" s="69"/>
    </row>
    <row r="410" spans="1:15" x14ac:dyDescent="0.3">
      <c r="A410" s="69"/>
      <c r="B410" s="68"/>
      <c r="C410" s="69"/>
      <c r="D410" s="69"/>
      <c r="E410" s="69"/>
      <c r="F410" s="69"/>
      <c r="G410" s="69"/>
      <c r="H410" s="69"/>
      <c r="I410" s="68"/>
      <c r="J410" s="69"/>
      <c r="K410" s="68"/>
      <c r="L410" s="69"/>
      <c r="M410" s="67" t="str">
        <f>IF(OR(C410="",E410="",L410=""),"",IF(INDEX(KPI_Targets!$F$5:$F$20,MATCH(C410,KPI_Targets!$B$5:$B$20,0))="Higher",IF(L410&gt;E410,"Improved",IF(L410=E410,"No change","Worse")),IF(L410&lt;E410,"Improved",IF(L410=E410,"No change","Worse"))))</f>
        <v/>
      </c>
      <c r="N410" s="67" t="str">
        <f t="shared" ca="1" si="6"/>
        <v/>
      </c>
      <c r="O410" s="69"/>
    </row>
    <row r="411" spans="1:15" x14ac:dyDescent="0.3">
      <c r="A411" s="69"/>
      <c r="B411" s="68"/>
      <c r="C411" s="69"/>
      <c r="D411" s="69"/>
      <c r="E411" s="69"/>
      <c r="F411" s="69"/>
      <c r="G411" s="69"/>
      <c r="H411" s="69"/>
      <c r="I411" s="68"/>
      <c r="J411" s="69"/>
      <c r="K411" s="68"/>
      <c r="L411" s="69"/>
      <c r="M411" s="67" t="str">
        <f>IF(OR(C411="",E411="",L411=""),"",IF(INDEX(KPI_Targets!$F$5:$F$20,MATCH(C411,KPI_Targets!$B$5:$B$20,0))="Higher",IF(L411&gt;E411,"Improved",IF(L411=E411,"No change","Worse")),IF(L411&lt;E411,"Improved",IF(L411=E411,"No change","Worse"))))</f>
        <v/>
      </c>
      <c r="N411" s="67" t="str">
        <f t="shared" ca="1" si="6"/>
        <v/>
      </c>
      <c r="O411" s="69"/>
    </row>
    <row r="412" spans="1:15" x14ac:dyDescent="0.3">
      <c r="A412" s="69"/>
      <c r="B412" s="68"/>
      <c r="C412" s="69"/>
      <c r="D412" s="69"/>
      <c r="E412" s="69"/>
      <c r="F412" s="69"/>
      <c r="G412" s="69"/>
      <c r="H412" s="69"/>
      <c r="I412" s="68"/>
      <c r="J412" s="69"/>
      <c r="K412" s="68"/>
      <c r="L412" s="69"/>
      <c r="M412" s="67" t="str">
        <f>IF(OR(C412="",E412="",L412=""),"",IF(INDEX(KPI_Targets!$F$5:$F$20,MATCH(C412,KPI_Targets!$B$5:$B$20,0))="Higher",IF(L412&gt;E412,"Improved",IF(L412=E412,"No change","Worse")),IF(L412&lt;E412,"Improved",IF(L412=E412,"No change","Worse"))))</f>
        <v/>
      </c>
      <c r="N412" s="67" t="str">
        <f t="shared" ca="1" si="6"/>
        <v/>
      </c>
      <c r="O412" s="69"/>
    </row>
    <row r="413" spans="1:15" x14ac:dyDescent="0.3">
      <c r="A413" s="69"/>
      <c r="B413" s="68"/>
      <c r="C413" s="69"/>
      <c r="D413" s="69"/>
      <c r="E413" s="69"/>
      <c r="F413" s="69"/>
      <c r="G413" s="69"/>
      <c r="H413" s="69"/>
      <c r="I413" s="68"/>
      <c r="J413" s="69"/>
      <c r="K413" s="68"/>
      <c r="L413" s="69"/>
      <c r="M413" s="67" t="str">
        <f>IF(OR(C413="",E413="",L413=""),"",IF(INDEX(KPI_Targets!$F$5:$F$20,MATCH(C413,KPI_Targets!$B$5:$B$20,0))="Higher",IF(L413&gt;E413,"Improved",IF(L413=E413,"No change","Worse")),IF(L413&lt;E413,"Improved",IF(L413=E413,"No change","Worse"))))</f>
        <v/>
      </c>
      <c r="N413" s="67" t="str">
        <f t="shared" ca="1" si="6"/>
        <v/>
      </c>
      <c r="O413" s="69"/>
    </row>
    <row r="414" spans="1:15" x14ac:dyDescent="0.3">
      <c r="A414" s="69"/>
      <c r="B414" s="68"/>
      <c r="C414" s="69"/>
      <c r="D414" s="69"/>
      <c r="E414" s="69"/>
      <c r="F414" s="69"/>
      <c r="G414" s="69"/>
      <c r="H414" s="69"/>
      <c r="I414" s="68"/>
      <c r="J414" s="69"/>
      <c r="K414" s="68"/>
      <c r="L414" s="69"/>
      <c r="M414" s="67" t="str">
        <f>IF(OR(C414="",E414="",L414=""),"",IF(INDEX(KPI_Targets!$F$5:$F$20,MATCH(C414,KPI_Targets!$B$5:$B$20,0))="Higher",IF(L414&gt;E414,"Improved",IF(L414=E414,"No change","Worse")),IF(L414&lt;E414,"Improved",IF(L414=E414,"No change","Worse"))))</f>
        <v/>
      </c>
      <c r="N414" s="67" t="str">
        <f t="shared" ca="1" si="6"/>
        <v/>
      </c>
      <c r="O414" s="69"/>
    </row>
    <row r="415" spans="1:15" x14ac:dyDescent="0.3">
      <c r="A415" s="69"/>
      <c r="B415" s="68"/>
      <c r="C415" s="69"/>
      <c r="D415" s="69"/>
      <c r="E415" s="69"/>
      <c r="F415" s="69"/>
      <c r="G415" s="69"/>
      <c r="H415" s="69"/>
      <c r="I415" s="68"/>
      <c r="J415" s="69"/>
      <c r="K415" s="68"/>
      <c r="L415" s="69"/>
      <c r="M415" s="67" t="str">
        <f>IF(OR(C415="",E415="",L415=""),"",IF(INDEX(KPI_Targets!$F$5:$F$20,MATCH(C415,KPI_Targets!$B$5:$B$20,0))="Higher",IF(L415&gt;E415,"Improved",IF(L415=E415,"No change","Worse")),IF(L415&lt;E415,"Improved",IF(L415=E415,"No change","Worse"))))</f>
        <v/>
      </c>
      <c r="N415" s="67" t="str">
        <f t="shared" ca="1" si="6"/>
        <v/>
      </c>
      <c r="O415" s="69"/>
    </row>
    <row r="416" spans="1:15" x14ac:dyDescent="0.3">
      <c r="A416" s="69"/>
      <c r="B416" s="68"/>
      <c r="C416" s="69"/>
      <c r="D416" s="69"/>
      <c r="E416" s="69"/>
      <c r="F416" s="69"/>
      <c r="G416" s="69"/>
      <c r="H416" s="69"/>
      <c r="I416" s="68"/>
      <c r="J416" s="69"/>
      <c r="K416" s="68"/>
      <c r="L416" s="69"/>
      <c r="M416" s="67" t="str">
        <f>IF(OR(C416="",E416="",L416=""),"",IF(INDEX(KPI_Targets!$F$5:$F$20,MATCH(C416,KPI_Targets!$B$5:$B$20,0))="Higher",IF(L416&gt;E416,"Improved",IF(L416=E416,"No change","Worse")),IF(L416&lt;E416,"Improved",IF(L416=E416,"No change","Worse"))))</f>
        <v/>
      </c>
      <c r="N416" s="67" t="str">
        <f t="shared" ca="1" si="6"/>
        <v/>
      </c>
      <c r="O416" s="69"/>
    </row>
    <row r="417" spans="1:15" x14ac:dyDescent="0.3">
      <c r="A417" s="69"/>
      <c r="B417" s="68"/>
      <c r="C417" s="69"/>
      <c r="D417" s="69"/>
      <c r="E417" s="69"/>
      <c r="F417" s="69"/>
      <c r="G417" s="69"/>
      <c r="H417" s="69"/>
      <c r="I417" s="68"/>
      <c r="J417" s="69"/>
      <c r="K417" s="68"/>
      <c r="L417" s="69"/>
      <c r="M417" s="67" t="str">
        <f>IF(OR(C417="",E417="",L417=""),"",IF(INDEX(KPI_Targets!$F$5:$F$20,MATCH(C417,KPI_Targets!$B$5:$B$20,0))="Higher",IF(L417&gt;E417,"Improved",IF(L417=E417,"No change","Worse")),IF(L417&lt;E417,"Improved",IF(L417=E417,"No change","Worse"))))</f>
        <v/>
      </c>
      <c r="N417" s="67" t="str">
        <f t="shared" ca="1" si="6"/>
        <v/>
      </c>
      <c r="O417" s="69"/>
    </row>
    <row r="418" spans="1:15" x14ac:dyDescent="0.3">
      <c r="A418" s="69"/>
      <c r="B418" s="68"/>
      <c r="C418" s="69"/>
      <c r="D418" s="69"/>
      <c r="E418" s="69"/>
      <c r="F418" s="69"/>
      <c r="G418" s="69"/>
      <c r="H418" s="69"/>
      <c r="I418" s="68"/>
      <c r="J418" s="69"/>
      <c r="K418" s="68"/>
      <c r="L418" s="69"/>
      <c r="M418" s="67" t="str">
        <f>IF(OR(C418="",E418="",L418=""),"",IF(INDEX(KPI_Targets!$F$5:$F$20,MATCH(C418,KPI_Targets!$B$5:$B$20,0))="Higher",IF(L418&gt;E418,"Improved",IF(L418=E418,"No change","Worse")),IF(L418&lt;E418,"Improved",IF(L418=E418,"No change","Worse"))))</f>
        <v/>
      </c>
      <c r="N418" s="67" t="str">
        <f t="shared" ca="1" si="6"/>
        <v/>
      </c>
      <c r="O418" s="69"/>
    </row>
    <row r="419" spans="1:15" x14ac:dyDescent="0.3">
      <c r="A419" s="69"/>
      <c r="B419" s="68"/>
      <c r="C419" s="69"/>
      <c r="D419" s="69"/>
      <c r="E419" s="69"/>
      <c r="F419" s="69"/>
      <c r="G419" s="69"/>
      <c r="H419" s="69"/>
      <c r="I419" s="68"/>
      <c r="J419" s="69"/>
      <c r="K419" s="68"/>
      <c r="L419" s="69"/>
      <c r="M419" s="67" t="str">
        <f>IF(OR(C419="",E419="",L419=""),"",IF(INDEX(KPI_Targets!$F$5:$F$20,MATCH(C419,KPI_Targets!$B$5:$B$20,0))="Higher",IF(L419&gt;E419,"Improved",IF(L419=E419,"No change","Worse")),IF(L419&lt;E419,"Improved",IF(L419=E419,"No change","Worse"))))</f>
        <v/>
      </c>
      <c r="N419" s="67" t="str">
        <f t="shared" ca="1" si="6"/>
        <v/>
      </c>
      <c r="O419" s="69"/>
    </row>
    <row r="420" spans="1:15" x14ac:dyDescent="0.3">
      <c r="A420" s="69"/>
      <c r="B420" s="68"/>
      <c r="C420" s="69"/>
      <c r="D420" s="69"/>
      <c r="E420" s="69"/>
      <c r="F420" s="69"/>
      <c r="G420" s="69"/>
      <c r="H420" s="69"/>
      <c r="I420" s="68"/>
      <c r="J420" s="69"/>
      <c r="K420" s="68"/>
      <c r="L420" s="69"/>
      <c r="M420" s="67" t="str">
        <f>IF(OR(C420="",E420="",L420=""),"",IF(INDEX(KPI_Targets!$F$5:$F$20,MATCH(C420,KPI_Targets!$B$5:$B$20,0))="Higher",IF(L420&gt;E420,"Improved",IF(L420=E420,"No change","Worse")),IF(L420&lt;E420,"Improved",IF(L420=E420,"No change","Worse"))))</f>
        <v/>
      </c>
      <c r="N420" s="67" t="str">
        <f t="shared" ca="1" si="6"/>
        <v/>
      </c>
      <c r="O420" s="69"/>
    </row>
    <row r="421" spans="1:15" x14ac:dyDescent="0.3">
      <c r="A421" s="69"/>
      <c r="B421" s="68"/>
      <c r="C421" s="69"/>
      <c r="D421" s="69"/>
      <c r="E421" s="69"/>
      <c r="F421" s="69"/>
      <c r="G421" s="69"/>
      <c r="H421" s="69"/>
      <c r="I421" s="68"/>
      <c r="J421" s="69"/>
      <c r="K421" s="68"/>
      <c r="L421" s="69"/>
      <c r="M421" s="67" t="str">
        <f>IF(OR(C421="",E421="",L421=""),"",IF(INDEX(KPI_Targets!$F$5:$F$20,MATCH(C421,KPI_Targets!$B$5:$B$20,0))="Higher",IF(L421&gt;E421,"Improved",IF(L421=E421,"No change","Worse")),IF(L421&lt;E421,"Improved",IF(L421=E421,"No change","Worse"))))</f>
        <v/>
      </c>
      <c r="N421" s="67" t="str">
        <f t="shared" ca="1" si="6"/>
        <v/>
      </c>
      <c r="O421" s="69"/>
    </row>
    <row r="422" spans="1:15" x14ac:dyDescent="0.3">
      <c r="A422" s="69"/>
      <c r="B422" s="68"/>
      <c r="C422" s="69"/>
      <c r="D422" s="69"/>
      <c r="E422" s="69"/>
      <c r="F422" s="69"/>
      <c r="G422" s="69"/>
      <c r="H422" s="69"/>
      <c r="I422" s="68"/>
      <c r="J422" s="69"/>
      <c r="K422" s="68"/>
      <c r="L422" s="69"/>
      <c r="M422" s="67" t="str">
        <f>IF(OR(C422="",E422="",L422=""),"",IF(INDEX(KPI_Targets!$F$5:$F$20,MATCH(C422,KPI_Targets!$B$5:$B$20,0))="Higher",IF(L422&gt;E422,"Improved",IF(L422=E422,"No change","Worse")),IF(L422&lt;E422,"Improved",IF(L422=E422,"No change","Worse"))))</f>
        <v/>
      </c>
      <c r="N422" s="67" t="str">
        <f t="shared" ca="1" si="6"/>
        <v/>
      </c>
      <c r="O422" s="69"/>
    </row>
    <row r="423" spans="1:15" x14ac:dyDescent="0.3">
      <c r="A423" s="69"/>
      <c r="B423" s="68"/>
      <c r="C423" s="69"/>
      <c r="D423" s="69"/>
      <c r="E423" s="69"/>
      <c r="F423" s="69"/>
      <c r="G423" s="69"/>
      <c r="H423" s="69"/>
      <c r="I423" s="68"/>
      <c r="J423" s="69"/>
      <c r="K423" s="68"/>
      <c r="L423" s="69"/>
      <c r="M423" s="67" t="str">
        <f>IF(OR(C423="",E423="",L423=""),"",IF(INDEX(KPI_Targets!$F$5:$F$20,MATCH(C423,KPI_Targets!$B$5:$B$20,0))="Higher",IF(L423&gt;E423,"Improved",IF(L423=E423,"No change","Worse")),IF(L423&lt;E423,"Improved",IF(L423=E423,"No change","Worse"))))</f>
        <v/>
      </c>
      <c r="N423" s="67" t="str">
        <f t="shared" ca="1" si="6"/>
        <v/>
      </c>
      <c r="O423" s="69"/>
    </row>
    <row r="424" spans="1:15" x14ac:dyDescent="0.3">
      <c r="A424" s="69"/>
      <c r="B424" s="68"/>
      <c r="C424" s="69"/>
      <c r="D424" s="69"/>
      <c r="E424" s="69"/>
      <c r="F424" s="69"/>
      <c r="G424" s="69"/>
      <c r="H424" s="69"/>
      <c r="I424" s="68"/>
      <c r="J424" s="69"/>
      <c r="K424" s="68"/>
      <c r="L424" s="69"/>
      <c r="M424" s="67" t="str">
        <f>IF(OR(C424="",E424="",L424=""),"",IF(INDEX(KPI_Targets!$F$5:$F$20,MATCH(C424,KPI_Targets!$B$5:$B$20,0))="Higher",IF(L424&gt;E424,"Improved",IF(L424=E424,"No change","Worse")),IF(L424&lt;E424,"Improved",IF(L424=E424,"No change","Worse"))))</f>
        <v/>
      </c>
      <c r="N424" s="67" t="str">
        <f t="shared" ca="1" si="6"/>
        <v/>
      </c>
      <c r="O424" s="69"/>
    </row>
    <row r="425" spans="1:15" x14ac:dyDescent="0.3">
      <c r="A425" s="69"/>
      <c r="B425" s="68"/>
      <c r="C425" s="69"/>
      <c r="D425" s="69"/>
      <c r="E425" s="69"/>
      <c r="F425" s="69"/>
      <c r="G425" s="69"/>
      <c r="H425" s="69"/>
      <c r="I425" s="68"/>
      <c r="J425" s="69"/>
      <c r="K425" s="68"/>
      <c r="L425" s="69"/>
      <c r="M425" s="67" t="str">
        <f>IF(OR(C425="",E425="",L425=""),"",IF(INDEX(KPI_Targets!$F$5:$F$20,MATCH(C425,KPI_Targets!$B$5:$B$20,0))="Higher",IF(L425&gt;E425,"Improved",IF(L425=E425,"No change","Worse")),IF(L425&lt;E425,"Improved",IF(L425=E425,"No change","Worse"))))</f>
        <v/>
      </c>
      <c r="N425" s="67" t="str">
        <f t="shared" ca="1" si="6"/>
        <v/>
      </c>
      <c r="O425" s="69"/>
    </row>
    <row r="426" spans="1:15" x14ac:dyDescent="0.3">
      <c r="A426" s="69"/>
      <c r="B426" s="68"/>
      <c r="C426" s="69"/>
      <c r="D426" s="69"/>
      <c r="E426" s="69"/>
      <c r="F426" s="69"/>
      <c r="G426" s="69"/>
      <c r="H426" s="69"/>
      <c r="I426" s="68"/>
      <c r="J426" s="69"/>
      <c r="K426" s="68"/>
      <c r="L426" s="69"/>
      <c r="M426" s="67" t="str">
        <f>IF(OR(C426="",E426="",L426=""),"",IF(INDEX(KPI_Targets!$F$5:$F$20,MATCH(C426,KPI_Targets!$B$5:$B$20,0))="Higher",IF(L426&gt;E426,"Improved",IF(L426=E426,"No change","Worse")),IF(L426&lt;E426,"Improved",IF(L426=E426,"No change","Worse"))))</f>
        <v/>
      </c>
      <c r="N426" s="67" t="str">
        <f t="shared" ca="1" si="6"/>
        <v/>
      </c>
      <c r="O426" s="69"/>
    </row>
    <row r="427" spans="1:15" x14ac:dyDescent="0.3">
      <c r="A427" s="69"/>
      <c r="B427" s="68"/>
      <c r="C427" s="69"/>
      <c r="D427" s="69"/>
      <c r="E427" s="69"/>
      <c r="F427" s="69"/>
      <c r="G427" s="69"/>
      <c r="H427" s="69"/>
      <c r="I427" s="68"/>
      <c r="J427" s="69"/>
      <c r="K427" s="68"/>
      <c r="L427" s="69"/>
      <c r="M427" s="67" t="str">
        <f>IF(OR(C427="",E427="",L427=""),"",IF(INDEX(KPI_Targets!$F$5:$F$20,MATCH(C427,KPI_Targets!$B$5:$B$20,0))="Higher",IF(L427&gt;E427,"Improved",IF(L427=E427,"No change","Worse")),IF(L427&lt;E427,"Improved",IF(L427=E427,"No change","Worse"))))</f>
        <v/>
      </c>
      <c r="N427" s="67" t="str">
        <f t="shared" ca="1" si="6"/>
        <v/>
      </c>
      <c r="O427" s="69"/>
    </row>
    <row r="428" spans="1:15" x14ac:dyDescent="0.3">
      <c r="A428" s="69"/>
      <c r="B428" s="68"/>
      <c r="C428" s="69"/>
      <c r="D428" s="69"/>
      <c r="E428" s="69"/>
      <c r="F428" s="69"/>
      <c r="G428" s="69"/>
      <c r="H428" s="69"/>
      <c r="I428" s="68"/>
      <c r="J428" s="69"/>
      <c r="K428" s="68"/>
      <c r="L428" s="69"/>
      <c r="M428" s="67" t="str">
        <f>IF(OR(C428="",E428="",L428=""),"",IF(INDEX(KPI_Targets!$F$5:$F$20,MATCH(C428,KPI_Targets!$B$5:$B$20,0))="Higher",IF(L428&gt;E428,"Improved",IF(L428=E428,"No change","Worse")),IF(L428&lt;E428,"Improved",IF(L428=E428,"No change","Worse"))))</f>
        <v/>
      </c>
      <c r="N428" s="67" t="str">
        <f t="shared" ca="1" si="6"/>
        <v/>
      </c>
      <c r="O428" s="69"/>
    </row>
    <row r="429" spans="1:15" x14ac:dyDescent="0.3">
      <c r="A429" s="69"/>
      <c r="B429" s="68"/>
      <c r="C429" s="69"/>
      <c r="D429" s="69"/>
      <c r="E429" s="69"/>
      <c r="F429" s="69"/>
      <c r="G429" s="69"/>
      <c r="H429" s="69"/>
      <c r="I429" s="68"/>
      <c r="J429" s="69"/>
      <c r="K429" s="68"/>
      <c r="L429" s="69"/>
      <c r="M429" s="67" t="str">
        <f>IF(OR(C429="",E429="",L429=""),"",IF(INDEX(KPI_Targets!$F$5:$F$20,MATCH(C429,KPI_Targets!$B$5:$B$20,0))="Higher",IF(L429&gt;E429,"Improved",IF(L429=E429,"No change","Worse")),IF(L429&lt;E429,"Improved",IF(L429=E429,"No change","Worse"))))</f>
        <v/>
      </c>
      <c r="N429" s="67" t="str">
        <f t="shared" ca="1" si="6"/>
        <v/>
      </c>
      <c r="O429" s="69"/>
    </row>
    <row r="430" spans="1:15" x14ac:dyDescent="0.3">
      <c r="A430" s="69"/>
      <c r="B430" s="68"/>
      <c r="C430" s="69"/>
      <c r="D430" s="69"/>
      <c r="E430" s="69"/>
      <c r="F430" s="69"/>
      <c r="G430" s="69"/>
      <c r="H430" s="69"/>
      <c r="I430" s="68"/>
      <c r="J430" s="69"/>
      <c r="K430" s="68"/>
      <c r="L430" s="69"/>
      <c r="M430" s="67" t="str">
        <f>IF(OR(C430="",E430="",L430=""),"",IF(INDEX(KPI_Targets!$F$5:$F$20,MATCH(C430,KPI_Targets!$B$5:$B$20,0))="Higher",IF(L430&gt;E430,"Improved",IF(L430=E430,"No change","Worse")),IF(L430&lt;E430,"Improved",IF(L430=E430,"No change","Worse"))))</f>
        <v/>
      </c>
      <c r="N430" s="67" t="str">
        <f t="shared" ca="1" si="6"/>
        <v/>
      </c>
      <c r="O430" s="69"/>
    </row>
    <row r="431" spans="1:15" x14ac:dyDescent="0.3">
      <c r="A431" s="69"/>
      <c r="B431" s="68"/>
      <c r="C431" s="69"/>
      <c r="D431" s="69"/>
      <c r="E431" s="69"/>
      <c r="F431" s="69"/>
      <c r="G431" s="69"/>
      <c r="H431" s="69"/>
      <c r="I431" s="68"/>
      <c r="J431" s="69"/>
      <c r="K431" s="68"/>
      <c r="L431" s="69"/>
      <c r="M431" s="67" t="str">
        <f>IF(OR(C431="",E431="",L431=""),"",IF(INDEX(KPI_Targets!$F$5:$F$20,MATCH(C431,KPI_Targets!$B$5:$B$20,0))="Higher",IF(L431&gt;E431,"Improved",IF(L431=E431,"No change","Worse")),IF(L431&lt;E431,"Improved",IF(L431=E431,"No change","Worse"))))</f>
        <v/>
      </c>
      <c r="N431" s="67" t="str">
        <f t="shared" ca="1" si="6"/>
        <v/>
      </c>
      <c r="O431" s="69"/>
    </row>
    <row r="432" spans="1:15" x14ac:dyDescent="0.3">
      <c r="A432" s="69"/>
      <c r="B432" s="68"/>
      <c r="C432" s="69"/>
      <c r="D432" s="69"/>
      <c r="E432" s="69"/>
      <c r="F432" s="69"/>
      <c r="G432" s="69"/>
      <c r="H432" s="69"/>
      <c r="I432" s="68"/>
      <c r="J432" s="69"/>
      <c r="K432" s="68"/>
      <c r="L432" s="69"/>
      <c r="M432" s="67" t="str">
        <f>IF(OR(C432="",E432="",L432=""),"",IF(INDEX(KPI_Targets!$F$5:$F$20,MATCH(C432,KPI_Targets!$B$5:$B$20,0))="Higher",IF(L432&gt;E432,"Improved",IF(L432=E432,"No change","Worse")),IF(L432&lt;E432,"Improved",IF(L432=E432,"No change","Worse"))))</f>
        <v/>
      </c>
      <c r="N432" s="67" t="str">
        <f t="shared" ca="1" si="6"/>
        <v/>
      </c>
      <c r="O432" s="69"/>
    </row>
    <row r="433" spans="1:15" x14ac:dyDescent="0.3">
      <c r="A433" s="69"/>
      <c r="B433" s="68"/>
      <c r="C433" s="69"/>
      <c r="D433" s="69"/>
      <c r="E433" s="69"/>
      <c r="F433" s="69"/>
      <c r="G433" s="69"/>
      <c r="H433" s="69"/>
      <c r="I433" s="68"/>
      <c r="J433" s="69"/>
      <c r="K433" s="68"/>
      <c r="L433" s="69"/>
      <c r="M433" s="67" t="str">
        <f>IF(OR(C433="",E433="",L433=""),"",IF(INDEX(KPI_Targets!$F$5:$F$20,MATCH(C433,KPI_Targets!$B$5:$B$20,0))="Higher",IF(L433&gt;E433,"Improved",IF(L433=E433,"No change","Worse")),IF(L433&lt;E433,"Improved",IF(L433=E433,"No change","Worse"))))</f>
        <v/>
      </c>
      <c r="N433" s="67" t="str">
        <f t="shared" ca="1" si="6"/>
        <v/>
      </c>
      <c r="O433" s="69"/>
    </row>
    <row r="434" spans="1:15" x14ac:dyDescent="0.3">
      <c r="A434" s="69"/>
      <c r="B434" s="68"/>
      <c r="C434" s="69"/>
      <c r="D434" s="69"/>
      <c r="E434" s="69"/>
      <c r="F434" s="69"/>
      <c r="G434" s="69"/>
      <c r="H434" s="69"/>
      <c r="I434" s="68"/>
      <c r="J434" s="69"/>
      <c r="K434" s="68"/>
      <c r="L434" s="69"/>
      <c r="M434" s="67" t="str">
        <f>IF(OR(C434="",E434="",L434=""),"",IF(INDEX(KPI_Targets!$F$5:$F$20,MATCH(C434,KPI_Targets!$B$5:$B$20,0))="Higher",IF(L434&gt;E434,"Improved",IF(L434=E434,"No change","Worse")),IF(L434&lt;E434,"Improved",IF(L434=E434,"No change","Worse"))))</f>
        <v/>
      </c>
      <c r="N434" s="67" t="str">
        <f t="shared" ca="1" si="6"/>
        <v/>
      </c>
      <c r="O434" s="69"/>
    </row>
    <row r="435" spans="1:15" x14ac:dyDescent="0.3">
      <c r="A435" s="69"/>
      <c r="B435" s="68"/>
      <c r="C435" s="69"/>
      <c r="D435" s="69"/>
      <c r="E435" s="69"/>
      <c r="F435" s="69"/>
      <c r="G435" s="69"/>
      <c r="H435" s="69"/>
      <c r="I435" s="68"/>
      <c r="J435" s="69"/>
      <c r="K435" s="68"/>
      <c r="L435" s="69"/>
      <c r="M435" s="67" t="str">
        <f>IF(OR(C435="",E435="",L435=""),"",IF(INDEX(KPI_Targets!$F$5:$F$20,MATCH(C435,KPI_Targets!$B$5:$B$20,0))="Higher",IF(L435&gt;E435,"Improved",IF(L435=E435,"No change","Worse")),IF(L435&lt;E435,"Improved",IF(L435=E435,"No change","Worse"))))</f>
        <v/>
      </c>
      <c r="N435" s="67" t="str">
        <f t="shared" ca="1" si="6"/>
        <v/>
      </c>
      <c r="O435" s="69"/>
    </row>
    <row r="436" spans="1:15" x14ac:dyDescent="0.3">
      <c r="A436" s="69"/>
      <c r="B436" s="68"/>
      <c r="C436" s="69"/>
      <c r="D436" s="69"/>
      <c r="E436" s="69"/>
      <c r="F436" s="69"/>
      <c r="G436" s="69"/>
      <c r="H436" s="69"/>
      <c r="I436" s="68"/>
      <c r="J436" s="69"/>
      <c r="K436" s="68"/>
      <c r="L436" s="69"/>
      <c r="M436" s="67" t="str">
        <f>IF(OR(C436="",E436="",L436=""),"",IF(INDEX(KPI_Targets!$F$5:$F$20,MATCH(C436,KPI_Targets!$B$5:$B$20,0))="Higher",IF(L436&gt;E436,"Improved",IF(L436=E436,"No change","Worse")),IF(L436&lt;E436,"Improved",IF(L436=E436,"No change","Worse"))))</f>
        <v/>
      </c>
      <c r="N436" s="67" t="str">
        <f t="shared" ca="1" si="6"/>
        <v/>
      </c>
      <c r="O436" s="69"/>
    </row>
    <row r="437" spans="1:15" x14ac:dyDescent="0.3">
      <c r="A437" s="69"/>
      <c r="B437" s="68"/>
      <c r="C437" s="69"/>
      <c r="D437" s="69"/>
      <c r="E437" s="69"/>
      <c r="F437" s="69"/>
      <c r="G437" s="69"/>
      <c r="H437" s="69"/>
      <c r="I437" s="68"/>
      <c r="J437" s="69"/>
      <c r="K437" s="68"/>
      <c r="L437" s="69"/>
      <c r="M437" s="67" t="str">
        <f>IF(OR(C437="",E437="",L437=""),"",IF(INDEX(KPI_Targets!$F$5:$F$20,MATCH(C437,KPI_Targets!$B$5:$B$20,0))="Higher",IF(L437&gt;E437,"Improved",IF(L437=E437,"No change","Worse")),IF(L437&lt;E437,"Improved",IF(L437=E437,"No change","Worse"))))</f>
        <v/>
      </c>
      <c r="N437" s="67" t="str">
        <f t="shared" ca="1" si="6"/>
        <v/>
      </c>
      <c r="O437" s="69"/>
    </row>
    <row r="438" spans="1:15" x14ac:dyDescent="0.3">
      <c r="A438" s="69"/>
      <c r="B438" s="68"/>
      <c r="C438" s="69"/>
      <c r="D438" s="69"/>
      <c r="E438" s="69"/>
      <c r="F438" s="69"/>
      <c r="G438" s="69"/>
      <c r="H438" s="69"/>
      <c r="I438" s="68"/>
      <c r="J438" s="69"/>
      <c r="K438" s="68"/>
      <c r="L438" s="69"/>
      <c r="M438" s="67" t="str">
        <f>IF(OR(C438="",E438="",L438=""),"",IF(INDEX(KPI_Targets!$F$5:$F$20,MATCH(C438,KPI_Targets!$B$5:$B$20,0))="Higher",IF(L438&gt;E438,"Improved",IF(L438=E438,"No change","Worse")),IF(L438&lt;E438,"Improved",IF(L438=E438,"No change","Worse"))))</f>
        <v/>
      </c>
      <c r="N438" s="67" t="str">
        <f t="shared" ca="1" si="6"/>
        <v/>
      </c>
      <c r="O438" s="69"/>
    </row>
    <row r="439" spans="1:15" x14ac:dyDescent="0.3">
      <c r="A439" s="69"/>
      <c r="B439" s="68"/>
      <c r="C439" s="69"/>
      <c r="D439" s="69"/>
      <c r="E439" s="69"/>
      <c r="F439" s="69"/>
      <c r="G439" s="69"/>
      <c r="H439" s="69"/>
      <c r="I439" s="68"/>
      <c r="J439" s="69"/>
      <c r="K439" s="68"/>
      <c r="L439" s="69"/>
      <c r="M439" s="67" t="str">
        <f>IF(OR(C439="",E439="",L439=""),"",IF(INDEX(KPI_Targets!$F$5:$F$20,MATCH(C439,KPI_Targets!$B$5:$B$20,0))="Higher",IF(L439&gt;E439,"Improved",IF(L439=E439,"No change","Worse")),IF(L439&lt;E439,"Improved",IF(L439=E439,"No change","Worse"))))</f>
        <v/>
      </c>
      <c r="N439" s="67" t="str">
        <f t="shared" ca="1" si="6"/>
        <v/>
      </c>
      <c r="O439" s="69"/>
    </row>
    <row r="440" spans="1:15" x14ac:dyDescent="0.3">
      <c r="A440" s="69"/>
      <c r="B440" s="68"/>
      <c r="C440" s="69"/>
      <c r="D440" s="69"/>
      <c r="E440" s="69"/>
      <c r="F440" s="69"/>
      <c r="G440" s="69"/>
      <c r="H440" s="69"/>
      <c r="I440" s="68"/>
      <c r="J440" s="69"/>
      <c r="K440" s="68"/>
      <c r="L440" s="69"/>
      <c r="M440" s="67" t="str">
        <f>IF(OR(C440="",E440="",L440=""),"",IF(INDEX(KPI_Targets!$F$5:$F$20,MATCH(C440,KPI_Targets!$B$5:$B$20,0))="Higher",IF(L440&gt;E440,"Improved",IF(L440=E440,"No change","Worse")),IF(L440&lt;E440,"Improved",IF(L440=E440,"No change","Worse"))))</f>
        <v/>
      </c>
      <c r="N440" s="67" t="str">
        <f t="shared" ca="1" si="6"/>
        <v/>
      </c>
      <c r="O440" s="69"/>
    </row>
    <row r="441" spans="1:15" x14ac:dyDescent="0.3">
      <c r="A441" s="69"/>
      <c r="B441" s="68"/>
      <c r="C441" s="69"/>
      <c r="D441" s="69"/>
      <c r="E441" s="69"/>
      <c r="F441" s="69"/>
      <c r="G441" s="69"/>
      <c r="H441" s="69"/>
      <c r="I441" s="68"/>
      <c r="J441" s="69"/>
      <c r="K441" s="68"/>
      <c r="L441" s="69"/>
      <c r="M441" s="67" t="str">
        <f>IF(OR(C441="",E441="",L441=""),"",IF(INDEX(KPI_Targets!$F$5:$F$20,MATCH(C441,KPI_Targets!$B$5:$B$20,0))="Higher",IF(L441&gt;E441,"Improved",IF(L441=E441,"No change","Worse")),IF(L441&lt;E441,"Improved",IF(L441=E441,"No change","Worse"))))</f>
        <v/>
      </c>
      <c r="N441" s="67" t="str">
        <f t="shared" ca="1" si="6"/>
        <v/>
      </c>
      <c r="O441" s="69"/>
    </row>
    <row r="442" spans="1:15" x14ac:dyDescent="0.3">
      <c r="A442" s="69"/>
      <c r="B442" s="68"/>
      <c r="C442" s="69"/>
      <c r="D442" s="69"/>
      <c r="E442" s="69"/>
      <c r="F442" s="69"/>
      <c r="G442" s="69"/>
      <c r="H442" s="69"/>
      <c r="I442" s="68"/>
      <c r="J442" s="69"/>
      <c r="K442" s="68"/>
      <c r="L442" s="69"/>
      <c r="M442" s="67" t="str">
        <f>IF(OR(C442="",E442="",L442=""),"",IF(INDEX(KPI_Targets!$F$5:$F$20,MATCH(C442,KPI_Targets!$B$5:$B$20,0))="Higher",IF(L442&gt;E442,"Improved",IF(L442=E442,"No change","Worse")),IF(L442&lt;E442,"Improved",IF(L442=E442,"No change","Worse"))))</f>
        <v/>
      </c>
      <c r="N442" s="67" t="str">
        <f t="shared" ca="1" si="6"/>
        <v/>
      </c>
      <c r="O442" s="69"/>
    </row>
    <row r="443" spans="1:15" x14ac:dyDescent="0.3">
      <c r="A443" s="69"/>
      <c r="B443" s="68"/>
      <c r="C443" s="69"/>
      <c r="D443" s="69"/>
      <c r="E443" s="69"/>
      <c r="F443" s="69"/>
      <c r="G443" s="69"/>
      <c r="H443" s="69"/>
      <c r="I443" s="68"/>
      <c r="J443" s="69"/>
      <c r="K443" s="68"/>
      <c r="L443" s="69"/>
      <c r="M443" s="67" t="str">
        <f>IF(OR(C443="",E443="",L443=""),"",IF(INDEX(KPI_Targets!$F$5:$F$20,MATCH(C443,KPI_Targets!$B$5:$B$20,0))="Higher",IF(L443&gt;E443,"Improved",IF(L443=E443,"No change","Worse")),IF(L443&lt;E443,"Improved",IF(L443=E443,"No change","Worse"))))</f>
        <v/>
      </c>
      <c r="N443" s="67" t="str">
        <f t="shared" ca="1" si="6"/>
        <v/>
      </c>
      <c r="O443" s="69"/>
    </row>
    <row r="444" spans="1:15" x14ac:dyDescent="0.3">
      <c r="A444" s="69"/>
      <c r="B444" s="68"/>
      <c r="C444" s="69"/>
      <c r="D444" s="69"/>
      <c r="E444" s="69"/>
      <c r="F444" s="69"/>
      <c r="G444" s="69"/>
      <c r="H444" s="69"/>
      <c r="I444" s="68"/>
      <c r="J444" s="69"/>
      <c r="K444" s="68"/>
      <c r="L444" s="69"/>
      <c r="M444" s="67" t="str">
        <f>IF(OR(C444="",E444="",L444=""),"",IF(INDEX(KPI_Targets!$F$5:$F$20,MATCH(C444,KPI_Targets!$B$5:$B$20,0))="Higher",IF(L444&gt;E444,"Improved",IF(L444=E444,"No change","Worse")),IF(L444&lt;E444,"Improved",IF(L444=E444,"No change","Worse"))))</f>
        <v/>
      </c>
      <c r="N444" s="67" t="str">
        <f t="shared" ca="1" si="6"/>
        <v/>
      </c>
      <c r="O444" s="69"/>
    </row>
    <row r="445" spans="1:15" x14ac:dyDescent="0.3">
      <c r="A445" s="69"/>
      <c r="B445" s="68"/>
      <c r="C445" s="69"/>
      <c r="D445" s="69"/>
      <c r="E445" s="69"/>
      <c r="F445" s="69"/>
      <c r="G445" s="69"/>
      <c r="H445" s="69"/>
      <c r="I445" s="68"/>
      <c r="J445" s="69"/>
      <c r="K445" s="68"/>
      <c r="L445" s="69"/>
      <c r="M445" s="67" t="str">
        <f>IF(OR(C445="",E445="",L445=""),"",IF(INDEX(KPI_Targets!$F$5:$F$20,MATCH(C445,KPI_Targets!$B$5:$B$20,0))="Higher",IF(L445&gt;E445,"Improved",IF(L445=E445,"No change","Worse")),IF(L445&lt;E445,"Improved",IF(L445=E445,"No change","Worse"))))</f>
        <v/>
      </c>
      <c r="N445" s="67" t="str">
        <f t="shared" ca="1" si="6"/>
        <v/>
      </c>
      <c r="O445" s="69"/>
    </row>
    <row r="446" spans="1:15" x14ac:dyDescent="0.3">
      <c r="A446" s="69"/>
      <c r="B446" s="68"/>
      <c r="C446" s="69"/>
      <c r="D446" s="69"/>
      <c r="E446" s="69"/>
      <c r="F446" s="69"/>
      <c r="G446" s="69"/>
      <c r="H446" s="69"/>
      <c r="I446" s="68"/>
      <c r="J446" s="69"/>
      <c r="K446" s="68"/>
      <c r="L446" s="69"/>
      <c r="M446" s="67" t="str">
        <f>IF(OR(C446="",E446="",L446=""),"",IF(INDEX(KPI_Targets!$F$5:$F$20,MATCH(C446,KPI_Targets!$B$5:$B$20,0))="Higher",IF(L446&gt;E446,"Improved",IF(L446=E446,"No change","Worse")),IF(L446&lt;E446,"Improved",IF(L446=E446,"No change","Worse"))))</f>
        <v/>
      </c>
      <c r="N446" s="67" t="str">
        <f t="shared" ca="1" si="6"/>
        <v/>
      </c>
      <c r="O446" s="69"/>
    </row>
    <row r="447" spans="1:15" x14ac:dyDescent="0.3">
      <c r="A447" s="69"/>
      <c r="B447" s="68"/>
      <c r="C447" s="69"/>
      <c r="D447" s="69"/>
      <c r="E447" s="69"/>
      <c r="F447" s="69"/>
      <c r="G447" s="69"/>
      <c r="H447" s="69"/>
      <c r="I447" s="68"/>
      <c r="J447" s="69"/>
      <c r="K447" s="68"/>
      <c r="L447" s="69"/>
      <c r="M447" s="67" t="str">
        <f>IF(OR(C447="",E447="",L447=""),"",IF(INDEX(KPI_Targets!$F$5:$F$20,MATCH(C447,KPI_Targets!$B$5:$B$20,0))="Higher",IF(L447&gt;E447,"Improved",IF(L447=E447,"No change","Worse")),IF(L447&lt;E447,"Improved",IF(L447=E447,"No change","Worse"))))</f>
        <v/>
      </c>
      <c r="N447" s="67" t="str">
        <f t="shared" ca="1" si="6"/>
        <v/>
      </c>
      <c r="O447" s="69"/>
    </row>
    <row r="448" spans="1:15" x14ac:dyDescent="0.3">
      <c r="A448" s="69"/>
      <c r="B448" s="68"/>
      <c r="C448" s="69"/>
      <c r="D448" s="69"/>
      <c r="E448" s="69"/>
      <c r="F448" s="69"/>
      <c r="G448" s="69"/>
      <c r="H448" s="69"/>
      <c r="I448" s="68"/>
      <c r="J448" s="69"/>
      <c r="K448" s="68"/>
      <c r="L448" s="69"/>
      <c r="M448" s="67" t="str">
        <f>IF(OR(C448="",E448="",L448=""),"",IF(INDEX(KPI_Targets!$F$5:$F$20,MATCH(C448,KPI_Targets!$B$5:$B$20,0))="Higher",IF(L448&gt;E448,"Improved",IF(L448=E448,"No change","Worse")),IF(L448&lt;E448,"Improved",IF(L448=E448,"No change","Worse"))))</f>
        <v/>
      </c>
      <c r="N448" s="67" t="str">
        <f t="shared" ca="1" si="6"/>
        <v/>
      </c>
      <c r="O448" s="69"/>
    </row>
    <row r="449" spans="1:15" x14ac:dyDescent="0.3">
      <c r="A449" s="69"/>
      <c r="B449" s="68"/>
      <c r="C449" s="69"/>
      <c r="D449" s="69"/>
      <c r="E449" s="69"/>
      <c r="F449" s="69"/>
      <c r="G449" s="69"/>
      <c r="H449" s="69"/>
      <c r="I449" s="68"/>
      <c r="J449" s="69"/>
      <c r="K449" s="68"/>
      <c r="L449" s="69"/>
      <c r="M449" s="67" t="str">
        <f>IF(OR(C449="",E449="",L449=""),"",IF(INDEX(KPI_Targets!$F$5:$F$20,MATCH(C449,KPI_Targets!$B$5:$B$20,0))="Higher",IF(L449&gt;E449,"Improved",IF(L449=E449,"No change","Worse")),IF(L449&lt;E449,"Improved",IF(L449=E449,"No change","Worse"))))</f>
        <v/>
      </c>
      <c r="N449" s="67" t="str">
        <f t="shared" ca="1" si="6"/>
        <v/>
      </c>
      <c r="O449" s="69"/>
    </row>
    <row r="450" spans="1:15" x14ac:dyDescent="0.3">
      <c r="A450" s="69"/>
      <c r="B450" s="68"/>
      <c r="C450" s="69"/>
      <c r="D450" s="69"/>
      <c r="E450" s="69"/>
      <c r="F450" s="69"/>
      <c r="G450" s="69"/>
      <c r="H450" s="69"/>
      <c r="I450" s="68"/>
      <c r="J450" s="69"/>
      <c r="K450" s="68"/>
      <c r="L450" s="69"/>
      <c r="M450" s="67" t="str">
        <f>IF(OR(C450="",E450="",L450=""),"",IF(INDEX(KPI_Targets!$F$5:$F$20,MATCH(C450,KPI_Targets!$B$5:$B$20,0))="Higher",IF(L450&gt;E450,"Improved",IF(L450=E450,"No change","Worse")),IF(L450&lt;E450,"Improved",IF(L450=E450,"No change","Worse"))))</f>
        <v/>
      </c>
      <c r="N450" s="67" t="str">
        <f t="shared" ca="1" si="6"/>
        <v/>
      </c>
      <c r="O450" s="69"/>
    </row>
    <row r="451" spans="1:15" x14ac:dyDescent="0.3">
      <c r="A451" s="69"/>
      <c r="B451" s="68"/>
      <c r="C451" s="69"/>
      <c r="D451" s="69"/>
      <c r="E451" s="69"/>
      <c r="F451" s="69"/>
      <c r="G451" s="69"/>
      <c r="H451" s="69"/>
      <c r="I451" s="68"/>
      <c r="J451" s="69"/>
      <c r="K451" s="68"/>
      <c r="L451" s="69"/>
      <c r="M451" s="67" t="str">
        <f>IF(OR(C451="",E451="",L451=""),"",IF(INDEX(KPI_Targets!$F$5:$F$20,MATCH(C451,KPI_Targets!$B$5:$B$20,0))="Higher",IF(L451&gt;E451,"Improved",IF(L451=E451,"No change","Worse")),IF(L451&lt;E451,"Improved",IF(L451=E451,"No change","Worse"))))</f>
        <v/>
      </c>
      <c r="N451" s="67" t="str">
        <f t="shared" ca="1" si="6"/>
        <v/>
      </c>
      <c r="O451" s="69"/>
    </row>
    <row r="452" spans="1:15" x14ac:dyDescent="0.3">
      <c r="A452" s="69"/>
      <c r="B452" s="68"/>
      <c r="C452" s="69"/>
      <c r="D452" s="69"/>
      <c r="E452" s="69"/>
      <c r="F452" s="69"/>
      <c r="G452" s="69"/>
      <c r="H452" s="69"/>
      <c r="I452" s="68"/>
      <c r="J452" s="69"/>
      <c r="K452" s="68"/>
      <c r="L452" s="69"/>
      <c r="M452" s="67" t="str">
        <f>IF(OR(C452="",E452="",L452=""),"",IF(INDEX(KPI_Targets!$F$5:$F$20,MATCH(C452,KPI_Targets!$B$5:$B$20,0))="Higher",IF(L452&gt;E452,"Improved",IF(L452=E452,"No change","Worse")),IF(L452&lt;E452,"Improved",IF(L452=E452,"No change","Worse"))))</f>
        <v/>
      </c>
      <c r="N452" s="67" t="str">
        <f t="shared" ca="1" si="6"/>
        <v/>
      </c>
      <c r="O452" s="69"/>
    </row>
    <row r="453" spans="1:15" x14ac:dyDescent="0.3">
      <c r="A453" s="69"/>
      <c r="B453" s="68"/>
      <c r="C453" s="69"/>
      <c r="D453" s="69"/>
      <c r="E453" s="69"/>
      <c r="F453" s="69"/>
      <c r="G453" s="69"/>
      <c r="H453" s="69"/>
      <c r="I453" s="68"/>
      <c r="J453" s="69"/>
      <c r="K453" s="68"/>
      <c r="L453" s="69"/>
      <c r="M453" s="67" t="str">
        <f>IF(OR(C453="",E453="",L453=""),"",IF(INDEX(KPI_Targets!$F$5:$F$20,MATCH(C453,KPI_Targets!$B$5:$B$20,0))="Higher",IF(L453&gt;E453,"Improved",IF(L453=E453,"No change","Worse")),IF(L453&lt;E453,"Improved",IF(L453=E453,"No change","Worse"))))</f>
        <v/>
      </c>
      <c r="N453" s="67" t="str">
        <f t="shared" ref="N453:N504" ca="1" si="7">IF(B453="","",IF(OR(J453="Implemented",J453="Cancelled"),"Closed",IF(AND(I453&lt;&gt;"",I453&lt;TODAY()),"OVERDUE","On track")))</f>
        <v/>
      </c>
      <c r="O453" s="69"/>
    </row>
    <row r="454" spans="1:15" x14ac:dyDescent="0.3">
      <c r="A454" s="69"/>
      <c r="B454" s="68"/>
      <c r="C454" s="69"/>
      <c r="D454" s="69"/>
      <c r="E454" s="69"/>
      <c r="F454" s="69"/>
      <c r="G454" s="69"/>
      <c r="H454" s="69"/>
      <c r="I454" s="68"/>
      <c r="J454" s="69"/>
      <c r="K454" s="68"/>
      <c r="L454" s="69"/>
      <c r="M454" s="67" t="str">
        <f>IF(OR(C454="",E454="",L454=""),"",IF(INDEX(KPI_Targets!$F$5:$F$20,MATCH(C454,KPI_Targets!$B$5:$B$20,0))="Higher",IF(L454&gt;E454,"Improved",IF(L454=E454,"No change","Worse")),IF(L454&lt;E454,"Improved",IF(L454=E454,"No change","Worse"))))</f>
        <v/>
      </c>
      <c r="N454" s="67" t="str">
        <f t="shared" ca="1" si="7"/>
        <v/>
      </c>
      <c r="O454" s="69"/>
    </row>
    <row r="455" spans="1:15" x14ac:dyDescent="0.3">
      <c r="A455" s="69"/>
      <c r="B455" s="68"/>
      <c r="C455" s="69"/>
      <c r="D455" s="69"/>
      <c r="E455" s="69"/>
      <c r="F455" s="69"/>
      <c r="G455" s="69"/>
      <c r="H455" s="69"/>
      <c r="I455" s="68"/>
      <c r="J455" s="69"/>
      <c r="K455" s="68"/>
      <c r="L455" s="69"/>
      <c r="M455" s="67" t="str">
        <f>IF(OR(C455="",E455="",L455=""),"",IF(INDEX(KPI_Targets!$F$5:$F$20,MATCH(C455,KPI_Targets!$B$5:$B$20,0))="Higher",IF(L455&gt;E455,"Improved",IF(L455=E455,"No change","Worse")),IF(L455&lt;E455,"Improved",IF(L455=E455,"No change","Worse"))))</f>
        <v/>
      </c>
      <c r="N455" s="67" t="str">
        <f t="shared" ca="1" si="7"/>
        <v/>
      </c>
      <c r="O455" s="69"/>
    </row>
    <row r="456" spans="1:15" x14ac:dyDescent="0.3">
      <c r="A456" s="69"/>
      <c r="B456" s="68"/>
      <c r="C456" s="69"/>
      <c r="D456" s="69"/>
      <c r="E456" s="69"/>
      <c r="F456" s="69"/>
      <c r="G456" s="69"/>
      <c r="H456" s="69"/>
      <c r="I456" s="68"/>
      <c r="J456" s="69"/>
      <c r="K456" s="68"/>
      <c r="L456" s="69"/>
      <c r="M456" s="67" t="str">
        <f>IF(OR(C456="",E456="",L456=""),"",IF(INDEX(KPI_Targets!$F$5:$F$20,MATCH(C456,KPI_Targets!$B$5:$B$20,0))="Higher",IF(L456&gt;E456,"Improved",IF(L456=E456,"No change","Worse")),IF(L456&lt;E456,"Improved",IF(L456=E456,"No change","Worse"))))</f>
        <v/>
      </c>
      <c r="N456" s="67" t="str">
        <f t="shared" ca="1" si="7"/>
        <v/>
      </c>
      <c r="O456" s="69"/>
    </row>
    <row r="457" spans="1:15" x14ac:dyDescent="0.3">
      <c r="A457" s="69"/>
      <c r="B457" s="68"/>
      <c r="C457" s="69"/>
      <c r="D457" s="69"/>
      <c r="E457" s="69"/>
      <c r="F457" s="69"/>
      <c r="G457" s="69"/>
      <c r="H457" s="69"/>
      <c r="I457" s="68"/>
      <c r="J457" s="69"/>
      <c r="K457" s="68"/>
      <c r="L457" s="69"/>
      <c r="M457" s="67" t="str">
        <f>IF(OR(C457="",E457="",L457=""),"",IF(INDEX(KPI_Targets!$F$5:$F$20,MATCH(C457,KPI_Targets!$B$5:$B$20,0))="Higher",IF(L457&gt;E457,"Improved",IF(L457=E457,"No change","Worse")),IF(L457&lt;E457,"Improved",IF(L457=E457,"No change","Worse"))))</f>
        <v/>
      </c>
      <c r="N457" s="67" t="str">
        <f t="shared" ca="1" si="7"/>
        <v/>
      </c>
      <c r="O457" s="69"/>
    </row>
    <row r="458" spans="1:15" x14ac:dyDescent="0.3">
      <c r="A458" s="69"/>
      <c r="B458" s="68"/>
      <c r="C458" s="69"/>
      <c r="D458" s="69"/>
      <c r="E458" s="69"/>
      <c r="F458" s="69"/>
      <c r="G458" s="69"/>
      <c r="H458" s="69"/>
      <c r="I458" s="68"/>
      <c r="J458" s="69"/>
      <c r="K458" s="68"/>
      <c r="L458" s="69"/>
      <c r="M458" s="67" t="str">
        <f>IF(OR(C458="",E458="",L458=""),"",IF(INDEX(KPI_Targets!$F$5:$F$20,MATCH(C458,KPI_Targets!$B$5:$B$20,0))="Higher",IF(L458&gt;E458,"Improved",IF(L458=E458,"No change","Worse")),IF(L458&lt;E458,"Improved",IF(L458=E458,"No change","Worse"))))</f>
        <v/>
      </c>
      <c r="N458" s="67" t="str">
        <f t="shared" ca="1" si="7"/>
        <v/>
      </c>
      <c r="O458" s="69"/>
    </row>
    <row r="459" spans="1:15" x14ac:dyDescent="0.3">
      <c r="A459" s="69"/>
      <c r="B459" s="68"/>
      <c r="C459" s="69"/>
      <c r="D459" s="69"/>
      <c r="E459" s="69"/>
      <c r="F459" s="69"/>
      <c r="G459" s="69"/>
      <c r="H459" s="69"/>
      <c r="I459" s="68"/>
      <c r="J459" s="69"/>
      <c r="K459" s="68"/>
      <c r="L459" s="69"/>
      <c r="M459" s="67" t="str">
        <f>IF(OR(C459="",E459="",L459=""),"",IF(INDEX(KPI_Targets!$F$5:$F$20,MATCH(C459,KPI_Targets!$B$5:$B$20,0))="Higher",IF(L459&gt;E459,"Improved",IF(L459=E459,"No change","Worse")),IF(L459&lt;E459,"Improved",IF(L459=E459,"No change","Worse"))))</f>
        <v/>
      </c>
      <c r="N459" s="67" t="str">
        <f t="shared" ca="1" si="7"/>
        <v/>
      </c>
      <c r="O459" s="69"/>
    </row>
    <row r="460" spans="1:15" x14ac:dyDescent="0.3">
      <c r="A460" s="69"/>
      <c r="B460" s="68"/>
      <c r="C460" s="69"/>
      <c r="D460" s="69"/>
      <c r="E460" s="69"/>
      <c r="F460" s="69"/>
      <c r="G460" s="69"/>
      <c r="H460" s="69"/>
      <c r="I460" s="68"/>
      <c r="J460" s="69"/>
      <c r="K460" s="68"/>
      <c r="L460" s="69"/>
      <c r="M460" s="67" t="str">
        <f>IF(OR(C460="",E460="",L460=""),"",IF(INDEX(KPI_Targets!$F$5:$F$20,MATCH(C460,KPI_Targets!$B$5:$B$20,0))="Higher",IF(L460&gt;E460,"Improved",IF(L460=E460,"No change","Worse")),IF(L460&lt;E460,"Improved",IF(L460=E460,"No change","Worse"))))</f>
        <v/>
      </c>
      <c r="N460" s="67" t="str">
        <f t="shared" ca="1" si="7"/>
        <v/>
      </c>
      <c r="O460" s="69"/>
    </row>
    <row r="461" spans="1:15" x14ac:dyDescent="0.3">
      <c r="A461" s="69"/>
      <c r="B461" s="68"/>
      <c r="C461" s="69"/>
      <c r="D461" s="69"/>
      <c r="E461" s="69"/>
      <c r="F461" s="69"/>
      <c r="G461" s="69"/>
      <c r="H461" s="69"/>
      <c r="I461" s="68"/>
      <c r="J461" s="69"/>
      <c r="K461" s="68"/>
      <c r="L461" s="69"/>
      <c r="M461" s="67" t="str">
        <f>IF(OR(C461="",E461="",L461=""),"",IF(INDEX(KPI_Targets!$F$5:$F$20,MATCH(C461,KPI_Targets!$B$5:$B$20,0))="Higher",IF(L461&gt;E461,"Improved",IF(L461=E461,"No change","Worse")),IF(L461&lt;E461,"Improved",IF(L461=E461,"No change","Worse"))))</f>
        <v/>
      </c>
      <c r="N461" s="67" t="str">
        <f t="shared" ca="1" si="7"/>
        <v/>
      </c>
      <c r="O461" s="69"/>
    </row>
    <row r="462" spans="1:15" x14ac:dyDescent="0.3">
      <c r="A462" s="69"/>
      <c r="B462" s="68"/>
      <c r="C462" s="69"/>
      <c r="D462" s="69"/>
      <c r="E462" s="69"/>
      <c r="F462" s="69"/>
      <c r="G462" s="69"/>
      <c r="H462" s="69"/>
      <c r="I462" s="68"/>
      <c r="J462" s="69"/>
      <c r="K462" s="68"/>
      <c r="L462" s="69"/>
      <c r="M462" s="67" t="str">
        <f>IF(OR(C462="",E462="",L462=""),"",IF(INDEX(KPI_Targets!$F$5:$F$20,MATCH(C462,KPI_Targets!$B$5:$B$20,0))="Higher",IF(L462&gt;E462,"Improved",IF(L462=E462,"No change","Worse")),IF(L462&lt;E462,"Improved",IF(L462=E462,"No change","Worse"))))</f>
        <v/>
      </c>
      <c r="N462" s="67" t="str">
        <f t="shared" ca="1" si="7"/>
        <v/>
      </c>
      <c r="O462" s="69"/>
    </row>
    <row r="463" spans="1:15" x14ac:dyDescent="0.3">
      <c r="A463" s="69"/>
      <c r="B463" s="68"/>
      <c r="C463" s="69"/>
      <c r="D463" s="69"/>
      <c r="E463" s="69"/>
      <c r="F463" s="69"/>
      <c r="G463" s="69"/>
      <c r="H463" s="69"/>
      <c r="I463" s="68"/>
      <c r="J463" s="69"/>
      <c r="K463" s="68"/>
      <c r="L463" s="69"/>
      <c r="M463" s="67" t="str">
        <f>IF(OR(C463="",E463="",L463=""),"",IF(INDEX(KPI_Targets!$F$5:$F$20,MATCH(C463,KPI_Targets!$B$5:$B$20,0))="Higher",IF(L463&gt;E463,"Improved",IF(L463=E463,"No change","Worse")),IF(L463&lt;E463,"Improved",IF(L463=E463,"No change","Worse"))))</f>
        <v/>
      </c>
      <c r="N463" s="67" t="str">
        <f t="shared" ca="1" si="7"/>
        <v/>
      </c>
      <c r="O463" s="69"/>
    </row>
    <row r="464" spans="1:15" x14ac:dyDescent="0.3">
      <c r="A464" s="69"/>
      <c r="B464" s="68"/>
      <c r="C464" s="69"/>
      <c r="D464" s="69"/>
      <c r="E464" s="69"/>
      <c r="F464" s="69"/>
      <c r="G464" s="69"/>
      <c r="H464" s="69"/>
      <c r="I464" s="68"/>
      <c r="J464" s="69"/>
      <c r="K464" s="68"/>
      <c r="L464" s="69"/>
      <c r="M464" s="67" t="str">
        <f>IF(OR(C464="",E464="",L464=""),"",IF(INDEX(KPI_Targets!$F$5:$F$20,MATCH(C464,KPI_Targets!$B$5:$B$20,0))="Higher",IF(L464&gt;E464,"Improved",IF(L464=E464,"No change","Worse")),IF(L464&lt;E464,"Improved",IF(L464=E464,"No change","Worse"))))</f>
        <v/>
      </c>
      <c r="N464" s="67" t="str">
        <f t="shared" ca="1" si="7"/>
        <v/>
      </c>
      <c r="O464" s="69"/>
    </row>
    <row r="465" spans="1:15" x14ac:dyDescent="0.3">
      <c r="A465" s="69"/>
      <c r="B465" s="68"/>
      <c r="C465" s="69"/>
      <c r="D465" s="69"/>
      <c r="E465" s="69"/>
      <c r="F465" s="69"/>
      <c r="G465" s="69"/>
      <c r="H465" s="69"/>
      <c r="I465" s="68"/>
      <c r="J465" s="69"/>
      <c r="K465" s="68"/>
      <c r="L465" s="69"/>
      <c r="M465" s="67" t="str">
        <f>IF(OR(C465="",E465="",L465=""),"",IF(INDEX(KPI_Targets!$F$5:$F$20,MATCH(C465,KPI_Targets!$B$5:$B$20,0))="Higher",IF(L465&gt;E465,"Improved",IF(L465=E465,"No change","Worse")),IF(L465&lt;E465,"Improved",IF(L465=E465,"No change","Worse"))))</f>
        <v/>
      </c>
      <c r="N465" s="67" t="str">
        <f t="shared" ca="1" si="7"/>
        <v/>
      </c>
      <c r="O465" s="69"/>
    </row>
    <row r="466" spans="1:15" x14ac:dyDescent="0.3">
      <c r="A466" s="69"/>
      <c r="B466" s="68"/>
      <c r="C466" s="69"/>
      <c r="D466" s="69"/>
      <c r="E466" s="69"/>
      <c r="F466" s="69"/>
      <c r="G466" s="69"/>
      <c r="H466" s="69"/>
      <c r="I466" s="68"/>
      <c r="J466" s="69"/>
      <c r="K466" s="68"/>
      <c r="L466" s="69"/>
      <c r="M466" s="67" t="str">
        <f>IF(OR(C466="",E466="",L466=""),"",IF(INDEX(KPI_Targets!$F$5:$F$20,MATCH(C466,KPI_Targets!$B$5:$B$20,0))="Higher",IF(L466&gt;E466,"Improved",IF(L466=E466,"No change","Worse")),IF(L466&lt;E466,"Improved",IF(L466=E466,"No change","Worse"))))</f>
        <v/>
      </c>
      <c r="N466" s="67" t="str">
        <f t="shared" ca="1" si="7"/>
        <v/>
      </c>
      <c r="O466" s="69"/>
    </row>
    <row r="467" spans="1:15" x14ac:dyDescent="0.3">
      <c r="A467" s="69"/>
      <c r="B467" s="68"/>
      <c r="C467" s="69"/>
      <c r="D467" s="69"/>
      <c r="E467" s="69"/>
      <c r="F467" s="69"/>
      <c r="G467" s="69"/>
      <c r="H467" s="69"/>
      <c r="I467" s="68"/>
      <c r="J467" s="69"/>
      <c r="K467" s="68"/>
      <c r="L467" s="69"/>
      <c r="M467" s="67" t="str">
        <f>IF(OR(C467="",E467="",L467=""),"",IF(INDEX(KPI_Targets!$F$5:$F$20,MATCH(C467,KPI_Targets!$B$5:$B$20,0))="Higher",IF(L467&gt;E467,"Improved",IF(L467=E467,"No change","Worse")),IF(L467&lt;E467,"Improved",IF(L467=E467,"No change","Worse"))))</f>
        <v/>
      </c>
      <c r="N467" s="67" t="str">
        <f t="shared" ca="1" si="7"/>
        <v/>
      </c>
      <c r="O467" s="69"/>
    </row>
    <row r="468" spans="1:15" x14ac:dyDescent="0.3">
      <c r="A468" s="69"/>
      <c r="B468" s="68"/>
      <c r="C468" s="69"/>
      <c r="D468" s="69"/>
      <c r="E468" s="69"/>
      <c r="F468" s="69"/>
      <c r="G468" s="69"/>
      <c r="H468" s="69"/>
      <c r="I468" s="68"/>
      <c r="J468" s="69"/>
      <c r="K468" s="68"/>
      <c r="L468" s="69"/>
      <c r="M468" s="67" t="str">
        <f>IF(OR(C468="",E468="",L468=""),"",IF(INDEX(KPI_Targets!$F$5:$F$20,MATCH(C468,KPI_Targets!$B$5:$B$20,0))="Higher",IF(L468&gt;E468,"Improved",IF(L468=E468,"No change","Worse")),IF(L468&lt;E468,"Improved",IF(L468=E468,"No change","Worse"))))</f>
        <v/>
      </c>
      <c r="N468" s="67" t="str">
        <f t="shared" ca="1" si="7"/>
        <v/>
      </c>
      <c r="O468" s="69"/>
    </row>
    <row r="469" spans="1:15" x14ac:dyDescent="0.3">
      <c r="A469" s="69"/>
      <c r="B469" s="68"/>
      <c r="C469" s="69"/>
      <c r="D469" s="69"/>
      <c r="E469" s="69"/>
      <c r="F469" s="69"/>
      <c r="G469" s="69"/>
      <c r="H469" s="69"/>
      <c r="I469" s="68"/>
      <c r="J469" s="69"/>
      <c r="K469" s="68"/>
      <c r="L469" s="69"/>
      <c r="M469" s="67" t="str">
        <f>IF(OR(C469="",E469="",L469=""),"",IF(INDEX(KPI_Targets!$F$5:$F$20,MATCH(C469,KPI_Targets!$B$5:$B$20,0))="Higher",IF(L469&gt;E469,"Improved",IF(L469=E469,"No change","Worse")),IF(L469&lt;E469,"Improved",IF(L469=E469,"No change","Worse"))))</f>
        <v/>
      </c>
      <c r="N469" s="67" t="str">
        <f t="shared" ca="1" si="7"/>
        <v/>
      </c>
      <c r="O469" s="69"/>
    </row>
    <row r="470" spans="1:15" x14ac:dyDescent="0.3">
      <c r="A470" s="69"/>
      <c r="B470" s="68"/>
      <c r="C470" s="69"/>
      <c r="D470" s="69"/>
      <c r="E470" s="69"/>
      <c r="F470" s="69"/>
      <c r="G470" s="69"/>
      <c r="H470" s="69"/>
      <c r="I470" s="68"/>
      <c r="J470" s="69"/>
      <c r="K470" s="68"/>
      <c r="L470" s="69"/>
      <c r="M470" s="67" t="str">
        <f>IF(OR(C470="",E470="",L470=""),"",IF(INDEX(KPI_Targets!$F$5:$F$20,MATCH(C470,KPI_Targets!$B$5:$B$20,0))="Higher",IF(L470&gt;E470,"Improved",IF(L470=E470,"No change","Worse")),IF(L470&lt;E470,"Improved",IF(L470=E470,"No change","Worse"))))</f>
        <v/>
      </c>
      <c r="N470" s="67" t="str">
        <f t="shared" ca="1" si="7"/>
        <v/>
      </c>
      <c r="O470" s="69"/>
    </row>
    <row r="471" spans="1:15" x14ac:dyDescent="0.3">
      <c r="A471" s="69"/>
      <c r="B471" s="68"/>
      <c r="C471" s="69"/>
      <c r="D471" s="69"/>
      <c r="E471" s="69"/>
      <c r="F471" s="69"/>
      <c r="G471" s="69"/>
      <c r="H471" s="69"/>
      <c r="I471" s="68"/>
      <c r="J471" s="69"/>
      <c r="K471" s="68"/>
      <c r="L471" s="69"/>
      <c r="M471" s="67" t="str">
        <f>IF(OR(C471="",E471="",L471=""),"",IF(INDEX(KPI_Targets!$F$5:$F$20,MATCH(C471,KPI_Targets!$B$5:$B$20,0))="Higher",IF(L471&gt;E471,"Improved",IF(L471=E471,"No change","Worse")),IF(L471&lt;E471,"Improved",IF(L471=E471,"No change","Worse"))))</f>
        <v/>
      </c>
      <c r="N471" s="67" t="str">
        <f t="shared" ca="1" si="7"/>
        <v/>
      </c>
      <c r="O471" s="69"/>
    </row>
    <row r="472" spans="1:15" x14ac:dyDescent="0.3">
      <c r="A472" s="69"/>
      <c r="B472" s="68"/>
      <c r="C472" s="69"/>
      <c r="D472" s="69"/>
      <c r="E472" s="69"/>
      <c r="F472" s="69"/>
      <c r="G472" s="69"/>
      <c r="H472" s="69"/>
      <c r="I472" s="68"/>
      <c r="J472" s="69"/>
      <c r="K472" s="68"/>
      <c r="L472" s="69"/>
      <c r="M472" s="67" t="str">
        <f>IF(OR(C472="",E472="",L472=""),"",IF(INDEX(KPI_Targets!$F$5:$F$20,MATCH(C472,KPI_Targets!$B$5:$B$20,0))="Higher",IF(L472&gt;E472,"Improved",IF(L472=E472,"No change","Worse")),IF(L472&lt;E472,"Improved",IF(L472=E472,"No change","Worse"))))</f>
        <v/>
      </c>
      <c r="N472" s="67" t="str">
        <f t="shared" ca="1" si="7"/>
        <v/>
      </c>
      <c r="O472" s="69"/>
    </row>
    <row r="473" spans="1:15" x14ac:dyDescent="0.3">
      <c r="A473" s="69"/>
      <c r="B473" s="68"/>
      <c r="C473" s="69"/>
      <c r="D473" s="69"/>
      <c r="E473" s="69"/>
      <c r="F473" s="69"/>
      <c r="G473" s="69"/>
      <c r="H473" s="69"/>
      <c r="I473" s="68"/>
      <c r="J473" s="69"/>
      <c r="K473" s="68"/>
      <c r="L473" s="69"/>
      <c r="M473" s="67" t="str">
        <f>IF(OR(C473="",E473="",L473=""),"",IF(INDEX(KPI_Targets!$F$5:$F$20,MATCH(C473,KPI_Targets!$B$5:$B$20,0))="Higher",IF(L473&gt;E473,"Improved",IF(L473=E473,"No change","Worse")),IF(L473&lt;E473,"Improved",IF(L473=E473,"No change","Worse"))))</f>
        <v/>
      </c>
      <c r="N473" s="67" t="str">
        <f t="shared" ca="1" si="7"/>
        <v/>
      </c>
      <c r="O473" s="69"/>
    </row>
    <row r="474" spans="1:15" x14ac:dyDescent="0.3">
      <c r="A474" s="69"/>
      <c r="B474" s="68"/>
      <c r="C474" s="69"/>
      <c r="D474" s="69"/>
      <c r="E474" s="69"/>
      <c r="F474" s="69"/>
      <c r="G474" s="69"/>
      <c r="H474" s="69"/>
      <c r="I474" s="68"/>
      <c r="J474" s="69"/>
      <c r="K474" s="68"/>
      <c r="L474" s="69"/>
      <c r="M474" s="67" t="str">
        <f>IF(OR(C474="",E474="",L474=""),"",IF(INDEX(KPI_Targets!$F$5:$F$20,MATCH(C474,KPI_Targets!$B$5:$B$20,0))="Higher",IF(L474&gt;E474,"Improved",IF(L474=E474,"No change","Worse")),IF(L474&lt;E474,"Improved",IF(L474=E474,"No change","Worse"))))</f>
        <v/>
      </c>
      <c r="N474" s="67" t="str">
        <f t="shared" ca="1" si="7"/>
        <v/>
      </c>
      <c r="O474" s="69"/>
    </row>
    <row r="475" spans="1:15" x14ac:dyDescent="0.3">
      <c r="A475" s="69"/>
      <c r="B475" s="68"/>
      <c r="C475" s="69"/>
      <c r="D475" s="69"/>
      <c r="E475" s="69"/>
      <c r="F475" s="69"/>
      <c r="G475" s="69"/>
      <c r="H475" s="69"/>
      <c r="I475" s="68"/>
      <c r="J475" s="69"/>
      <c r="K475" s="68"/>
      <c r="L475" s="69"/>
      <c r="M475" s="67" t="str">
        <f>IF(OR(C475="",E475="",L475=""),"",IF(INDEX(KPI_Targets!$F$5:$F$20,MATCH(C475,KPI_Targets!$B$5:$B$20,0))="Higher",IF(L475&gt;E475,"Improved",IF(L475=E475,"No change","Worse")),IF(L475&lt;E475,"Improved",IF(L475=E475,"No change","Worse"))))</f>
        <v/>
      </c>
      <c r="N475" s="67" t="str">
        <f t="shared" ca="1" si="7"/>
        <v/>
      </c>
      <c r="O475" s="69"/>
    </row>
    <row r="476" spans="1:15" x14ac:dyDescent="0.3">
      <c r="A476" s="69"/>
      <c r="B476" s="68"/>
      <c r="C476" s="69"/>
      <c r="D476" s="69"/>
      <c r="E476" s="69"/>
      <c r="F476" s="69"/>
      <c r="G476" s="69"/>
      <c r="H476" s="69"/>
      <c r="I476" s="68"/>
      <c r="J476" s="69"/>
      <c r="K476" s="68"/>
      <c r="L476" s="69"/>
      <c r="M476" s="67" t="str">
        <f>IF(OR(C476="",E476="",L476=""),"",IF(INDEX(KPI_Targets!$F$5:$F$20,MATCH(C476,KPI_Targets!$B$5:$B$20,0))="Higher",IF(L476&gt;E476,"Improved",IF(L476=E476,"No change","Worse")),IF(L476&lt;E476,"Improved",IF(L476=E476,"No change","Worse"))))</f>
        <v/>
      </c>
      <c r="N476" s="67" t="str">
        <f t="shared" ca="1" si="7"/>
        <v/>
      </c>
      <c r="O476" s="69"/>
    </row>
    <row r="477" spans="1:15" x14ac:dyDescent="0.3">
      <c r="A477" s="69"/>
      <c r="B477" s="68"/>
      <c r="C477" s="69"/>
      <c r="D477" s="69"/>
      <c r="E477" s="69"/>
      <c r="F477" s="69"/>
      <c r="G477" s="69"/>
      <c r="H477" s="69"/>
      <c r="I477" s="68"/>
      <c r="J477" s="69"/>
      <c r="K477" s="68"/>
      <c r="L477" s="69"/>
      <c r="M477" s="67" t="str">
        <f>IF(OR(C477="",E477="",L477=""),"",IF(INDEX(KPI_Targets!$F$5:$F$20,MATCH(C477,KPI_Targets!$B$5:$B$20,0))="Higher",IF(L477&gt;E477,"Improved",IF(L477=E477,"No change","Worse")),IF(L477&lt;E477,"Improved",IF(L477=E477,"No change","Worse"))))</f>
        <v/>
      </c>
      <c r="N477" s="67" t="str">
        <f t="shared" ca="1" si="7"/>
        <v/>
      </c>
      <c r="O477" s="69"/>
    </row>
    <row r="478" spans="1:15" x14ac:dyDescent="0.3">
      <c r="A478" s="69"/>
      <c r="B478" s="68"/>
      <c r="C478" s="69"/>
      <c r="D478" s="69"/>
      <c r="E478" s="69"/>
      <c r="F478" s="69"/>
      <c r="G478" s="69"/>
      <c r="H478" s="69"/>
      <c r="I478" s="68"/>
      <c r="J478" s="69"/>
      <c r="K478" s="68"/>
      <c r="L478" s="69"/>
      <c r="M478" s="67" t="str">
        <f>IF(OR(C478="",E478="",L478=""),"",IF(INDEX(KPI_Targets!$F$5:$F$20,MATCH(C478,KPI_Targets!$B$5:$B$20,0))="Higher",IF(L478&gt;E478,"Improved",IF(L478=E478,"No change","Worse")),IF(L478&lt;E478,"Improved",IF(L478=E478,"No change","Worse"))))</f>
        <v/>
      </c>
      <c r="N478" s="67" t="str">
        <f t="shared" ca="1" si="7"/>
        <v/>
      </c>
      <c r="O478" s="69"/>
    </row>
    <row r="479" spans="1:15" x14ac:dyDescent="0.3">
      <c r="A479" s="69"/>
      <c r="B479" s="68"/>
      <c r="C479" s="69"/>
      <c r="D479" s="69"/>
      <c r="E479" s="69"/>
      <c r="F479" s="69"/>
      <c r="G479" s="69"/>
      <c r="H479" s="69"/>
      <c r="I479" s="68"/>
      <c r="J479" s="69"/>
      <c r="K479" s="68"/>
      <c r="L479" s="69"/>
      <c r="M479" s="67" t="str">
        <f>IF(OR(C479="",E479="",L479=""),"",IF(INDEX(KPI_Targets!$F$5:$F$20,MATCH(C479,KPI_Targets!$B$5:$B$20,0))="Higher",IF(L479&gt;E479,"Improved",IF(L479=E479,"No change","Worse")),IF(L479&lt;E479,"Improved",IF(L479=E479,"No change","Worse"))))</f>
        <v/>
      </c>
      <c r="N479" s="67" t="str">
        <f t="shared" ca="1" si="7"/>
        <v/>
      </c>
      <c r="O479" s="69"/>
    </row>
    <row r="480" spans="1:15" x14ac:dyDescent="0.3">
      <c r="A480" s="69"/>
      <c r="B480" s="68"/>
      <c r="C480" s="69"/>
      <c r="D480" s="69"/>
      <c r="E480" s="69"/>
      <c r="F480" s="69"/>
      <c r="G480" s="69"/>
      <c r="H480" s="69"/>
      <c r="I480" s="68"/>
      <c r="J480" s="69"/>
      <c r="K480" s="68"/>
      <c r="L480" s="69"/>
      <c r="M480" s="67" t="str">
        <f>IF(OR(C480="",E480="",L480=""),"",IF(INDEX(KPI_Targets!$F$5:$F$20,MATCH(C480,KPI_Targets!$B$5:$B$20,0))="Higher",IF(L480&gt;E480,"Improved",IF(L480=E480,"No change","Worse")),IF(L480&lt;E480,"Improved",IF(L480=E480,"No change","Worse"))))</f>
        <v/>
      </c>
      <c r="N480" s="67" t="str">
        <f t="shared" ca="1" si="7"/>
        <v/>
      </c>
      <c r="O480" s="69"/>
    </row>
    <row r="481" spans="1:15" x14ac:dyDescent="0.3">
      <c r="A481" s="69"/>
      <c r="B481" s="68"/>
      <c r="C481" s="69"/>
      <c r="D481" s="69"/>
      <c r="E481" s="69"/>
      <c r="F481" s="69"/>
      <c r="G481" s="69"/>
      <c r="H481" s="69"/>
      <c r="I481" s="68"/>
      <c r="J481" s="69"/>
      <c r="K481" s="68"/>
      <c r="L481" s="69"/>
      <c r="M481" s="67" t="str">
        <f>IF(OR(C481="",E481="",L481=""),"",IF(INDEX(KPI_Targets!$F$5:$F$20,MATCH(C481,KPI_Targets!$B$5:$B$20,0))="Higher",IF(L481&gt;E481,"Improved",IF(L481=E481,"No change","Worse")),IF(L481&lt;E481,"Improved",IF(L481=E481,"No change","Worse"))))</f>
        <v/>
      </c>
      <c r="N481" s="67" t="str">
        <f t="shared" ca="1" si="7"/>
        <v/>
      </c>
      <c r="O481" s="69"/>
    </row>
    <row r="482" spans="1:15" x14ac:dyDescent="0.3">
      <c r="A482" s="69"/>
      <c r="B482" s="68"/>
      <c r="C482" s="69"/>
      <c r="D482" s="69"/>
      <c r="E482" s="69"/>
      <c r="F482" s="69"/>
      <c r="G482" s="69"/>
      <c r="H482" s="69"/>
      <c r="I482" s="68"/>
      <c r="J482" s="69"/>
      <c r="K482" s="68"/>
      <c r="L482" s="69"/>
      <c r="M482" s="67" t="str">
        <f>IF(OR(C482="",E482="",L482=""),"",IF(INDEX(KPI_Targets!$F$5:$F$20,MATCH(C482,KPI_Targets!$B$5:$B$20,0))="Higher",IF(L482&gt;E482,"Improved",IF(L482=E482,"No change","Worse")),IF(L482&lt;E482,"Improved",IF(L482=E482,"No change","Worse"))))</f>
        <v/>
      </c>
      <c r="N482" s="67" t="str">
        <f t="shared" ca="1" si="7"/>
        <v/>
      </c>
      <c r="O482" s="69"/>
    </row>
    <row r="483" spans="1:15" x14ac:dyDescent="0.3">
      <c r="A483" s="69"/>
      <c r="B483" s="68"/>
      <c r="C483" s="69"/>
      <c r="D483" s="69"/>
      <c r="E483" s="69"/>
      <c r="F483" s="69"/>
      <c r="G483" s="69"/>
      <c r="H483" s="69"/>
      <c r="I483" s="68"/>
      <c r="J483" s="69"/>
      <c r="K483" s="68"/>
      <c r="L483" s="69"/>
      <c r="M483" s="67" t="str">
        <f>IF(OR(C483="",E483="",L483=""),"",IF(INDEX(KPI_Targets!$F$5:$F$20,MATCH(C483,KPI_Targets!$B$5:$B$20,0))="Higher",IF(L483&gt;E483,"Improved",IF(L483=E483,"No change","Worse")),IF(L483&lt;E483,"Improved",IF(L483=E483,"No change","Worse"))))</f>
        <v/>
      </c>
      <c r="N483" s="67" t="str">
        <f t="shared" ca="1" si="7"/>
        <v/>
      </c>
      <c r="O483" s="69"/>
    </row>
    <row r="484" spans="1:15" x14ac:dyDescent="0.3">
      <c r="A484" s="69"/>
      <c r="B484" s="68"/>
      <c r="C484" s="69"/>
      <c r="D484" s="69"/>
      <c r="E484" s="69"/>
      <c r="F484" s="69"/>
      <c r="G484" s="69"/>
      <c r="H484" s="69"/>
      <c r="I484" s="68"/>
      <c r="J484" s="69"/>
      <c r="K484" s="68"/>
      <c r="L484" s="69"/>
      <c r="M484" s="67" t="str">
        <f>IF(OR(C484="",E484="",L484=""),"",IF(INDEX(KPI_Targets!$F$5:$F$20,MATCH(C484,KPI_Targets!$B$5:$B$20,0))="Higher",IF(L484&gt;E484,"Improved",IF(L484=E484,"No change","Worse")),IF(L484&lt;E484,"Improved",IF(L484=E484,"No change","Worse"))))</f>
        <v/>
      </c>
      <c r="N484" s="67" t="str">
        <f t="shared" ca="1" si="7"/>
        <v/>
      </c>
      <c r="O484" s="69"/>
    </row>
    <row r="485" spans="1:15" x14ac:dyDescent="0.3">
      <c r="A485" s="69"/>
      <c r="B485" s="68"/>
      <c r="C485" s="69"/>
      <c r="D485" s="69"/>
      <c r="E485" s="69"/>
      <c r="F485" s="69"/>
      <c r="G485" s="69"/>
      <c r="H485" s="69"/>
      <c r="I485" s="68"/>
      <c r="J485" s="69"/>
      <c r="K485" s="68"/>
      <c r="L485" s="69"/>
      <c r="M485" s="67" t="str">
        <f>IF(OR(C485="",E485="",L485=""),"",IF(INDEX(KPI_Targets!$F$5:$F$20,MATCH(C485,KPI_Targets!$B$5:$B$20,0))="Higher",IF(L485&gt;E485,"Improved",IF(L485=E485,"No change","Worse")),IF(L485&lt;E485,"Improved",IF(L485=E485,"No change","Worse"))))</f>
        <v/>
      </c>
      <c r="N485" s="67" t="str">
        <f t="shared" ca="1" si="7"/>
        <v/>
      </c>
      <c r="O485" s="69"/>
    </row>
    <row r="486" spans="1:15" x14ac:dyDescent="0.3">
      <c r="A486" s="69"/>
      <c r="B486" s="68"/>
      <c r="C486" s="69"/>
      <c r="D486" s="69"/>
      <c r="E486" s="69"/>
      <c r="F486" s="69"/>
      <c r="G486" s="69"/>
      <c r="H486" s="69"/>
      <c r="I486" s="68"/>
      <c r="J486" s="69"/>
      <c r="K486" s="68"/>
      <c r="L486" s="69"/>
      <c r="M486" s="67" t="str">
        <f>IF(OR(C486="",E486="",L486=""),"",IF(INDEX(KPI_Targets!$F$5:$F$20,MATCH(C486,KPI_Targets!$B$5:$B$20,0))="Higher",IF(L486&gt;E486,"Improved",IF(L486=E486,"No change","Worse")),IF(L486&lt;E486,"Improved",IF(L486=E486,"No change","Worse"))))</f>
        <v/>
      </c>
      <c r="N486" s="67" t="str">
        <f t="shared" ca="1" si="7"/>
        <v/>
      </c>
      <c r="O486" s="69"/>
    </row>
    <row r="487" spans="1:15" x14ac:dyDescent="0.3">
      <c r="A487" s="69"/>
      <c r="B487" s="68"/>
      <c r="C487" s="69"/>
      <c r="D487" s="69"/>
      <c r="E487" s="69"/>
      <c r="F487" s="69"/>
      <c r="G487" s="69"/>
      <c r="H487" s="69"/>
      <c r="I487" s="68"/>
      <c r="J487" s="69"/>
      <c r="K487" s="68"/>
      <c r="L487" s="69"/>
      <c r="M487" s="67" t="str">
        <f>IF(OR(C487="",E487="",L487=""),"",IF(INDEX(KPI_Targets!$F$5:$F$20,MATCH(C487,KPI_Targets!$B$5:$B$20,0))="Higher",IF(L487&gt;E487,"Improved",IF(L487=E487,"No change","Worse")),IF(L487&lt;E487,"Improved",IF(L487=E487,"No change","Worse"))))</f>
        <v/>
      </c>
      <c r="N487" s="67" t="str">
        <f t="shared" ca="1" si="7"/>
        <v/>
      </c>
      <c r="O487" s="69"/>
    </row>
    <row r="488" spans="1:15" x14ac:dyDescent="0.3">
      <c r="A488" s="69"/>
      <c r="B488" s="68"/>
      <c r="C488" s="69"/>
      <c r="D488" s="69"/>
      <c r="E488" s="69"/>
      <c r="F488" s="69"/>
      <c r="G488" s="69"/>
      <c r="H488" s="69"/>
      <c r="I488" s="68"/>
      <c r="J488" s="69"/>
      <c r="K488" s="68"/>
      <c r="L488" s="69"/>
      <c r="M488" s="67" t="str">
        <f>IF(OR(C488="",E488="",L488=""),"",IF(INDEX(KPI_Targets!$F$5:$F$20,MATCH(C488,KPI_Targets!$B$5:$B$20,0))="Higher",IF(L488&gt;E488,"Improved",IF(L488=E488,"No change","Worse")),IF(L488&lt;E488,"Improved",IF(L488=E488,"No change","Worse"))))</f>
        <v/>
      </c>
      <c r="N488" s="67" t="str">
        <f t="shared" ca="1" si="7"/>
        <v/>
      </c>
      <c r="O488" s="69"/>
    </row>
    <row r="489" spans="1:15" x14ac:dyDescent="0.3">
      <c r="A489" s="69"/>
      <c r="B489" s="68"/>
      <c r="C489" s="69"/>
      <c r="D489" s="69"/>
      <c r="E489" s="69"/>
      <c r="F489" s="69"/>
      <c r="G489" s="69"/>
      <c r="H489" s="69"/>
      <c r="I489" s="68"/>
      <c r="J489" s="69"/>
      <c r="K489" s="68"/>
      <c r="L489" s="69"/>
      <c r="M489" s="67" t="str">
        <f>IF(OR(C489="",E489="",L489=""),"",IF(INDEX(KPI_Targets!$F$5:$F$20,MATCH(C489,KPI_Targets!$B$5:$B$20,0))="Higher",IF(L489&gt;E489,"Improved",IF(L489=E489,"No change","Worse")),IF(L489&lt;E489,"Improved",IF(L489=E489,"No change","Worse"))))</f>
        <v/>
      </c>
      <c r="N489" s="67" t="str">
        <f t="shared" ca="1" si="7"/>
        <v/>
      </c>
      <c r="O489" s="69"/>
    </row>
    <row r="490" spans="1:15" x14ac:dyDescent="0.3">
      <c r="A490" s="69"/>
      <c r="B490" s="68"/>
      <c r="C490" s="69"/>
      <c r="D490" s="69"/>
      <c r="E490" s="69"/>
      <c r="F490" s="69"/>
      <c r="G490" s="69"/>
      <c r="H490" s="69"/>
      <c r="I490" s="68"/>
      <c r="J490" s="69"/>
      <c r="K490" s="68"/>
      <c r="L490" s="69"/>
      <c r="M490" s="67" t="str">
        <f>IF(OR(C490="",E490="",L490=""),"",IF(INDEX(KPI_Targets!$F$5:$F$20,MATCH(C490,KPI_Targets!$B$5:$B$20,0))="Higher",IF(L490&gt;E490,"Improved",IF(L490=E490,"No change","Worse")),IF(L490&lt;E490,"Improved",IF(L490=E490,"No change","Worse"))))</f>
        <v/>
      </c>
      <c r="N490" s="67" t="str">
        <f t="shared" ca="1" si="7"/>
        <v/>
      </c>
      <c r="O490" s="69"/>
    </row>
    <row r="491" spans="1:15" x14ac:dyDescent="0.3">
      <c r="A491" s="69"/>
      <c r="B491" s="68"/>
      <c r="C491" s="69"/>
      <c r="D491" s="69"/>
      <c r="E491" s="69"/>
      <c r="F491" s="69"/>
      <c r="G491" s="69"/>
      <c r="H491" s="69"/>
      <c r="I491" s="68"/>
      <c r="J491" s="69"/>
      <c r="K491" s="68"/>
      <c r="L491" s="69"/>
      <c r="M491" s="67" t="str">
        <f>IF(OR(C491="",E491="",L491=""),"",IF(INDEX(KPI_Targets!$F$5:$F$20,MATCH(C491,KPI_Targets!$B$5:$B$20,0))="Higher",IF(L491&gt;E491,"Improved",IF(L491=E491,"No change","Worse")),IF(L491&lt;E491,"Improved",IF(L491=E491,"No change","Worse"))))</f>
        <v/>
      </c>
      <c r="N491" s="67" t="str">
        <f t="shared" ca="1" si="7"/>
        <v/>
      </c>
      <c r="O491" s="69"/>
    </row>
    <row r="492" spans="1:15" x14ac:dyDescent="0.3">
      <c r="A492" s="69"/>
      <c r="B492" s="68"/>
      <c r="C492" s="69"/>
      <c r="D492" s="69"/>
      <c r="E492" s="69"/>
      <c r="F492" s="69"/>
      <c r="G492" s="69"/>
      <c r="H492" s="69"/>
      <c r="I492" s="68"/>
      <c r="J492" s="69"/>
      <c r="K492" s="68"/>
      <c r="L492" s="69"/>
      <c r="M492" s="67" t="str">
        <f>IF(OR(C492="",E492="",L492=""),"",IF(INDEX(KPI_Targets!$F$5:$F$20,MATCH(C492,KPI_Targets!$B$5:$B$20,0))="Higher",IF(L492&gt;E492,"Improved",IF(L492=E492,"No change","Worse")),IF(L492&lt;E492,"Improved",IF(L492=E492,"No change","Worse"))))</f>
        <v/>
      </c>
      <c r="N492" s="67" t="str">
        <f t="shared" ca="1" si="7"/>
        <v/>
      </c>
      <c r="O492" s="69"/>
    </row>
    <row r="493" spans="1:15" x14ac:dyDescent="0.3">
      <c r="A493" s="69"/>
      <c r="B493" s="68"/>
      <c r="C493" s="69"/>
      <c r="D493" s="69"/>
      <c r="E493" s="69"/>
      <c r="F493" s="69"/>
      <c r="G493" s="69"/>
      <c r="H493" s="69"/>
      <c r="I493" s="68"/>
      <c r="J493" s="69"/>
      <c r="K493" s="68"/>
      <c r="L493" s="69"/>
      <c r="M493" s="67" t="str">
        <f>IF(OR(C493="",E493="",L493=""),"",IF(INDEX(KPI_Targets!$F$5:$F$20,MATCH(C493,KPI_Targets!$B$5:$B$20,0))="Higher",IF(L493&gt;E493,"Improved",IF(L493=E493,"No change","Worse")),IF(L493&lt;E493,"Improved",IF(L493=E493,"No change","Worse"))))</f>
        <v/>
      </c>
      <c r="N493" s="67" t="str">
        <f t="shared" ca="1" si="7"/>
        <v/>
      </c>
      <c r="O493" s="69"/>
    </row>
    <row r="494" spans="1:15" x14ac:dyDescent="0.3">
      <c r="A494" s="69"/>
      <c r="B494" s="68"/>
      <c r="C494" s="69"/>
      <c r="D494" s="69"/>
      <c r="E494" s="69"/>
      <c r="F494" s="69"/>
      <c r="G494" s="69"/>
      <c r="H494" s="69"/>
      <c r="I494" s="68"/>
      <c r="J494" s="69"/>
      <c r="K494" s="68"/>
      <c r="L494" s="69"/>
      <c r="M494" s="67" t="str">
        <f>IF(OR(C494="",E494="",L494=""),"",IF(INDEX(KPI_Targets!$F$5:$F$20,MATCH(C494,KPI_Targets!$B$5:$B$20,0))="Higher",IF(L494&gt;E494,"Improved",IF(L494=E494,"No change","Worse")),IF(L494&lt;E494,"Improved",IF(L494=E494,"No change","Worse"))))</f>
        <v/>
      </c>
      <c r="N494" s="67" t="str">
        <f t="shared" ca="1" si="7"/>
        <v/>
      </c>
      <c r="O494" s="69"/>
    </row>
    <row r="495" spans="1:15" x14ac:dyDescent="0.3">
      <c r="A495" s="69"/>
      <c r="B495" s="68"/>
      <c r="C495" s="69"/>
      <c r="D495" s="69"/>
      <c r="E495" s="69"/>
      <c r="F495" s="69"/>
      <c r="G495" s="69"/>
      <c r="H495" s="69"/>
      <c r="I495" s="68"/>
      <c r="J495" s="69"/>
      <c r="K495" s="68"/>
      <c r="L495" s="69"/>
      <c r="M495" s="67" t="str">
        <f>IF(OR(C495="",E495="",L495=""),"",IF(INDEX(KPI_Targets!$F$5:$F$20,MATCH(C495,KPI_Targets!$B$5:$B$20,0))="Higher",IF(L495&gt;E495,"Improved",IF(L495=E495,"No change","Worse")),IF(L495&lt;E495,"Improved",IF(L495=E495,"No change","Worse"))))</f>
        <v/>
      </c>
      <c r="N495" s="67" t="str">
        <f t="shared" ca="1" si="7"/>
        <v/>
      </c>
      <c r="O495" s="69"/>
    </row>
    <row r="496" spans="1:15" x14ac:dyDescent="0.3">
      <c r="A496" s="69"/>
      <c r="B496" s="68"/>
      <c r="C496" s="69"/>
      <c r="D496" s="69"/>
      <c r="E496" s="69"/>
      <c r="F496" s="69"/>
      <c r="G496" s="69"/>
      <c r="H496" s="69"/>
      <c r="I496" s="68"/>
      <c r="J496" s="69"/>
      <c r="K496" s="68"/>
      <c r="L496" s="69"/>
      <c r="M496" s="67" t="str">
        <f>IF(OR(C496="",E496="",L496=""),"",IF(INDEX(KPI_Targets!$F$5:$F$20,MATCH(C496,KPI_Targets!$B$5:$B$20,0))="Higher",IF(L496&gt;E496,"Improved",IF(L496=E496,"No change","Worse")),IF(L496&lt;E496,"Improved",IF(L496=E496,"No change","Worse"))))</f>
        <v/>
      </c>
      <c r="N496" s="67" t="str">
        <f t="shared" ca="1" si="7"/>
        <v/>
      </c>
      <c r="O496" s="69"/>
    </row>
    <row r="497" spans="1:15" x14ac:dyDescent="0.3">
      <c r="A497" s="69"/>
      <c r="B497" s="68"/>
      <c r="C497" s="69"/>
      <c r="D497" s="69"/>
      <c r="E497" s="69"/>
      <c r="F497" s="69"/>
      <c r="G497" s="69"/>
      <c r="H497" s="69"/>
      <c r="I497" s="68"/>
      <c r="J497" s="69"/>
      <c r="K497" s="68"/>
      <c r="L497" s="69"/>
      <c r="M497" s="67" t="str">
        <f>IF(OR(C497="",E497="",L497=""),"",IF(INDEX(KPI_Targets!$F$5:$F$20,MATCH(C497,KPI_Targets!$B$5:$B$20,0))="Higher",IF(L497&gt;E497,"Improved",IF(L497=E497,"No change","Worse")),IF(L497&lt;E497,"Improved",IF(L497=E497,"No change","Worse"))))</f>
        <v/>
      </c>
      <c r="N497" s="67" t="str">
        <f t="shared" ca="1" si="7"/>
        <v/>
      </c>
      <c r="O497" s="69"/>
    </row>
    <row r="498" spans="1:15" x14ac:dyDescent="0.3">
      <c r="A498" s="69"/>
      <c r="B498" s="68"/>
      <c r="C498" s="69"/>
      <c r="D498" s="69"/>
      <c r="E498" s="69"/>
      <c r="F498" s="69"/>
      <c r="G498" s="69"/>
      <c r="H498" s="69"/>
      <c r="I498" s="68"/>
      <c r="J498" s="69"/>
      <c r="K498" s="68"/>
      <c r="L498" s="69"/>
      <c r="M498" s="67" t="str">
        <f>IF(OR(C498="",E498="",L498=""),"",IF(INDEX(KPI_Targets!$F$5:$F$20,MATCH(C498,KPI_Targets!$B$5:$B$20,0))="Higher",IF(L498&gt;E498,"Improved",IF(L498=E498,"No change","Worse")),IF(L498&lt;E498,"Improved",IF(L498=E498,"No change","Worse"))))</f>
        <v/>
      </c>
      <c r="N498" s="67" t="str">
        <f t="shared" ca="1" si="7"/>
        <v/>
      </c>
      <c r="O498" s="69"/>
    </row>
    <row r="499" spans="1:15" x14ac:dyDescent="0.3">
      <c r="A499" s="69"/>
      <c r="B499" s="68"/>
      <c r="C499" s="69"/>
      <c r="D499" s="69"/>
      <c r="E499" s="69"/>
      <c r="F499" s="69"/>
      <c r="G499" s="69"/>
      <c r="H499" s="69"/>
      <c r="I499" s="68"/>
      <c r="J499" s="69"/>
      <c r="K499" s="68"/>
      <c r="L499" s="69"/>
      <c r="M499" s="67" t="str">
        <f>IF(OR(C499="",E499="",L499=""),"",IF(INDEX(KPI_Targets!$F$5:$F$20,MATCH(C499,KPI_Targets!$B$5:$B$20,0))="Higher",IF(L499&gt;E499,"Improved",IF(L499=E499,"No change","Worse")),IF(L499&lt;E499,"Improved",IF(L499=E499,"No change","Worse"))))</f>
        <v/>
      </c>
      <c r="N499" s="67" t="str">
        <f t="shared" ca="1" si="7"/>
        <v/>
      </c>
      <c r="O499" s="69"/>
    </row>
    <row r="500" spans="1:15" x14ac:dyDescent="0.3">
      <c r="A500" s="69"/>
      <c r="B500" s="68"/>
      <c r="C500" s="69"/>
      <c r="D500" s="69"/>
      <c r="E500" s="69"/>
      <c r="F500" s="69"/>
      <c r="G500" s="69"/>
      <c r="H500" s="69"/>
      <c r="I500" s="68"/>
      <c r="J500" s="69"/>
      <c r="K500" s="68"/>
      <c r="L500" s="69"/>
      <c r="M500" s="67" t="str">
        <f>IF(OR(C500="",E500="",L500=""),"",IF(INDEX(KPI_Targets!$F$5:$F$20,MATCH(C500,KPI_Targets!$B$5:$B$20,0))="Higher",IF(L500&gt;E500,"Improved",IF(L500=E500,"No change","Worse")),IF(L500&lt;E500,"Improved",IF(L500=E500,"No change","Worse"))))</f>
        <v/>
      </c>
      <c r="N500" s="67" t="str">
        <f t="shared" ca="1" si="7"/>
        <v/>
      </c>
      <c r="O500" s="69"/>
    </row>
    <row r="501" spans="1:15" x14ac:dyDescent="0.3">
      <c r="A501" s="69"/>
      <c r="B501" s="68"/>
      <c r="C501" s="69"/>
      <c r="D501" s="69"/>
      <c r="E501" s="69"/>
      <c r="F501" s="69"/>
      <c r="G501" s="69"/>
      <c r="H501" s="69"/>
      <c r="I501" s="68"/>
      <c r="J501" s="69"/>
      <c r="K501" s="68"/>
      <c r="L501" s="69"/>
      <c r="M501" s="67" t="str">
        <f>IF(OR(C501="",E501="",L501=""),"",IF(INDEX(KPI_Targets!$F$5:$F$20,MATCH(C501,KPI_Targets!$B$5:$B$20,0))="Higher",IF(L501&gt;E501,"Improved",IF(L501=E501,"No change","Worse")),IF(L501&lt;E501,"Improved",IF(L501=E501,"No change","Worse"))))</f>
        <v/>
      </c>
      <c r="N501" s="67" t="str">
        <f t="shared" ca="1" si="7"/>
        <v/>
      </c>
      <c r="O501" s="69"/>
    </row>
    <row r="502" spans="1:15" x14ac:dyDescent="0.3">
      <c r="A502" s="69"/>
      <c r="B502" s="68"/>
      <c r="C502" s="69"/>
      <c r="D502" s="69"/>
      <c r="E502" s="69"/>
      <c r="F502" s="69"/>
      <c r="G502" s="69"/>
      <c r="H502" s="69"/>
      <c r="I502" s="68"/>
      <c r="J502" s="69"/>
      <c r="K502" s="68"/>
      <c r="L502" s="69"/>
      <c r="M502" s="67" t="str">
        <f>IF(OR(C502="",E502="",L502=""),"",IF(INDEX(KPI_Targets!$F$5:$F$20,MATCH(C502,KPI_Targets!$B$5:$B$20,0))="Higher",IF(L502&gt;E502,"Improved",IF(L502=E502,"No change","Worse")),IF(L502&lt;E502,"Improved",IF(L502=E502,"No change","Worse"))))</f>
        <v/>
      </c>
      <c r="N502" s="67" t="str">
        <f t="shared" ca="1" si="7"/>
        <v/>
      </c>
      <c r="O502" s="69"/>
    </row>
    <row r="503" spans="1:15" x14ac:dyDescent="0.3">
      <c r="A503" s="69"/>
      <c r="B503" s="68"/>
      <c r="C503" s="69"/>
      <c r="D503" s="69"/>
      <c r="E503" s="69"/>
      <c r="F503" s="69"/>
      <c r="G503" s="69"/>
      <c r="H503" s="69"/>
      <c r="I503" s="68"/>
      <c r="J503" s="69"/>
      <c r="K503" s="68"/>
      <c r="L503" s="69"/>
      <c r="M503" s="67" t="str">
        <f>IF(OR(C503="",E503="",L503=""),"",IF(INDEX(KPI_Targets!$F$5:$F$20,MATCH(C503,KPI_Targets!$B$5:$B$20,0))="Higher",IF(L503&gt;E503,"Improved",IF(L503=E503,"No change","Worse")),IF(L503&lt;E503,"Improved",IF(L503=E503,"No change","Worse"))))</f>
        <v/>
      </c>
      <c r="N503" s="67" t="str">
        <f t="shared" ca="1" si="7"/>
        <v/>
      </c>
      <c r="O503" s="69"/>
    </row>
    <row r="504" spans="1:15" x14ac:dyDescent="0.3">
      <c r="A504" s="69"/>
      <c r="B504" s="68"/>
      <c r="C504" s="69"/>
      <c r="D504" s="69"/>
      <c r="E504" s="69"/>
      <c r="F504" s="69"/>
      <c r="G504" s="69"/>
      <c r="H504" s="69"/>
      <c r="I504" s="68"/>
      <c r="J504" s="69"/>
      <c r="K504" s="68"/>
      <c r="L504" s="69"/>
      <c r="M504" s="67" t="str">
        <f>IF(OR(C504="",E504="",L504=""),"",IF(INDEX(KPI_Targets!$F$5:$F$20,MATCH(C504,KPI_Targets!$B$5:$B$20,0))="Higher",IF(L504&gt;E504,"Improved",IF(L504=E504,"No change","Worse")),IF(L504&lt;E504,"Improved",IF(L504=E504,"No change","Worse"))))</f>
        <v/>
      </c>
      <c r="N504" s="67" t="str">
        <f t="shared" ca="1" si="7"/>
        <v/>
      </c>
      <c r="O504" s="69"/>
    </row>
  </sheetData>
  <conditionalFormatting sqref="M5:M504">
    <cfRule type="cellIs" dxfId="12" priority="2" operator="equal">
      <formula>"Improved"</formula>
    </cfRule>
    <cfRule type="cellIs" dxfId="11" priority="3" operator="equal">
      <formula>"Worse"</formula>
    </cfRule>
  </conditionalFormatting>
  <conditionalFormatting sqref="N5:N504">
    <cfRule type="cellIs" dxfId="10" priority="4" operator="equal">
      <formula>"OVERDUE"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Invalid entry" error="Pick a value from the list" xr:uid="{00000000-0002-0000-0600-000000000000}">
          <x14:formula1>
            <xm:f>KPI_Targets!$B$5:$B$20</xm:f>
          </x14:formula1>
          <x14:formula2>
            <xm:f>0</xm:f>
          </x14:formula2>
          <xm:sqref>C5:C504</xm:sqref>
        </x14:dataValidation>
        <x14:dataValidation type="list" allowBlank="1" errorTitle="Invalid entry" error="Pick a value from the list" xr:uid="{00000000-0002-0000-0600-000001000000}">
          <x14:formula1>
            <xm:f>Projects!$A$5:$A$104</xm:f>
          </x14:formula1>
          <x14:formula2>
            <xm:f>0</xm:f>
          </x14:formula2>
          <xm:sqref>D5:D504</xm:sqref>
        </x14:dataValidation>
        <x14:dataValidation type="list" allowBlank="1" errorTitle="Invalid entry" error="Pick a value from the list" xr:uid="{00000000-0002-0000-0600-000002000000}">
          <x14:formula1>
            <xm:f>Settings!$N$4:$N$7</xm:f>
          </x14:formula1>
          <x14:formula2>
            <xm:f>0</xm:f>
          </x14:formula2>
          <xm:sqref>J5:J504</xm:sqref>
        </x14:dataValidation>
        <x14:dataValidation type="list" allowBlank="1" errorTitle="Invalid entry" error="Pick a value from the list" xr:uid="{00000000-0002-0000-0600-000003000000}">
          <x14:formula1>
            <xm:f>Settings!$P$4:$P$30</xm:f>
          </x14:formula1>
          <x14:formula2>
            <xm:f>0</xm:f>
          </x14:formula2>
          <xm:sqref>H5:H504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S1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0" customWidth="1"/>
    <col min="2" max="2" width="32" customWidth="1"/>
    <col min="3" max="4" width="14" customWidth="1"/>
    <col min="5" max="5" width="13" customWidth="1"/>
    <col min="6" max="7" width="12" customWidth="1"/>
    <col min="8" max="8" width="13" customWidth="1"/>
    <col min="9" max="9" width="12" customWidth="1"/>
    <col min="10" max="11" width="14" customWidth="1"/>
    <col min="12" max="12" width="11" customWidth="1"/>
    <col min="13" max="13" width="12" customWidth="1"/>
    <col min="14" max="14" width="9" customWidth="1"/>
    <col min="15" max="15" width="10" customWidth="1"/>
    <col min="16" max="17" width="11" customWidth="1"/>
    <col min="18" max="18" width="14" customWidth="1"/>
    <col min="19" max="19" width="30" customWidth="1"/>
  </cols>
  <sheetData>
    <row r="1" spans="1:19" ht="21" x14ac:dyDescent="0.4">
      <c r="A1" s="40" t="s">
        <v>306</v>
      </c>
    </row>
    <row r="2" spans="1:19" x14ac:dyDescent="0.3">
      <c r="A2" s="41" t="s">
        <v>307</v>
      </c>
    </row>
    <row r="4" spans="1:19" ht="31.5" customHeight="1" x14ac:dyDescent="0.3">
      <c r="A4" s="42" t="s">
        <v>308</v>
      </c>
      <c r="B4" s="42" t="s">
        <v>309</v>
      </c>
      <c r="C4" s="42" t="s">
        <v>310</v>
      </c>
      <c r="D4" s="42" t="s">
        <v>311</v>
      </c>
      <c r="E4" s="42" t="s">
        <v>312</v>
      </c>
      <c r="F4" s="42" t="s">
        <v>313</v>
      </c>
      <c r="G4" s="42" t="s">
        <v>314</v>
      </c>
      <c r="H4" s="42" t="s">
        <v>315</v>
      </c>
      <c r="I4" s="42" t="s">
        <v>99</v>
      </c>
      <c r="J4" s="42" t="s">
        <v>316</v>
      </c>
      <c r="K4" s="42" t="s">
        <v>317</v>
      </c>
      <c r="L4" s="42" t="s">
        <v>318</v>
      </c>
      <c r="M4" s="42" t="s">
        <v>319</v>
      </c>
      <c r="N4" s="42" t="s">
        <v>320</v>
      </c>
      <c r="O4" s="42" t="s">
        <v>321</v>
      </c>
      <c r="P4" s="42" t="s">
        <v>322</v>
      </c>
      <c r="Q4" s="42" t="s">
        <v>323</v>
      </c>
      <c r="R4" s="42" t="s">
        <v>324</v>
      </c>
      <c r="S4" s="42" t="s">
        <v>269</v>
      </c>
    </row>
    <row r="5" spans="1:19" x14ac:dyDescent="0.3">
      <c r="A5" s="69" t="s">
        <v>271</v>
      </c>
      <c r="B5" s="69" t="s">
        <v>325</v>
      </c>
      <c r="C5" s="69" t="s">
        <v>326</v>
      </c>
      <c r="D5" s="69" t="s">
        <v>159</v>
      </c>
      <c r="E5" s="69" t="s">
        <v>201</v>
      </c>
      <c r="F5" s="68">
        <v>45962</v>
      </c>
      <c r="G5" s="68">
        <v>46203</v>
      </c>
      <c r="H5" s="68">
        <v>46224</v>
      </c>
      <c r="I5" s="69" t="s">
        <v>327</v>
      </c>
      <c r="J5" s="73">
        <v>4800000</v>
      </c>
      <c r="K5" s="73">
        <v>5100000</v>
      </c>
      <c r="L5" s="69" t="s">
        <v>328</v>
      </c>
      <c r="M5" s="69" t="s">
        <v>328</v>
      </c>
      <c r="N5" s="67" t="str">
        <f t="shared" ref="N5:N36" si="0">IF(OR(A5="",I5&lt;&gt;"Completed"),"",IF(H5&lt;=G5,"Yes","No"))</f>
        <v>No</v>
      </c>
      <c r="O5" s="67" t="str">
        <f>IF(OR(A5="",I5&lt;&gt;"Completed"),"",IF(K5&lt;=J5*(1+Settings!$B$7),"Yes","No"))</f>
        <v>No</v>
      </c>
      <c r="P5" s="67" t="str">
        <f t="shared" ref="P5:P36" si="1">IF(OR(A5="",I5&lt;&gt;"Completed"),"",IF(AND(N5="Yes",O5="Yes",L5="Yes"),"Yes","No"))</f>
        <v>No</v>
      </c>
      <c r="Q5" s="74">
        <f t="shared" ref="Q5:Q36" si="2">IF(OR(G5="",H5=""),"",H5-G5)</f>
        <v>21</v>
      </c>
      <c r="R5" s="75">
        <f t="shared" ref="R5:R36" si="3">IF(OR(J5="",K5=""),"",J5-K5)</f>
        <v>-300000</v>
      </c>
      <c r="S5" s="69"/>
    </row>
    <row r="6" spans="1:19" x14ac:dyDescent="0.3">
      <c r="A6" s="69" t="s">
        <v>329</v>
      </c>
      <c r="B6" s="69" t="s">
        <v>330</v>
      </c>
      <c r="C6" s="69" t="s">
        <v>331</v>
      </c>
      <c r="D6" s="69" t="s">
        <v>164</v>
      </c>
      <c r="E6" s="69" t="s">
        <v>201</v>
      </c>
      <c r="F6" s="68">
        <v>46032</v>
      </c>
      <c r="G6" s="68">
        <v>46142</v>
      </c>
      <c r="H6" s="68">
        <v>46137</v>
      </c>
      <c r="I6" s="69" t="s">
        <v>327</v>
      </c>
      <c r="J6" s="73">
        <v>1250000</v>
      </c>
      <c r="K6" s="73">
        <v>1210000</v>
      </c>
      <c r="L6" s="69" t="s">
        <v>328</v>
      </c>
      <c r="M6" s="69" t="s">
        <v>328</v>
      </c>
      <c r="N6" s="67" t="str">
        <f t="shared" si="0"/>
        <v>Yes</v>
      </c>
      <c r="O6" s="67" t="str">
        <f>IF(OR(A6="",I6&lt;&gt;"Completed"),"",IF(K6&lt;=J6*(1+Settings!$B$7),"Yes","No"))</f>
        <v>Yes</v>
      </c>
      <c r="P6" s="67" t="str">
        <f t="shared" si="1"/>
        <v>Yes</v>
      </c>
      <c r="Q6" s="74">
        <f t="shared" si="2"/>
        <v>-5</v>
      </c>
      <c r="R6" s="75">
        <f t="shared" si="3"/>
        <v>40000</v>
      </c>
      <c r="S6" s="69"/>
    </row>
    <row r="7" spans="1:19" x14ac:dyDescent="0.3">
      <c r="A7" s="69" t="s">
        <v>332</v>
      </c>
      <c r="B7" s="69" t="s">
        <v>333</v>
      </c>
      <c r="C7" s="69" t="s">
        <v>334</v>
      </c>
      <c r="D7" s="69" t="s">
        <v>170</v>
      </c>
      <c r="E7" s="69" t="s">
        <v>194</v>
      </c>
      <c r="F7" s="68">
        <v>46054</v>
      </c>
      <c r="G7" s="68">
        <v>46265</v>
      </c>
      <c r="H7" s="68">
        <v>46262</v>
      </c>
      <c r="I7" s="69" t="s">
        <v>327</v>
      </c>
      <c r="J7" s="73">
        <v>2100000</v>
      </c>
      <c r="K7" s="73">
        <v>2180000</v>
      </c>
      <c r="L7" s="69" t="s">
        <v>328</v>
      </c>
      <c r="M7" s="69" t="s">
        <v>328</v>
      </c>
      <c r="N7" s="67" t="str">
        <f t="shared" si="0"/>
        <v>Yes</v>
      </c>
      <c r="O7" s="67" t="str">
        <f>IF(OR(A7="",I7&lt;&gt;"Completed"),"",IF(K7&lt;=J7*(1+Settings!$B$7),"Yes","No"))</f>
        <v>Yes</v>
      </c>
      <c r="P7" s="67" t="str">
        <f t="shared" si="1"/>
        <v>Yes</v>
      </c>
      <c r="Q7" s="74">
        <f t="shared" si="2"/>
        <v>-3</v>
      </c>
      <c r="R7" s="75">
        <f t="shared" si="3"/>
        <v>-80000</v>
      </c>
      <c r="S7" s="69"/>
    </row>
    <row r="8" spans="1:19" x14ac:dyDescent="0.3">
      <c r="A8" s="69" t="s">
        <v>335</v>
      </c>
      <c r="B8" s="69" t="s">
        <v>336</v>
      </c>
      <c r="C8" s="69" t="s">
        <v>337</v>
      </c>
      <c r="D8" s="69" t="s">
        <v>176</v>
      </c>
      <c r="E8" s="69" t="s">
        <v>201</v>
      </c>
      <c r="F8" s="68">
        <v>46037</v>
      </c>
      <c r="G8" s="68">
        <v>46173</v>
      </c>
      <c r="H8" s="68">
        <v>46193</v>
      </c>
      <c r="I8" s="69" t="s">
        <v>327</v>
      </c>
      <c r="J8" s="73">
        <v>350000</v>
      </c>
      <c r="K8" s="73">
        <v>335000</v>
      </c>
      <c r="L8" s="69" t="s">
        <v>338</v>
      </c>
      <c r="M8" s="69" t="s">
        <v>328</v>
      </c>
      <c r="N8" s="67" t="str">
        <f t="shared" si="0"/>
        <v>No</v>
      </c>
      <c r="O8" s="67" t="str">
        <f>IF(OR(A8="",I8&lt;&gt;"Completed"),"",IF(K8&lt;=J8*(1+Settings!$B$7),"Yes","No"))</f>
        <v>Yes</v>
      </c>
      <c r="P8" s="67" t="str">
        <f t="shared" si="1"/>
        <v>No</v>
      </c>
      <c r="Q8" s="74">
        <f t="shared" si="2"/>
        <v>20</v>
      </c>
      <c r="R8" s="75">
        <f t="shared" si="3"/>
        <v>15000</v>
      </c>
      <c r="S8" s="69"/>
    </row>
    <row r="9" spans="1:19" x14ac:dyDescent="0.3">
      <c r="A9" s="69" t="s">
        <v>282</v>
      </c>
      <c r="B9" s="69" t="s">
        <v>339</v>
      </c>
      <c r="C9" s="69" t="s">
        <v>331</v>
      </c>
      <c r="D9" s="69" t="s">
        <v>183</v>
      </c>
      <c r="E9" s="69" t="s">
        <v>194</v>
      </c>
      <c r="F9" s="68">
        <v>46082</v>
      </c>
      <c r="G9" s="68">
        <v>46356</v>
      </c>
      <c r="H9" s="68">
        <v>46376</v>
      </c>
      <c r="I9" s="69" t="s">
        <v>340</v>
      </c>
      <c r="J9" s="73">
        <v>1600000</v>
      </c>
      <c r="K9" s="73">
        <v>1720000</v>
      </c>
      <c r="L9" s="69"/>
      <c r="M9" s="69"/>
      <c r="N9" s="67" t="str">
        <f t="shared" si="0"/>
        <v/>
      </c>
      <c r="O9" s="67" t="str">
        <f>IF(OR(A9="",I9&lt;&gt;"Completed"),"",IF(K9&lt;=J9*(1+Settings!$B$7),"Yes","No"))</f>
        <v/>
      </c>
      <c r="P9" s="67" t="str">
        <f t="shared" si="1"/>
        <v/>
      </c>
      <c r="Q9" s="74">
        <f t="shared" si="2"/>
        <v>20</v>
      </c>
      <c r="R9" s="75">
        <f t="shared" si="3"/>
        <v>-120000</v>
      </c>
      <c r="S9" s="69"/>
    </row>
    <row r="10" spans="1:19" x14ac:dyDescent="0.3">
      <c r="A10" s="69" t="s">
        <v>341</v>
      </c>
      <c r="B10" s="69" t="s">
        <v>342</v>
      </c>
      <c r="C10" s="69" t="s">
        <v>343</v>
      </c>
      <c r="D10" s="69" t="s">
        <v>188</v>
      </c>
      <c r="E10" s="69" t="s">
        <v>194</v>
      </c>
      <c r="F10" s="68">
        <v>46113</v>
      </c>
      <c r="G10" s="68">
        <v>46371</v>
      </c>
      <c r="H10" s="68">
        <v>46371</v>
      </c>
      <c r="I10" s="69" t="s">
        <v>340</v>
      </c>
      <c r="J10" s="73">
        <v>420000</v>
      </c>
      <c r="K10" s="73">
        <v>410000</v>
      </c>
      <c r="L10" s="69"/>
      <c r="M10" s="69"/>
      <c r="N10" s="67" t="str">
        <f t="shared" si="0"/>
        <v/>
      </c>
      <c r="O10" s="67" t="str">
        <f>IF(OR(A10="",I10&lt;&gt;"Completed"),"",IF(K10&lt;=J10*(1+Settings!$B$7),"Yes","No"))</f>
        <v/>
      </c>
      <c r="P10" s="67" t="str">
        <f t="shared" si="1"/>
        <v/>
      </c>
      <c r="Q10" s="74">
        <f t="shared" si="2"/>
        <v>0</v>
      </c>
      <c r="R10" s="75">
        <f t="shared" si="3"/>
        <v>10000</v>
      </c>
      <c r="S10" s="69"/>
    </row>
    <row r="11" spans="1:19" x14ac:dyDescent="0.3">
      <c r="A11" s="69" t="s">
        <v>292</v>
      </c>
      <c r="B11" s="69" t="s">
        <v>344</v>
      </c>
      <c r="C11" s="69" t="s">
        <v>326</v>
      </c>
      <c r="D11" s="69" t="s">
        <v>159</v>
      </c>
      <c r="E11" s="69" t="s">
        <v>201</v>
      </c>
      <c r="F11" s="68">
        <v>46143</v>
      </c>
      <c r="G11" s="68">
        <v>46326</v>
      </c>
      <c r="H11" s="68">
        <v>46340</v>
      </c>
      <c r="I11" s="69" t="s">
        <v>340</v>
      </c>
      <c r="J11" s="73">
        <v>900000</v>
      </c>
      <c r="K11" s="73">
        <v>960000</v>
      </c>
      <c r="L11" s="69"/>
      <c r="M11" s="69"/>
      <c r="N11" s="67" t="str">
        <f t="shared" si="0"/>
        <v/>
      </c>
      <c r="O11" s="67" t="str">
        <f>IF(OR(A11="",I11&lt;&gt;"Completed"),"",IF(K11&lt;=J11*(1+Settings!$B$7),"Yes","No"))</f>
        <v/>
      </c>
      <c r="P11" s="67" t="str">
        <f t="shared" si="1"/>
        <v/>
      </c>
      <c r="Q11" s="74">
        <f t="shared" si="2"/>
        <v>14</v>
      </c>
      <c r="R11" s="75">
        <f t="shared" si="3"/>
        <v>-60000</v>
      </c>
      <c r="S11" s="69"/>
    </row>
    <row r="12" spans="1:19" x14ac:dyDescent="0.3">
      <c r="A12" s="69" t="s">
        <v>345</v>
      </c>
      <c r="B12" s="69" t="s">
        <v>346</v>
      </c>
      <c r="C12" s="69" t="s">
        <v>331</v>
      </c>
      <c r="D12" s="69" t="s">
        <v>164</v>
      </c>
      <c r="E12" s="69" t="s">
        <v>194</v>
      </c>
      <c r="F12" s="68">
        <v>46068</v>
      </c>
      <c r="G12" s="68">
        <v>46295</v>
      </c>
      <c r="H12" s="68">
        <v>46295</v>
      </c>
      <c r="I12" s="69" t="s">
        <v>327</v>
      </c>
      <c r="J12" s="73">
        <v>1900000</v>
      </c>
      <c r="K12" s="73">
        <v>1880000</v>
      </c>
      <c r="L12" s="69" t="s">
        <v>328</v>
      </c>
      <c r="M12" s="69" t="s">
        <v>338</v>
      </c>
      <c r="N12" s="67" t="str">
        <f t="shared" si="0"/>
        <v>Yes</v>
      </c>
      <c r="O12" s="67" t="str">
        <f>IF(OR(A12="",I12&lt;&gt;"Completed"),"",IF(K12&lt;=J12*(1+Settings!$B$7),"Yes","No"))</f>
        <v>Yes</v>
      </c>
      <c r="P12" s="67" t="str">
        <f t="shared" si="1"/>
        <v>Yes</v>
      </c>
      <c r="Q12" s="74">
        <f t="shared" si="2"/>
        <v>0</v>
      </c>
      <c r="R12" s="75">
        <f t="shared" si="3"/>
        <v>20000</v>
      </c>
      <c r="S12" s="69"/>
    </row>
    <row r="13" spans="1:19" x14ac:dyDescent="0.3">
      <c r="A13" s="69"/>
      <c r="B13" s="69"/>
      <c r="C13" s="69"/>
      <c r="D13" s="69"/>
      <c r="E13" s="69"/>
      <c r="F13" s="68"/>
      <c r="G13" s="68"/>
      <c r="H13" s="68"/>
      <c r="I13" s="69"/>
      <c r="J13" s="73"/>
      <c r="K13" s="73"/>
      <c r="L13" s="69"/>
      <c r="M13" s="69"/>
      <c r="N13" s="67" t="str">
        <f t="shared" si="0"/>
        <v/>
      </c>
      <c r="O13" s="67" t="str">
        <f>IF(OR(A13="",I13&lt;&gt;"Completed"),"",IF(K13&lt;=J13*(1+Settings!$B$7),"Yes","No"))</f>
        <v/>
      </c>
      <c r="P13" s="67" t="str">
        <f t="shared" si="1"/>
        <v/>
      </c>
      <c r="Q13" s="74" t="str">
        <f t="shared" si="2"/>
        <v/>
      </c>
      <c r="R13" s="75" t="str">
        <f t="shared" si="3"/>
        <v/>
      </c>
      <c r="S13" s="69"/>
    </row>
    <row r="14" spans="1:19" x14ac:dyDescent="0.3">
      <c r="A14" s="69"/>
      <c r="B14" s="69"/>
      <c r="C14" s="69"/>
      <c r="D14" s="69"/>
      <c r="E14" s="69"/>
      <c r="F14" s="68"/>
      <c r="G14" s="68"/>
      <c r="H14" s="68"/>
      <c r="I14" s="69"/>
      <c r="J14" s="73"/>
      <c r="K14" s="73"/>
      <c r="L14" s="69"/>
      <c r="M14" s="69"/>
      <c r="N14" s="67" t="str">
        <f t="shared" si="0"/>
        <v/>
      </c>
      <c r="O14" s="67" t="str">
        <f>IF(OR(A14="",I14&lt;&gt;"Completed"),"",IF(K14&lt;=J14*(1+Settings!$B$7),"Yes","No"))</f>
        <v/>
      </c>
      <c r="P14" s="67" t="str">
        <f t="shared" si="1"/>
        <v/>
      </c>
      <c r="Q14" s="74" t="str">
        <f t="shared" si="2"/>
        <v/>
      </c>
      <c r="R14" s="75" t="str">
        <f t="shared" si="3"/>
        <v/>
      </c>
      <c r="S14" s="69"/>
    </row>
    <row r="15" spans="1:19" x14ac:dyDescent="0.3">
      <c r="A15" s="69"/>
      <c r="B15" s="69"/>
      <c r="C15" s="69"/>
      <c r="D15" s="69"/>
      <c r="E15" s="69"/>
      <c r="F15" s="68"/>
      <c r="G15" s="68"/>
      <c r="H15" s="68"/>
      <c r="I15" s="69"/>
      <c r="J15" s="73"/>
      <c r="K15" s="73"/>
      <c r="L15" s="69"/>
      <c r="M15" s="69"/>
      <c r="N15" s="67" t="str">
        <f t="shared" si="0"/>
        <v/>
      </c>
      <c r="O15" s="67" t="str">
        <f>IF(OR(A15="",I15&lt;&gt;"Completed"),"",IF(K15&lt;=J15*(1+Settings!$B$7),"Yes","No"))</f>
        <v/>
      </c>
      <c r="P15" s="67" t="str">
        <f t="shared" si="1"/>
        <v/>
      </c>
      <c r="Q15" s="74" t="str">
        <f t="shared" si="2"/>
        <v/>
      </c>
      <c r="R15" s="75" t="str">
        <f t="shared" si="3"/>
        <v/>
      </c>
      <c r="S15" s="69"/>
    </row>
    <row r="16" spans="1:19" x14ac:dyDescent="0.3">
      <c r="A16" s="69"/>
      <c r="B16" s="69"/>
      <c r="C16" s="69"/>
      <c r="D16" s="69"/>
      <c r="E16" s="69"/>
      <c r="F16" s="68"/>
      <c r="G16" s="68"/>
      <c r="H16" s="68"/>
      <c r="I16" s="69"/>
      <c r="J16" s="73"/>
      <c r="K16" s="73"/>
      <c r="L16" s="69"/>
      <c r="M16" s="69"/>
      <c r="N16" s="67" t="str">
        <f t="shared" si="0"/>
        <v/>
      </c>
      <c r="O16" s="67" t="str">
        <f>IF(OR(A16="",I16&lt;&gt;"Completed"),"",IF(K16&lt;=J16*(1+Settings!$B$7),"Yes","No"))</f>
        <v/>
      </c>
      <c r="P16" s="67" t="str">
        <f t="shared" si="1"/>
        <v/>
      </c>
      <c r="Q16" s="74" t="str">
        <f t="shared" si="2"/>
        <v/>
      </c>
      <c r="R16" s="75" t="str">
        <f t="shared" si="3"/>
        <v/>
      </c>
      <c r="S16" s="69"/>
    </row>
    <row r="17" spans="1:19" x14ac:dyDescent="0.3">
      <c r="A17" s="69"/>
      <c r="B17" s="69"/>
      <c r="C17" s="69"/>
      <c r="D17" s="69"/>
      <c r="E17" s="69"/>
      <c r="F17" s="68"/>
      <c r="G17" s="68"/>
      <c r="H17" s="68"/>
      <c r="I17" s="69"/>
      <c r="J17" s="73"/>
      <c r="K17" s="73"/>
      <c r="L17" s="69"/>
      <c r="M17" s="69"/>
      <c r="N17" s="67" t="str">
        <f t="shared" si="0"/>
        <v/>
      </c>
      <c r="O17" s="67" t="str">
        <f>IF(OR(A17="",I17&lt;&gt;"Completed"),"",IF(K17&lt;=J17*(1+Settings!$B$7),"Yes","No"))</f>
        <v/>
      </c>
      <c r="P17" s="67" t="str">
        <f t="shared" si="1"/>
        <v/>
      </c>
      <c r="Q17" s="74" t="str">
        <f t="shared" si="2"/>
        <v/>
      </c>
      <c r="R17" s="75" t="str">
        <f t="shared" si="3"/>
        <v/>
      </c>
      <c r="S17" s="69"/>
    </row>
    <row r="18" spans="1:19" x14ac:dyDescent="0.3">
      <c r="A18" s="69"/>
      <c r="B18" s="69"/>
      <c r="C18" s="69"/>
      <c r="D18" s="69"/>
      <c r="E18" s="69"/>
      <c r="F18" s="68"/>
      <c r="G18" s="68"/>
      <c r="H18" s="68"/>
      <c r="I18" s="69"/>
      <c r="J18" s="73"/>
      <c r="K18" s="73"/>
      <c r="L18" s="69"/>
      <c r="M18" s="69"/>
      <c r="N18" s="67" t="str">
        <f t="shared" si="0"/>
        <v/>
      </c>
      <c r="O18" s="67" t="str">
        <f>IF(OR(A18="",I18&lt;&gt;"Completed"),"",IF(K18&lt;=J18*(1+Settings!$B$7),"Yes","No"))</f>
        <v/>
      </c>
      <c r="P18" s="67" t="str">
        <f t="shared" si="1"/>
        <v/>
      </c>
      <c r="Q18" s="74" t="str">
        <f t="shared" si="2"/>
        <v/>
      </c>
      <c r="R18" s="75" t="str">
        <f t="shared" si="3"/>
        <v/>
      </c>
      <c r="S18" s="69"/>
    </row>
    <row r="19" spans="1:19" x14ac:dyDescent="0.3">
      <c r="A19" s="69"/>
      <c r="B19" s="69"/>
      <c r="C19" s="69"/>
      <c r="D19" s="69"/>
      <c r="E19" s="69"/>
      <c r="F19" s="68"/>
      <c r="G19" s="68"/>
      <c r="H19" s="68"/>
      <c r="I19" s="69"/>
      <c r="J19" s="73"/>
      <c r="K19" s="73"/>
      <c r="L19" s="69"/>
      <c r="M19" s="69"/>
      <c r="N19" s="67" t="str">
        <f t="shared" si="0"/>
        <v/>
      </c>
      <c r="O19" s="67" t="str">
        <f>IF(OR(A19="",I19&lt;&gt;"Completed"),"",IF(K19&lt;=J19*(1+Settings!$B$7),"Yes","No"))</f>
        <v/>
      </c>
      <c r="P19" s="67" t="str">
        <f t="shared" si="1"/>
        <v/>
      </c>
      <c r="Q19" s="74" t="str">
        <f t="shared" si="2"/>
        <v/>
      </c>
      <c r="R19" s="75" t="str">
        <f t="shared" si="3"/>
        <v/>
      </c>
      <c r="S19" s="69"/>
    </row>
    <row r="20" spans="1:19" x14ac:dyDescent="0.3">
      <c r="A20" s="69"/>
      <c r="B20" s="69"/>
      <c r="C20" s="69"/>
      <c r="D20" s="69"/>
      <c r="E20" s="69"/>
      <c r="F20" s="68"/>
      <c r="G20" s="68"/>
      <c r="H20" s="68"/>
      <c r="I20" s="69"/>
      <c r="J20" s="73"/>
      <c r="K20" s="73"/>
      <c r="L20" s="69"/>
      <c r="M20" s="69"/>
      <c r="N20" s="67" t="str">
        <f t="shared" si="0"/>
        <v/>
      </c>
      <c r="O20" s="67" t="str">
        <f>IF(OR(A20="",I20&lt;&gt;"Completed"),"",IF(K20&lt;=J20*(1+Settings!$B$7),"Yes","No"))</f>
        <v/>
      </c>
      <c r="P20" s="67" t="str">
        <f t="shared" si="1"/>
        <v/>
      </c>
      <c r="Q20" s="74" t="str">
        <f t="shared" si="2"/>
        <v/>
      </c>
      <c r="R20" s="75" t="str">
        <f t="shared" si="3"/>
        <v/>
      </c>
      <c r="S20" s="69"/>
    </row>
    <row r="21" spans="1:19" x14ac:dyDescent="0.3">
      <c r="A21" s="69"/>
      <c r="B21" s="69"/>
      <c r="C21" s="69"/>
      <c r="D21" s="69"/>
      <c r="E21" s="69"/>
      <c r="F21" s="68"/>
      <c r="G21" s="68"/>
      <c r="H21" s="68"/>
      <c r="I21" s="69"/>
      <c r="J21" s="73"/>
      <c r="K21" s="73"/>
      <c r="L21" s="69"/>
      <c r="M21" s="69"/>
      <c r="N21" s="67" t="str">
        <f t="shared" si="0"/>
        <v/>
      </c>
      <c r="O21" s="67" t="str">
        <f>IF(OR(A21="",I21&lt;&gt;"Completed"),"",IF(K21&lt;=J21*(1+Settings!$B$7),"Yes","No"))</f>
        <v/>
      </c>
      <c r="P21" s="67" t="str">
        <f t="shared" si="1"/>
        <v/>
      </c>
      <c r="Q21" s="74" t="str">
        <f t="shared" si="2"/>
        <v/>
      </c>
      <c r="R21" s="75" t="str">
        <f t="shared" si="3"/>
        <v/>
      </c>
      <c r="S21" s="69"/>
    </row>
    <row r="22" spans="1:19" x14ac:dyDescent="0.3">
      <c r="A22" s="69"/>
      <c r="B22" s="69"/>
      <c r="C22" s="69"/>
      <c r="D22" s="69"/>
      <c r="E22" s="69"/>
      <c r="F22" s="68"/>
      <c r="G22" s="68"/>
      <c r="H22" s="68"/>
      <c r="I22" s="69"/>
      <c r="J22" s="73"/>
      <c r="K22" s="73"/>
      <c r="L22" s="69"/>
      <c r="M22" s="69"/>
      <c r="N22" s="67" t="str">
        <f t="shared" si="0"/>
        <v/>
      </c>
      <c r="O22" s="67" t="str">
        <f>IF(OR(A22="",I22&lt;&gt;"Completed"),"",IF(K22&lt;=J22*(1+Settings!$B$7),"Yes","No"))</f>
        <v/>
      </c>
      <c r="P22" s="67" t="str">
        <f t="shared" si="1"/>
        <v/>
      </c>
      <c r="Q22" s="74" t="str">
        <f t="shared" si="2"/>
        <v/>
      </c>
      <c r="R22" s="75" t="str">
        <f t="shared" si="3"/>
        <v/>
      </c>
      <c r="S22" s="69"/>
    </row>
    <row r="23" spans="1:19" x14ac:dyDescent="0.3">
      <c r="A23" s="69"/>
      <c r="B23" s="69"/>
      <c r="C23" s="69"/>
      <c r="D23" s="69"/>
      <c r="E23" s="69"/>
      <c r="F23" s="68"/>
      <c r="G23" s="68"/>
      <c r="H23" s="68"/>
      <c r="I23" s="69"/>
      <c r="J23" s="73"/>
      <c r="K23" s="73"/>
      <c r="L23" s="69"/>
      <c r="M23" s="69"/>
      <c r="N23" s="67" t="str">
        <f t="shared" si="0"/>
        <v/>
      </c>
      <c r="O23" s="67" t="str">
        <f>IF(OR(A23="",I23&lt;&gt;"Completed"),"",IF(K23&lt;=J23*(1+Settings!$B$7),"Yes","No"))</f>
        <v/>
      </c>
      <c r="P23" s="67" t="str">
        <f t="shared" si="1"/>
        <v/>
      </c>
      <c r="Q23" s="74" t="str">
        <f t="shared" si="2"/>
        <v/>
      </c>
      <c r="R23" s="75" t="str">
        <f t="shared" si="3"/>
        <v/>
      </c>
      <c r="S23" s="69"/>
    </row>
    <row r="24" spans="1:19" x14ac:dyDescent="0.3">
      <c r="A24" s="69"/>
      <c r="B24" s="69"/>
      <c r="C24" s="69"/>
      <c r="D24" s="69"/>
      <c r="E24" s="69"/>
      <c r="F24" s="68"/>
      <c r="G24" s="68"/>
      <c r="H24" s="68"/>
      <c r="I24" s="69"/>
      <c r="J24" s="73"/>
      <c r="K24" s="73"/>
      <c r="L24" s="69"/>
      <c r="M24" s="69"/>
      <c r="N24" s="67" t="str">
        <f t="shared" si="0"/>
        <v/>
      </c>
      <c r="O24" s="67" t="str">
        <f>IF(OR(A24="",I24&lt;&gt;"Completed"),"",IF(K24&lt;=J24*(1+Settings!$B$7),"Yes","No"))</f>
        <v/>
      </c>
      <c r="P24" s="67" t="str">
        <f t="shared" si="1"/>
        <v/>
      </c>
      <c r="Q24" s="74" t="str">
        <f t="shared" si="2"/>
        <v/>
      </c>
      <c r="R24" s="75" t="str">
        <f t="shared" si="3"/>
        <v/>
      </c>
      <c r="S24" s="69"/>
    </row>
    <row r="25" spans="1:19" x14ac:dyDescent="0.3">
      <c r="A25" s="69"/>
      <c r="B25" s="69"/>
      <c r="C25" s="69"/>
      <c r="D25" s="69"/>
      <c r="E25" s="69"/>
      <c r="F25" s="68"/>
      <c r="G25" s="68"/>
      <c r="H25" s="68"/>
      <c r="I25" s="69"/>
      <c r="J25" s="73"/>
      <c r="K25" s="73"/>
      <c r="L25" s="69"/>
      <c r="M25" s="69"/>
      <c r="N25" s="67" t="str">
        <f t="shared" si="0"/>
        <v/>
      </c>
      <c r="O25" s="67" t="str">
        <f>IF(OR(A25="",I25&lt;&gt;"Completed"),"",IF(K25&lt;=J25*(1+Settings!$B$7),"Yes","No"))</f>
        <v/>
      </c>
      <c r="P25" s="67" t="str">
        <f t="shared" si="1"/>
        <v/>
      </c>
      <c r="Q25" s="74" t="str">
        <f t="shared" si="2"/>
        <v/>
      </c>
      <c r="R25" s="75" t="str">
        <f t="shared" si="3"/>
        <v/>
      </c>
      <c r="S25" s="69"/>
    </row>
    <row r="26" spans="1:19" x14ac:dyDescent="0.3">
      <c r="A26" s="69"/>
      <c r="B26" s="69"/>
      <c r="C26" s="69"/>
      <c r="D26" s="69"/>
      <c r="E26" s="69"/>
      <c r="F26" s="68"/>
      <c r="G26" s="68"/>
      <c r="H26" s="68"/>
      <c r="I26" s="69"/>
      <c r="J26" s="73"/>
      <c r="K26" s="73"/>
      <c r="L26" s="69"/>
      <c r="M26" s="69"/>
      <c r="N26" s="67" t="str">
        <f t="shared" si="0"/>
        <v/>
      </c>
      <c r="O26" s="67" t="str">
        <f>IF(OR(A26="",I26&lt;&gt;"Completed"),"",IF(K26&lt;=J26*(1+Settings!$B$7),"Yes","No"))</f>
        <v/>
      </c>
      <c r="P26" s="67" t="str">
        <f t="shared" si="1"/>
        <v/>
      </c>
      <c r="Q26" s="74" t="str">
        <f t="shared" si="2"/>
        <v/>
      </c>
      <c r="R26" s="75" t="str">
        <f t="shared" si="3"/>
        <v/>
      </c>
      <c r="S26" s="69"/>
    </row>
    <row r="27" spans="1:19" x14ac:dyDescent="0.3">
      <c r="A27" s="69"/>
      <c r="B27" s="69"/>
      <c r="C27" s="69"/>
      <c r="D27" s="69"/>
      <c r="E27" s="69"/>
      <c r="F27" s="68"/>
      <c r="G27" s="68"/>
      <c r="H27" s="68"/>
      <c r="I27" s="69"/>
      <c r="J27" s="73"/>
      <c r="K27" s="73"/>
      <c r="L27" s="69"/>
      <c r="M27" s="69"/>
      <c r="N27" s="67" t="str">
        <f t="shared" si="0"/>
        <v/>
      </c>
      <c r="O27" s="67" t="str">
        <f>IF(OR(A27="",I27&lt;&gt;"Completed"),"",IF(K27&lt;=J27*(1+Settings!$B$7),"Yes","No"))</f>
        <v/>
      </c>
      <c r="P27" s="67" t="str">
        <f t="shared" si="1"/>
        <v/>
      </c>
      <c r="Q27" s="74" t="str">
        <f t="shared" si="2"/>
        <v/>
      </c>
      <c r="R27" s="75" t="str">
        <f t="shared" si="3"/>
        <v/>
      </c>
      <c r="S27" s="69"/>
    </row>
    <row r="28" spans="1:19" x14ac:dyDescent="0.3">
      <c r="A28" s="69"/>
      <c r="B28" s="69"/>
      <c r="C28" s="69"/>
      <c r="D28" s="69"/>
      <c r="E28" s="69"/>
      <c r="F28" s="68"/>
      <c r="G28" s="68"/>
      <c r="H28" s="68"/>
      <c r="I28" s="69"/>
      <c r="J28" s="73"/>
      <c r="K28" s="73"/>
      <c r="L28" s="69"/>
      <c r="M28" s="69"/>
      <c r="N28" s="67" t="str">
        <f t="shared" si="0"/>
        <v/>
      </c>
      <c r="O28" s="67" t="str">
        <f>IF(OR(A28="",I28&lt;&gt;"Completed"),"",IF(K28&lt;=J28*(1+Settings!$B$7),"Yes","No"))</f>
        <v/>
      </c>
      <c r="P28" s="67" t="str">
        <f t="shared" si="1"/>
        <v/>
      </c>
      <c r="Q28" s="74" t="str">
        <f t="shared" si="2"/>
        <v/>
      </c>
      <c r="R28" s="75" t="str">
        <f t="shared" si="3"/>
        <v/>
      </c>
      <c r="S28" s="69"/>
    </row>
    <row r="29" spans="1:19" x14ac:dyDescent="0.3">
      <c r="A29" s="69"/>
      <c r="B29" s="69"/>
      <c r="C29" s="69"/>
      <c r="D29" s="69"/>
      <c r="E29" s="69"/>
      <c r="F29" s="68"/>
      <c r="G29" s="68"/>
      <c r="H29" s="68"/>
      <c r="I29" s="69"/>
      <c r="J29" s="73"/>
      <c r="K29" s="73"/>
      <c r="L29" s="69"/>
      <c r="M29" s="69"/>
      <c r="N29" s="67" t="str">
        <f t="shared" si="0"/>
        <v/>
      </c>
      <c r="O29" s="67" t="str">
        <f>IF(OR(A29="",I29&lt;&gt;"Completed"),"",IF(K29&lt;=J29*(1+Settings!$B$7),"Yes","No"))</f>
        <v/>
      </c>
      <c r="P29" s="67" t="str">
        <f t="shared" si="1"/>
        <v/>
      </c>
      <c r="Q29" s="74" t="str">
        <f t="shared" si="2"/>
        <v/>
      </c>
      <c r="R29" s="75" t="str">
        <f t="shared" si="3"/>
        <v/>
      </c>
      <c r="S29" s="69"/>
    </row>
    <row r="30" spans="1:19" x14ac:dyDescent="0.3">
      <c r="A30" s="69"/>
      <c r="B30" s="69"/>
      <c r="C30" s="69"/>
      <c r="D30" s="69"/>
      <c r="E30" s="69"/>
      <c r="F30" s="68"/>
      <c r="G30" s="68"/>
      <c r="H30" s="68"/>
      <c r="I30" s="69"/>
      <c r="J30" s="73"/>
      <c r="K30" s="73"/>
      <c r="L30" s="69"/>
      <c r="M30" s="69"/>
      <c r="N30" s="67" t="str">
        <f t="shared" si="0"/>
        <v/>
      </c>
      <c r="O30" s="67" t="str">
        <f>IF(OR(A30="",I30&lt;&gt;"Completed"),"",IF(K30&lt;=J30*(1+Settings!$B$7),"Yes","No"))</f>
        <v/>
      </c>
      <c r="P30" s="67" t="str">
        <f t="shared" si="1"/>
        <v/>
      </c>
      <c r="Q30" s="74" t="str">
        <f t="shared" si="2"/>
        <v/>
      </c>
      <c r="R30" s="75" t="str">
        <f t="shared" si="3"/>
        <v/>
      </c>
      <c r="S30" s="69"/>
    </row>
    <row r="31" spans="1:19" x14ac:dyDescent="0.3">
      <c r="A31" s="69"/>
      <c r="B31" s="69"/>
      <c r="C31" s="69"/>
      <c r="D31" s="69"/>
      <c r="E31" s="69"/>
      <c r="F31" s="68"/>
      <c r="G31" s="68"/>
      <c r="H31" s="68"/>
      <c r="I31" s="69"/>
      <c r="J31" s="73"/>
      <c r="K31" s="73"/>
      <c r="L31" s="69"/>
      <c r="M31" s="69"/>
      <c r="N31" s="67" t="str">
        <f t="shared" si="0"/>
        <v/>
      </c>
      <c r="O31" s="67" t="str">
        <f>IF(OR(A31="",I31&lt;&gt;"Completed"),"",IF(K31&lt;=J31*(1+Settings!$B$7),"Yes","No"))</f>
        <v/>
      </c>
      <c r="P31" s="67" t="str">
        <f t="shared" si="1"/>
        <v/>
      </c>
      <c r="Q31" s="74" t="str">
        <f t="shared" si="2"/>
        <v/>
      </c>
      <c r="R31" s="75" t="str">
        <f t="shared" si="3"/>
        <v/>
      </c>
      <c r="S31" s="69"/>
    </row>
    <row r="32" spans="1:19" x14ac:dyDescent="0.3">
      <c r="A32" s="69"/>
      <c r="B32" s="69"/>
      <c r="C32" s="69"/>
      <c r="D32" s="69"/>
      <c r="E32" s="69"/>
      <c r="F32" s="68"/>
      <c r="G32" s="68"/>
      <c r="H32" s="68"/>
      <c r="I32" s="69"/>
      <c r="J32" s="73"/>
      <c r="K32" s="73"/>
      <c r="L32" s="69"/>
      <c r="M32" s="69"/>
      <c r="N32" s="67" t="str">
        <f t="shared" si="0"/>
        <v/>
      </c>
      <c r="O32" s="67" t="str">
        <f>IF(OR(A32="",I32&lt;&gt;"Completed"),"",IF(K32&lt;=J32*(1+Settings!$B$7),"Yes","No"))</f>
        <v/>
      </c>
      <c r="P32" s="67" t="str">
        <f t="shared" si="1"/>
        <v/>
      </c>
      <c r="Q32" s="74" t="str">
        <f t="shared" si="2"/>
        <v/>
      </c>
      <c r="R32" s="75" t="str">
        <f t="shared" si="3"/>
        <v/>
      </c>
      <c r="S32" s="69"/>
    </row>
    <row r="33" spans="1:19" x14ac:dyDescent="0.3">
      <c r="A33" s="69"/>
      <c r="B33" s="69"/>
      <c r="C33" s="69"/>
      <c r="D33" s="69"/>
      <c r="E33" s="69"/>
      <c r="F33" s="68"/>
      <c r="G33" s="68"/>
      <c r="H33" s="68"/>
      <c r="I33" s="69"/>
      <c r="J33" s="73"/>
      <c r="K33" s="73"/>
      <c r="L33" s="69"/>
      <c r="M33" s="69"/>
      <c r="N33" s="67" t="str">
        <f t="shared" si="0"/>
        <v/>
      </c>
      <c r="O33" s="67" t="str">
        <f>IF(OR(A33="",I33&lt;&gt;"Completed"),"",IF(K33&lt;=J33*(1+Settings!$B$7),"Yes","No"))</f>
        <v/>
      </c>
      <c r="P33" s="67" t="str">
        <f t="shared" si="1"/>
        <v/>
      </c>
      <c r="Q33" s="74" t="str">
        <f t="shared" si="2"/>
        <v/>
      </c>
      <c r="R33" s="75" t="str">
        <f t="shared" si="3"/>
        <v/>
      </c>
      <c r="S33" s="69"/>
    </row>
    <row r="34" spans="1:19" x14ac:dyDescent="0.3">
      <c r="A34" s="69"/>
      <c r="B34" s="69"/>
      <c r="C34" s="69"/>
      <c r="D34" s="69"/>
      <c r="E34" s="69"/>
      <c r="F34" s="68"/>
      <c r="G34" s="68"/>
      <c r="H34" s="68"/>
      <c r="I34" s="69"/>
      <c r="J34" s="73"/>
      <c r="K34" s="73"/>
      <c r="L34" s="69"/>
      <c r="M34" s="69"/>
      <c r="N34" s="67" t="str">
        <f t="shared" si="0"/>
        <v/>
      </c>
      <c r="O34" s="67" t="str">
        <f>IF(OR(A34="",I34&lt;&gt;"Completed"),"",IF(K34&lt;=J34*(1+Settings!$B$7),"Yes","No"))</f>
        <v/>
      </c>
      <c r="P34" s="67" t="str">
        <f t="shared" si="1"/>
        <v/>
      </c>
      <c r="Q34" s="74" t="str">
        <f t="shared" si="2"/>
        <v/>
      </c>
      <c r="R34" s="75" t="str">
        <f t="shared" si="3"/>
        <v/>
      </c>
      <c r="S34" s="69"/>
    </row>
    <row r="35" spans="1:19" x14ac:dyDescent="0.3">
      <c r="A35" s="69"/>
      <c r="B35" s="69"/>
      <c r="C35" s="69"/>
      <c r="D35" s="69"/>
      <c r="E35" s="69"/>
      <c r="F35" s="68"/>
      <c r="G35" s="68"/>
      <c r="H35" s="68"/>
      <c r="I35" s="69"/>
      <c r="J35" s="73"/>
      <c r="K35" s="73"/>
      <c r="L35" s="69"/>
      <c r="M35" s="69"/>
      <c r="N35" s="67" t="str">
        <f t="shared" si="0"/>
        <v/>
      </c>
      <c r="O35" s="67" t="str">
        <f>IF(OR(A35="",I35&lt;&gt;"Completed"),"",IF(K35&lt;=J35*(1+Settings!$B$7),"Yes","No"))</f>
        <v/>
      </c>
      <c r="P35" s="67" t="str">
        <f t="shared" si="1"/>
        <v/>
      </c>
      <c r="Q35" s="74" t="str">
        <f t="shared" si="2"/>
        <v/>
      </c>
      <c r="R35" s="75" t="str">
        <f t="shared" si="3"/>
        <v/>
      </c>
      <c r="S35" s="69"/>
    </row>
    <row r="36" spans="1:19" x14ac:dyDescent="0.3">
      <c r="A36" s="69"/>
      <c r="B36" s="69"/>
      <c r="C36" s="69"/>
      <c r="D36" s="69"/>
      <c r="E36" s="69"/>
      <c r="F36" s="68"/>
      <c r="G36" s="68"/>
      <c r="H36" s="68"/>
      <c r="I36" s="69"/>
      <c r="J36" s="73"/>
      <c r="K36" s="73"/>
      <c r="L36" s="69"/>
      <c r="M36" s="69"/>
      <c r="N36" s="67" t="str">
        <f t="shared" si="0"/>
        <v/>
      </c>
      <c r="O36" s="67" t="str">
        <f>IF(OR(A36="",I36&lt;&gt;"Completed"),"",IF(K36&lt;=J36*(1+Settings!$B$7),"Yes","No"))</f>
        <v/>
      </c>
      <c r="P36" s="67" t="str">
        <f t="shared" si="1"/>
        <v/>
      </c>
      <c r="Q36" s="74" t="str">
        <f t="shared" si="2"/>
        <v/>
      </c>
      <c r="R36" s="75" t="str">
        <f t="shared" si="3"/>
        <v/>
      </c>
      <c r="S36" s="69"/>
    </row>
    <row r="37" spans="1:19" x14ac:dyDescent="0.3">
      <c r="A37" s="69"/>
      <c r="B37" s="69"/>
      <c r="C37" s="69"/>
      <c r="D37" s="69"/>
      <c r="E37" s="69"/>
      <c r="F37" s="68"/>
      <c r="G37" s="68"/>
      <c r="H37" s="68"/>
      <c r="I37" s="69"/>
      <c r="J37" s="73"/>
      <c r="K37" s="73"/>
      <c r="L37" s="69"/>
      <c r="M37" s="69"/>
      <c r="N37" s="67" t="str">
        <f t="shared" ref="N37:N68" si="4">IF(OR(A37="",I37&lt;&gt;"Completed"),"",IF(H37&lt;=G37,"Yes","No"))</f>
        <v/>
      </c>
      <c r="O37" s="67" t="str">
        <f>IF(OR(A37="",I37&lt;&gt;"Completed"),"",IF(K37&lt;=J37*(1+Settings!$B$7),"Yes","No"))</f>
        <v/>
      </c>
      <c r="P37" s="67" t="str">
        <f t="shared" ref="P37:P68" si="5">IF(OR(A37="",I37&lt;&gt;"Completed"),"",IF(AND(N37="Yes",O37="Yes",L37="Yes"),"Yes","No"))</f>
        <v/>
      </c>
      <c r="Q37" s="74" t="str">
        <f t="shared" ref="Q37:Q68" si="6">IF(OR(G37="",H37=""),"",H37-G37)</f>
        <v/>
      </c>
      <c r="R37" s="75" t="str">
        <f t="shared" ref="R37:R68" si="7">IF(OR(J37="",K37=""),"",J37-K37)</f>
        <v/>
      </c>
      <c r="S37" s="69"/>
    </row>
    <row r="38" spans="1:19" x14ac:dyDescent="0.3">
      <c r="A38" s="69"/>
      <c r="B38" s="69"/>
      <c r="C38" s="69"/>
      <c r="D38" s="69"/>
      <c r="E38" s="69"/>
      <c r="F38" s="68"/>
      <c r="G38" s="68"/>
      <c r="H38" s="68"/>
      <c r="I38" s="69"/>
      <c r="J38" s="73"/>
      <c r="K38" s="73"/>
      <c r="L38" s="69"/>
      <c r="M38" s="69"/>
      <c r="N38" s="67" t="str">
        <f t="shared" si="4"/>
        <v/>
      </c>
      <c r="O38" s="67" t="str">
        <f>IF(OR(A38="",I38&lt;&gt;"Completed"),"",IF(K38&lt;=J38*(1+Settings!$B$7),"Yes","No"))</f>
        <v/>
      </c>
      <c r="P38" s="67" t="str">
        <f t="shared" si="5"/>
        <v/>
      </c>
      <c r="Q38" s="74" t="str">
        <f t="shared" si="6"/>
        <v/>
      </c>
      <c r="R38" s="75" t="str">
        <f t="shared" si="7"/>
        <v/>
      </c>
      <c r="S38" s="69"/>
    </row>
    <row r="39" spans="1:19" x14ac:dyDescent="0.3">
      <c r="A39" s="69"/>
      <c r="B39" s="69"/>
      <c r="C39" s="69"/>
      <c r="D39" s="69"/>
      <c r="E39" s="69"/>
      <c r="F39" s="68"/>
      <c r="G39" s="68"/>
      <c r="H39" s="68"/>
      <c r="I39" s="69"/>
      <c r="J39" s="73"/>
      <c r="K39" s="73"/>
      <c r="L39" s="69"/>
      <c r="M39" s="69"/>
      <c r="N39" s="67" t="str">
        <f t="shared" si="4"/>
        <v/>
      </c>
      <c r="O39" s="67" t="str">
        <f>IF(OR(A39="",I39&lt;&gt;"Completed"),"",IF(K39&lt;=J39*(1+Settings!$B$7),"Yes","No"))</f>
        <v/>
      </c>
      <c r="P39" s="67" t="str">
        <f t="shared" si="5"/>
        <v/>
      </c>
      <c r="Q39" s="74" t="str">
        <f t="shared" si="6"/>
        <v/>
      </c>
      <c r="R39" s="75" t="str">
        <f t="shared" si="7"/>
        <v/>
      </c>
      <c r="S39" s="69"/>
    </row>
    <row r="40" spans="1:19" x14ac:dyDescent="0.3">
      <c r="A40" s="69"/>
      <c r="B40" s="69"/>
      <c r="C40" s="69"/>
      <c r="D40" s="69"/>
      <c r="E40" s="69"/>
      <c r="F40" s="68"/>
      <c r="G40" s="68"/>
      <c r="H40" s="68"/>
      <c r="I40" s="69"/>
      <c r="J40" s="73"/>
      <c r="K40" s="73"/>
      <c r="L40" s="69"/>
      <c r="M40" s="69"/>
      <c r="N40" s="67" t="str">
        <f t="shared" si="4"/>
        <v/>
      </c>
      <c r="O40" s="67" t="str">
        <f>IF(OR(A40="",I40&lt;&gt;"Completed"),"",IF(K40&lt;=J40*(1+Settings!$B$7),"Yes","No"))</f>
        <v/>
      </c>
      <c r="P40" s="67" t="str">
        <f t="shared" si="5"/>
        <v/>
      </c>
      <c r="Q40" s="74" t="str">
        <f t="shared" si="6"/>
        <v/>
      </c>
      <c r="R40" s="75" t="str">
        <f t="shared" si="7"/>
        <v/>
      </c>
      <c r="S40" s="69"/>
    </row>
    <row r="41" spans="1:19" x14ac:dyDescent="0.3">
      <c r="A41" s="69"/>
      <c r="B41" s="69"/>
      <c r="C41" s="69"/>
      <c r="D41" s="69"/>
      <c r="E41" s="69"/>
      <c r="F41" s="68"/>
      <c r="G41" s="68"/>
      <c r="H41" s="68"/>
      <c r="I41" s="69"/>
      <c r="J41" s="73"/>
      <c r="K41" s="73"/>
      <c r="L41" s="69"/>
      <c r="M41" s="69"/>
      <c r="N41" s="67" t="str">
        <f t="shared" si="4"/>
        <v/>
      </c>
      <c r="O41" s="67" t="str">
        <f>IF(OR(A41="",I41&lt;&gt;"Completed"),"",IF(K41&lt;=J41*(1+Settings!$B$7),"Yes","No"))</f>
        <v/>
      </c>
      <c r="P41" s="67" t="str">
        <f t="shared" si="5"/>
        <v/>
      </c>
      <c r="Q41" s="74" t="str">
        <f t="shared" si="6"/>
        <v/>
      </c>
      <c r="R41" s="75" t="str">
        <f t="shared" si="7"/>
        <v/>
      </c>
      <c r="S41" s="69"/>
    </row>
    <row r="42" spans="1:19" x14ac:dyDescent="0.3">
      <c r="A42" s="69"/>
      <c r="B42" s="69"/>
      <c r="C42" s="69"/>
      <c r="D42" s="69"/>
      <c r="E42" s="69"/>
      <c r="F42" s="68"/>
      <c r="G42" s="68"/>
      <c r="H42" s="68"/>
      <c r="I42" s="69"/>
      <c r="J42" s="73"/>
      <c r="K42" s="73"/>
      <c r="L42" s="69"/>
      <c r="M42" s="69"/>
      <c r="N42" s="67" t="str">
        <f t="shared" si="4"/>
        <v/>
      </c>
      <c r="O42" s="67" t="str">
        <f>IF(OR(A42="",I42&lt;&gt;"Completed"),"",IF(K42&lt;=J42*(1+Settings!$B$7),"Yes","No"))</f>
        <v/>
      </c>
      <c r="P42" s="67" t="str">
        <f t="shared" si="5"/>
        <v/>
      </c>
      <c r="Q42" s="74" t="str">
        <f t="shared" si="6"/>
        <v/>
      </c>
      <c r="R42" s="75" t="str">
        <f t="shared" si="7"/>
        <v/>
      </c>
      <c r="S42" s="69"/>
    </row>
    <row r="43" spans="1:19" x14ac:dyDescent="0.3">
      <c r="A43" s="69"/>
      <c r="B43" s="69"/>
      <c r="C43" s="69"/>
      <c r="D43" s="69"/>
      <c r="E43" s="69"/>
      <c r="F43" s="68"/>
      <c r="G43" s="68"/>
      <c r="H43" s="68"/>
      <c r="I43" s="69"/>
      <c r="J43" s="73"/>
      <c r="K43" s="73"/>
      <c r="L43" s="69"/>
      <c r="M43" s="69"/>
      <c r="N43" s="67" t="str">
        <f t="shared" si="4"/>
        <v/>
      </c>
      <c r="O43" s="67" t="str">
        <f>IF(OR(A43="",I43&lt;&gt;"Completed"),"",IF(K43&lt;=J43*(1+Settings!$B$7),"Yes","No"))</f>
        <v/>
      </c>
      <c r="P43" s="67" t="str">
        <f t="shared" si="5"/>
        <v/>
      </c>
      <c r="Q43" s="74" t="str">
        <f t="shared" si="6"/>
        <v/>
      </c>
      <c r="R43" s="75" t="str">
        <f t="shared" si="7"/>
        <v/>
      </c>
      <c r="S43" s="69"/>
    </row>
    <row r="44" spans="1:19" x14ac:dyDescent="0.3">
      <c r="A44" s="69"/>
      <c r="B44" s="69"/>
      <c r="C44" s="69"/>
      <c r="D44" s="69"/>
      <c r="E44" s="69"/>
      <c r="F44" s="68"/>
      <c r="G44" s="68"/>
      <c r="H44" s="68"/>
      <c r="I44" s="69"/>
      <c r="J44" s="73"/>
      <c r="K44" s="73"/>
      <c r="L44" s="69"/>
      <c r="M44" s="69"/>
      <c r="N44" s="67" t="str">
        <f t="shared" si="4"/>
        <v/>
      </c>
      <c r="O44" s="67" t="str">
        <f>IF(OR(A44="",I44&lt;&gt;"Completed"),"",IF(K44&lt;=J44*(1+Settings!$B$7),"Yes","No"))</f>
        <v/>
      </c>
      <c r="P44" s="67" t="str">
        <f t="shared" si="5"/>
        <v/>
      </c>
      <c r="Q44" s="74" t="str">
        <f t="shared" si="6"/>
        <v/>
      </c>
      <c r="R44" s="75" t="str">
        <f t="shared" si="7"/>
        <v/>
      </c>
      <c r="S44" s="69"/>
    </row>
    <row r="45" spans="1:19" x14ac:dyDescent="0.3">
      <c r="A45" s="69"/>
      <c r="B45" s="69"/>
      <c r="C45" s="69"/>
      <c r="D45" s="69"/>
      <c r="E45" s="69"/>
      <c r="F45" s="68"/>
      <c r="G45" s="68"/>
      <c r="H45" s="68"/>
      <c r="I45" s="69"/>
      <c r="J45" s="73"/>
      <c r="K45" s="73"/>
      <c r="L45" s="69"/>
      <c r="M45" s="69"/>
      <c r="N45" s="67" t="str">
        <f t="shared" si="4"/>
        <v/>
      </c>
      <c r="O45" s="67" t="str">
        <f>IF(OR(A45="",I45&lt;&gt;"Completed"),"",IF(K45&lt;=J45*(1+Settings!$B$7),"Yes","No"))</f>
        <v/>
      </c>
      <c r="P45" s="67" t="str">
        <f t="shared" si="5"/>
        <v/>
      </c>
      <c r="Q45" s="74" t="str">
        <f t="shared" si="6"/>
        <v/>
      </c>
      <c r="R45" s="75" t="str">
        <f t="shared" si="7"/>
        <v/>
      </c>
      <c r="S45" s="69"/>
    </row>
    <row r="46" spans="1:19" x14ac:dyDescent="0.3">
      <c r="A46" s="69"/>
      <c r="B46" s="69"/>
      <c r="C46" s="69"/>
      <c r="D46" s="69"/>
      <c r="E46" s="69"/>
      <c r="F46" s="68"/>
      <c r="G46" s="68"/>
      <c r="H46" s="68"/>
      <c r="I46" s="69"/>
      <c r="J46" s="73"/>
      <c r="K46" s="73"/>
      <c r="L46" s="69"/>
      <c r="M46" s="69"/>
      <c r="N46" s="67" t="str">
        <f t="shared" si="4"/>
        <v/>
      </c>
      <c r="O46" s="67" t="str">
        <f>IF(OR(A46="",I46&lt;&gt;"Completed"),"",IF(K46&lt;=J46*(1+Settings!$B$7),"Yes","No"))</f>
        <v/>
      </c>
      <c r="P46" s="67" t="str">
        <f t="shared" si="5"/>
        <v/>
      </c>
      <c r="Q46" s="74" t="str">
        <f t="shared" si="6"/>
        <v/>
      </c>
      <c r="R46" s="75" t="str">
        <f t="shared" si="7"/>
        <v/>
      </c>
      <c r="S46" s="69"/>
    </row>
    <row r="47" spans="1:19" x14ac:dyDescent="0.3">
      <c r="A47" s="69"/>
      <c r="B47" s="69"/>
      <c r="C47" s="69"/>
      <c r="D47" s="69"/>
      <c r="E47" s="69"/>
      <c r="F47" s="68"/>
      <c r="G47" s="68"/>
      <c r="H47" s="68"/>
      <c r="I47" s="69"/>
      <c r="J47" s="73"/>
      <c r="K47" s="73"/>
      <c r="L47" s="69"/>
      <c r="M47" s="69"/>
      <c r="N47" s="67" t="str">
        <f t="shared" si="4"/>
        <v/>
      </c>
      <c r="O47" s="67" t="str">
        <f>IF(OR(A47="",I47&lt;&gt;"Completed"),"",IF(K47&lt;=J47*(1+Settings!$B$7),"Yes","No"))</f>
        <v/>
      </c>
      <c r="P47" s="67" t="str">
        <f t="shared" si="5"/>
        <v/>
      </c>
      <c r="Q47" s="74" t="str">
        <f t="shared" si="6"/>
        <v/>
      </c>
      <c r="R47" s="75" t="str">
        <f t="shared" si="7"/>
        <v/>
      </c>
      <c r="S47" s="69"/>
    </row>
    <row r="48" spans="1:19" x14ac:dyDescent="0.3">
      <c r="A48" s="69"/>
      <c r="B48" s="69"/>
      <c r="C48" s="69"/>
      <c r="D48" s="69"/>
      <c r="E48" s="69"/>
      <c r="F48" s="68"/>
      <c r="G48" s="68"/>
      <c r="H48" s="68"/>
      <c r="I48" s="69"/>
      <c r="J48" s="73"/>
      <c r="K48" s="73"/>
      <c r="L48" s="69"/>
      <c r="M48" s="69"/>
      <c r="N48" s="67" t="str">
        <f t="shared" si="4"/>
        <v/>
      </c>
      <c r="O48" s="67" t="str">
        <f>IF(OR(A48="",I48&lt;&gt;"Completed"),"",IF(K48&lt;=J48*(1+Settings!$B$7),"Yes","No"))</f>
        <v/>
      </c>
      <c r="P48" s="67" t="str">
        <f t="shared" si="5"/>
        <v/>
      </c>
      <c r="Q48" s="74" t="str">
        <f t="shared" si="6"/>
        <v/>
      </c>
      <c r="R48" s="75" t="str">
        <f t="shared" si="7"/>
        <v/>
      </c>
      <c r="S48" s="69"/>
    </row>
    <row r="49" spans="1:19" x14ac:dyDescent="0.3">
      <c r="A49" s="69"/>
      <c r="B49" s="69"/>
      <c r="C49" s="69"/>
      <c r="D49" s="69"/>
      <c r="E49" s="69"/>
      <c r="F49" s="68"/>
      <c r="G49" s="68"/>
      <c r="H49" s="68"/>
      <c r="I49" s="69"/>
      <c r="J49" s="73"/>
      <c r="K49" s="73"/>
      <c r="L49" s="69"/>
      <c r="M49" s="69"/>
      <c r="N49" s="67" t="str">
        <f t="shared" si="4"/>
        <v/>
      </c>
      <c r="O49" s="67" t="str">
        <f>IF(OR(A49="",I49&lt;&gt;"Completed"),"",IF(K49&lt;=J49*(1+Settings!$B$7),"Yes","No"))</f>
        <v/>
      </c>
      <c r="P49" s="67" t="str">
        <f t="shared" si="5"/>
        <v/>
      </c>
      <c r="Q49" s="74" t="str">
        <f t="shared" si="6"/>
        <v/>
      </c>
      <c r="R49" s="75" t="str">
        <f t="shared" si="7"/>
        <v/>
      </c>
      <c r="S49" s="69"/>
    </row>
    <row r="50" spans="1:19" x14ac:dyDescent="0.3">
      <c r="A50" s="69"/>
      <c r="B50" s="69"/>
      <c r="C50" s="69"/>
      <c r="D50" s="69"/>
      <c r="E50" s="69"/>
      <c r="F50" s="68"/>
      <c r="G50" s="68"/>
      <c r="H50" s="68"/>
      <c r="I50" s="69"/>
      <c r="J50" s="73"/>
      <c r="K50" s="73"/>
      <c r="L50" s="69"/>
      <c r="M50" s="69"/>
      <c r="N50" s="67" t="str">
        <f t="shared" si="4"/>
        <v/>
      </c>
      <c r="O50" s="67" t="str">
        <f>IF(OR(A50="",I50&lt;&gt;"Completed"),"",IF(K50&lt;=J50*(1+Settings!$B$7),"Yes","No"))</f>
        <v/>
      </c>
      <c r="P50" s="67" t="str">
        <f t="shared" si="5"/>
        <v/>
      </c>
      <c r="Q50" s="74" t="str">
        <f t="shared" si="6"/>
        <v/>
      </c>
      <c r="R50" s="75" t="str">
        <f t="shared" si="7"/>
        <v/>
      </c>
      <c r="S50" s="69"/>
    </row>
    <row r="51" spans="1:19" x14ac:dyDescent="0.3">
      <c r="A51" s="69"/>
      <c r="B51" s="69"/>
      <c r="C51" s="69"/>
      <c r="D51" s="69"/>
      <c r="E51" s="69"/>
      <c r="F51" s="68"/>
      <c r="G51" s="68"/>
      <c r="H51" s="68"/>
      <c r="I51" s="69"/>
      <c r="J51" s="73"/>
      <c r="K51" s="73"/>
      <c r="L51" s="69"/>
      <c r="M51" s="69"/>
      <c r="N51" s="67" t="str">
        <f t="shared" si="4"/>
        <v/>
      </c>
      <c r="O51" s="67" t="str">
        <f>IF(OR(A51="",I51&lt;&gt;"Completed"),"",IF(K51&lt;=J51*(1+Settings!$B$7),"Yes","No"))</f>
        <v/>
      </c>
      <c r="P51" s="67" t="str">
        <f t="shared" si="5"/>
        <v/>
      </c>
      <c r="Q51" s="74" t="str">
        <f t="shared" si="6"/>
        <v/>
      </c>
      <c r="R51" s="75" t="str">
        <f t="shared" si="7"/>
        <v/>
      </c>
      <c r="S51" s="69"/>
    </row>
    <row r="52" spans="1:19" x14ac:dyDescent="0.3">
      <c r="A52" s="69"/>
      <c r="B52" s="69"/>
      <c r="C52" s="69"/>
      <c r="D52" s="69"/>
      <c r="E52" s="69"/>
      <c r="F52" s="68"/>
      <c r="G52" s="68"/>
      <c r="H52" s="68"/>
      <c r="I52" s="69"/>
      <c r="J52" s="73"/>
      <c r="K52" s="73"/>
      <c r="L52" s="69"/>
      <c r="M52" s="69"/>
      <c r="N52" s="67" t="str">
        <f t="shared" si="4"/>
        <v/>
      </c>
      <c r="O52" s="67" t="str">
        <f>IF(OR(A52="",I52&lt;&gt;"Completed"),"",IF(K52&lt;=J52*(1+Settings!$B$7),"Yes","No"))</f>
        <v/>
      </c>
      <c r="P52" s="67" t="str">
        <f t="shared" si="5"/>
        <v/>
      </c>
      <c r="Q52" s="74" t="str">
        <f t="shared" si="6"/>
        <v/>
      </c>
      <c r="R52" s="75" t="str">
        <f t="shared" si="7"/>
        <v/>
      </c>
      <c r="S52" s="69"/>
    </row>
    <row r="53" spans="1:19" x14ac:dyDescent="0.3">
      <c r="A53" s="69"/>
      <c r="B53" s="69"/>
      <c r="C53" s="69"/>
      <c r="D53" s="69"/>
      <c r="E53" s="69"/>
      <c r="F53" s="68"/>
      <c r="G53" s="68"/>
      <c r="H53" s="68"/>
      <c r="I53" s="69"/>
      <c r="J53" s="73"/>
      <c r="K53" s="73"/>
      <c r="L53" s="69"/>
      <c r="M53" s="69"/>
      <c r="N53" s="67" t="str">
        <f t="shared" si="4"/>
        <v/>
      </c>
      <c r="O53" s="67" t="str">
        <f>IF(OR(A53="",I53&lt;&gt;"Completed"),"",IF(K53&lt;=J53*(1+Settings!$B$7),"Yes","No"))</f>
        <v/>
      </c>
      <c r="P53" s="67" t="str">
        <f t="shared" si="5"/>
        <v/>
      </c>
      <c r="Q53" s="74" t="str">
        <f t="shared" si="6"/>
        <v/>
      </c>
      <c r="R53" s="75" t="str">
        <f t="shared" si="7"/>
        <v/>
      </c>
      <c r="S53" s="69"/>
    </row>
    <row r="54" spans="1:19" x14ac:dyDescent="0.3">
      <c r="A54" s="69"/>
      <c r="B54" s="69"/>
      <c r="C54" s="69"/>
      <c r="D54" s="69"/>
      <c r="E54" s="69"/>
      <c r="F54" s="68"/>
      <c r="G54" s="68"/>
      <c r="H54" s="68"/>
      <c r="I54" s="69"/>
      <c r="J54" s="73"/>
      <c r="K54" s="73"/>
      <c r="L54" s="69"/>
      <c r="M54" s="69"/>
      <c r="N54" s="67" t="str">
        <f t="shared" si="4"/>
        <v/>
      </c>
      <c r="O54" s="67" t="str">
        <f>IF(OR(A54="",I54&lt;&gt;"Completed"),"",IF(K54&lt;=J54*(1+Settings!$B$7),"Yes","No"))</f>
        <v/>
      </c>
      <c r="P54" s="67" t="str">
        <f t="shared" si="5"/>
        <v/>
      </c>
      <c r="Q54" s="74" t="str">
        <f t="shared" si="6"/>
        <v/>
      </c>
      <c r="R54" s="75" t="str">
        <f t="shared" si="7"/>
        <v/>
      </c>
      <c r="S54" s="69"/>
    </row>
    <row r="55" spans="1:19" x14ac:dyDescent="0.3">
      <c r="A55" s="69"/>
      <c r="B55" s="69"/>
      <c r="C55" s="69"/>
      <c r="D55" s="69"/>
      <c r="E55" s="69"/>
      <c r="F55" s="68"/>
      <c r="G55" s="68"/>
      <c r="H55" s="68"/>
      <c r="I55" s="69"/>
      <c r="J55" s="73"/>
      <c r="K55" s="73"/>
      <c r="L55" s="69"/>
      <c r="M55" s="69"/>
      <c r="N55" s="67" t="str">
        <f t="shared" si="4"/>
        <v/>
      </c>
      <c r="O55" s="67" t="str">
        <f>IF(OR(A55="",I55&lt;&gt;"Completed"),"",IF(K55&lt;=J55*(1+Settings!$B$7),"Yes","No"))</f>
        <v/>
      </c>
      <c r="P55" s="67" t="str">
        <f t="shared" si="5"/>
        <v/>
      </c>
      <c r="Q55" s="74" t="str">
        <f t="shared" si="6"/>
        <v/>
      </c>
      <c r="R55" s="75" t="str">
        <f t="shared" si="7"/>
        <v/>
      </c>
      <c r="S55" s="69"/>
    </row>
    <row r="56" spans="1:19" x14ac:dyDescent="0.3">
      <c r="A56" s="69"/>
      <c r="B56" s="69"/>
      <c r="C56" s="69"/>
      <c r="D56" s="69"/>
      <c r="E56" s="69"/>
      <c r="F56" s="68"/>
      <c r="G56" s="68"/>
      <c r="H56" s="68"/>
      <c r="I56" s="69"/>
      <c r="J56" s="73"/>
      <c r="K56" s="73"/>
      <c r="L56" s="69"/>
      <c r="M56" s="69"/>
      <c r="N56" s="67" t="str">
        <f t="shared" si="4"/>
        <v/>
      </c>
      <c r="O56" s="67" t="str">
        <f>IF(OR(A56="",I56&lt;&gt;"Completed"),"",IF(K56&lt;=J56*(1+Settings!$B$7),"Yes","No"))</f>
        <v/>
      </c>
      <c r="P56" s="67" t="str">
        <f t="shared" si="5"/>
        <v/>
      </c>
      <c r="Q56" s="74" t="str">
        <f t="shared" si="6"/>
        <v/>
      </c>
      <c r="R56" s="75" t="str">
        <f t="shared" si="7"/>
        <v/>
      </c>
      <c r="S56" s="69"/>
    </row>
    <row r="57" spans="1:19" x14ac:dyDescent="0.3">
      <c r="A57" s="69"/>
      <c r="B57" s="69"/>
      <c r="C57" s="69"/>
      <c r="D57" s="69"/>
      <c r="E57" s="69"/>
      <c r="F57" s="68"/>
      <c r="G57" s="68"/>
      <c r="H57" s="68"/>
      <c r="I57" s="69"/>
      <c r="J57" s="73"/>
      <c r="K57" s="73"/>
      <c r="L57" s="69"/>
      <c r="M57" s="69"/>
      <c r="N57" s="67" t="str">
        <f t="shared" si="4"/>
        <v/>
      </c>
      <c r="O57" s="67" t="str">
        <f>IF(OR(A57="",I57&lt;&gt;"Completed"),"",IF(K57&lt;=J57*(1+Settings!$B$7),"Yes","No"))</f>
        <v/>
      </c>
      <c r="P57" s="67" t="str">
        <f t="shared" si="5"/>
        <v/>
      </c>
      <c r="Q57" s="74" t="str">
        <f t="shared" si="6"/>
        <v/>
      </c>
      <c r="R57" s="75" t="str">
        <f t="shared" si="7"/>
        <v/>
      </c>
      <c r="S57" s="69"/>
    </row>
    <row r="58" spans="1:19" x14ac:dyDescent="0.3">
      <c r="A58" s="69"/>
      <c r="B58" s="69"/>
      <c r="C58" s="69"/>
      <c r="D58" s="69"/>
      <c r="E58" s="69"/>
      <c r="F58" s="68"/>
      <c r="G58" s="68"/>
      <c r="H58" s="68"/>
      <c r="I58" s="69"/>
      <c r="J58" s="73"/>
      <c r="K58" s="73"/>
      <c r="L58" s="69"/>
      <c r="M58" s="69"/>
      <c r="N58" s="67" t="str">
        <f t="shared" si="4"/>
        <v/>
      </c>
      <c r="O58" s="67" t="str">
        <f>IF(OR(A58="",I58&lt;&gt;"Completed"),"",IF(K58&lt;=J58*(1+Settings!$B$7),"Yes","No"))</f>
        <v/>
      </c>
      <c r="P58" s="67" t="str">
        <f t="shared" si="5"/>
        <v/>
      </c>
      <c r="Q58" s="74" t="str">
        <f t="shared" si="6"/>
        <v/>
      </c>
      <c r="R58" s="75" t="str">
        <f t="shared" si="7"/>
        <v/>
      </c>
      <c r="S58" s="69"/>
    </row>
    <row r="59" spans="1:19" x14ac:dyDescent="0.3">
      <c r="A59" s="69"/>
      <c r="B59" s="69"/>
      <c r="C59" s="69"/>
      <c r="D59" s="69"/>
      <c r="E59" s="69"/>
      <c r="F59" s="68"/>
      <c r="G59" s="68"/>
      <c r="H59" s="68"/>
      <c r="I59" s="69"/>
      <c r="J59" s="73"/>
      <c r="K59" s="73"/>
      <c r="L59" s="69"/>
      <c r="M59" s="69"/>
      <c r="N59" s="67" t="str">
        <f t="shared" si="4"/>
        <v/>
      </c>
      <c r="O59" s="67" t="str">
        <f>IF(OR(A59="",I59&lt;&gt;"Completed"),"",IF(K59&lt;=J59*(1+Settings!$B$7),"Yes","No"))</f>
        <v/>
      </c>
      <c r="P59" s="67" t="str">
        <f t="shared" si="5"/>
        <v/>
      </c>
      <c r="Q59" s="74" t="str">
        <f t="shared" si="6"/>
        <v/>
      </c>
      <c r="R59" s="75" t="str">
        <f t="shared" si="7"/>
        <v/>
      </c>
      <c r="S59" s="69"/>
    </row>
    <row r="60" spans="1:19" x14ac:dyDescent="0.3">
      <c r="A60" s="69"/>
      <c r="B60" s="69"/>
      <c r="C60" s="69"/>
      <c r="D60" s="69"/>
      <c r="E60" s="69"/>
      <c r="F60" s="68"/>
      <c r="G60" s="68"/>
      <c r="H60" s="68"/>
      <c r="I60" s="69"/>
      <c r="J60" s="73"/>
      <c r="K60" s="73"/>
      <c r="L60" s="69"/>
      <c r="M60" s="69"/>
      <c r="N60" s="67" t="str">
        <f t="shared" si="4"/>
        <v/>
      </c>
      <c r="O60" s="67" t="str">
        <f>IF(OR(A60="",I60&lt;&gt;"Completed"),"",IF(K60&lt;=J60*(1+Settings!$B$7),"Yes","No"))</f>
        <v/>
      </c>
      <c r="P60" s="67" t="str">
        <f t="shared" si="5"/>
        <v/>
      </c>
      <c r="Q60" s="74" t="str">
        <f t="shared" si="6"/>
        <v/>
      </c>
      <c r="R60" s="75" t="str">
        <f t="shared" si="7"/>
        <v/>
      </c>
      <c r="S60" s="69"/>
    </row>
    <row r="61" spans="1:19" x14ac:dyDescent="0.3">
      <c r="A61" s="69"/>
      <c r="B61" s="69"/>
      <c r="C61" s="69"/>
      <c r="D61" s="69"/>
      <c r="E61" s="69"/>
      <c r="F61" s="68"/>
      <c r="G61" s="68"/>
      <c r="H61" s="68"/>
      <c r="I61" s="69"/>
      <c r="J61" s="73"/>
      <c r="K61" s="73"/>
      <c r="L61" s="69"/>
      <c r="M61" s="69"/>
      <c r="N61" s="67" t="str">
        <f t="shared" si="4"/>
        <v/>
      </c>
      <c r="O61" s="67" t="str">
        <f>IF(OR(A61="",I61&lt;&gt;"Completed"),"",IF(K61&lt;=J61*(1+Settings!$B$7),"Yes","No"))</f>
        <v/>
      </c>
      <c r="P61" s="67" t="str">
        <f t="shared" si="5"/>
        <v/>
      </c>
      <c r="Q61" s="74" t="str">
        <f t="shared" si="6"/>
        <v/>
      </c>
      <c r="R61" s="75" t="str">
        <f t="shared" si="7"/>
        <v/>
      </c>
      <c r="S61" s="69"/>
    </row>
    <row r="62" spans="1:19" x14ac:dyDescent="0.3">
      <c r="A62" s="69"/>
      <c r="B62" s="69"/>
      <c r="C62" s="69"/>
      <c r="D62" s="69"/>
      <c r="E62" s="69"/>
      <c r="F62" s="68"/>
      <c r="G62" s="68"/>
      <c r="H62" s="68"/>
      <c r="I62" s="69"/>
      <c r="J62" s="73"/>
      <c r="K62" s="73"/>
      <c r="L62" s="69"/>
      <c r="M62" s="69"/>
      <c r="N62" s="67" t="str">
        <f t="shared" si="4"/>
        <v/>
      </c>
      <c r="O62" s="67" t="str">
        <f>IF(OR(A62="",I62&lt;&gt;"Completed"),"",IF(K62&lt;=J62*(1+Settings!$B$7),"Yes","No"))</f>
        <v/>
      </c>
      <c r="P62" s="67" t="str">
        <f t="shared" si="5"/>
        <v/>
      </c>
      <c r="Q62" s="74" t="str">
        <f t="shared" si="6"/>
        <v/>
      </c>
      <c r="R62" s="75" t="str">
        <f t="shared" si="7"/>
        <v/>
      </c>
      <c r="S62" s="69"/>
    </row>
    <row r="63" spans="1:19" x14ac:dyDescent="0.3">
      <c r="A63" s="69"/>
      <c r="B63" s="69"/>
      <c r="C63" s="69"/>
      <c r="D63" s="69"/>
      <c r="E63" s="69"/>
      <c r="F63" s="68"/>
      <c r="G63" s="68"/>
      <c r="H63" s="68"/>
      <c r="I63" s="69"/>
      <c r="J63" s="73"/>
      <c r="K63" s="73"/>
      <c r="L63" s="69"/>
      <c r="M63" s="69"/>
      <c r="N63" s="67" t="str">
        <f t="shared" si="4"/>
        <v/>
      </c>
      <c r="O63" s="67" t="str">
        <f>IF(OR(A63="",I63&lt;&gt;"Completed"),"",IF(K63&lt;=J63*(1+Settings!$B$7),"Yes","No"))</f>
        <v/>
      </c>
      <c r="P63" s="67" t="str">
        <f t="shared" si="5"/>
        <v/>
      </c>
      <c r="Q63" s="74" t="str">
        <f t="shared" si="6"/>
        <v/>
      </c>
      <c r="R63" s="75" t="str">
        <f t="shared" si="7"/>
        <v/>
      </c>
      <c r="S63" s="69"/>
    </row>
    <row r="64" spans="1:19" x14ac:dyDescent="0.3">
      <c r="A64" s="69"/>
      <c r="B64" s="69"/>
      <c r="C64" s="69"/>
      <c r="D64" s="69"/>
      <c r="E64" s="69"/>
      <c r="F64" s="68"/>
      <c r="G64" s="68"/>
      <c r="H64" s="68"/>
      <c r="I64" s="69"/>
      <c r="J64" s="73"/>
      <c r="K64" s="73"/>
      <c r="L64" s="69"/>
      <c r="M64" s="69"/>
      <c r="N64" s="67" t="str">
        <f t="shared" si="4"/>
        <v/>
      </c>
      <c r="O64" s="67" t="str">
        <f>IF(OR(A64="",I64&lt;&gt;"Completed"),"",IF(K64&lt;=J64*(1+Settings!$B$7),"Yes","No"))</f>
        <v/>
      </c>
      <c r="P64" s="67" t="str">
        <f t="shared" si="5"/>
        <v/>
      </c>
      <c r="Q64" s="74" t="str">
        <f t="shared" si="6"/>
        <v/>
      </c>
      <c r="R64" s="75" t="str">
        <f t="shared" si="7"/>
        <v/>
      </c>
      <c r="S64" s="69"/>
    </row>
    <row r="65" spans="1:19" x14ac:dyDescent="0.3">
      <c r="A65" s="69"/>
      <c r="B65" s="69"/>
      <c r="C65" s="69"/>
      <c r="D65" s="69"/>
      <c r="E65" s="69"/>
      <c r="F65" s="68"/>
      <c r="G65" s="68"/>
      <c r="H65" s="68"/>
      <c r="I65" s="69"/>
      <c r="J65" s="73"/>
      <c r="K65" s="73"/>
      <c r="L65" s="69"/>
      <c r="M65" s="69"/>
      <c r="N65" s="67" t="str">
        <f t="shared" si="4"/>
        <v/>
      </c>
      <c r="O65" s="67" t="str">
        <f>IF(OR(A65="",I65&lt;&gt;"Completed"),"",IF(K65&lt;=J65*(1+Settings!$B$7),"Yes","No"))</f>
        <v/>
      </c>
      <c r="P65" s="67" t="str">
        <f t="shared" si="5"/>
        <v/>
      </c>
      <c r="Q65" s="74" t="str">
        <f t="shared" si="6"/>
        <v/>
      </c>
      <c r="R65" s="75" t="str">
        <f t="shared" si="7"/>
        <v/>
      </c>
      <c r="S65" s="69"/>
    </row>
    <row r="66" spans="1:19" x14ac:dyDescent="0.3">
      <c r="A66" s="69"/>
      <c r="B66" s="69"/>
      <c r="C66" s="69"/>
      <c r="D66" s="69"/>
      <c r="E66" s="69"/>
      <c r="F66" s="68"/>
      <c r="G66" s="68"/>
      <c r="H66" s="68"/>
      <c r="I66" s="69"/>
      <c r="J66" s="73"/>
      <c r="K66" s="73"/>
      <c r="L66" s="69"/>
      <c r="M66" s="69"/>
      <c r="N66" s="67" t="str">
        <f t="shared" si="4"/>
        <v/>
      </c>
      <c r="O66" s="67" t="str">
        <f>IF(OR(A66="",I66&lt;&gt;"Completed"),"",IF(K66&lt;=J66*(1+Settings!$B$7),"Yes","No"))</f>
        <v/>
      </c>
      <c r="P66" s="67" t="str">
        <f t="shared" si="5"/>
        <v/>
      </c>
      <c r="Q66" s="74" t="str">
        <f t="shared" si="6"/>
        <v/>
      </c>
      <c r="R66" s="75" t="str">
        <f t="shared" si="7"/>
        <v/>
      </c>
      <c r="S66" s="69"/>
    </row>
    <row r="67" spans="1:19" x14ac:dyDescent="0.3">
      <c r="A67" s="69"/>
      <c r="B67" s="69"/>
      <c r="C67" s="69"/>
      <c r="D67" s="69"/>
      <c r="E67" s="69"/>
      <c r="F67" s="68"/>
      <c r="G67" s="68"/>
      <c r="H67" s="68"/>
      <c r="I67" s="69"/>
      <c r="J67" s="73"/>
      <c r="K67" s="73"/>
      <c r="L67" s="69"/>
      <c r="M67" s="69"/>
      <c r="N67" s="67" t="str">
        <f t="shared" si="4"/>
        <v/>
      </c>
      <c r="O67" s="67" t="str">
        <f>IF(OR(A67="",I67&lt;&gt;"Completed"),"",IF(K67&lt;=J67*(1+Settings!$B$7),"Yes","No"))</f>
        <v/>
      </c>
      <c r="P67" s="67" t="str">
        <f t="shared" si="5"/>
        <v/>
      </c>
      <c r="Q67" s="74" t="str">
        <f t="shared" si="6"/>
        <v/>
      </c>
      <c r="R67" s="75" t="str">
        <f t="shared" si="7"/>
        <v/>
      </c>
      <c r="S67" s="69"/>
    </row>
    <row r="68" spans="1:19" x14ac:dyDescent="0.3">
      <c r="A68" s="69"/>
      <c r="B68" s="69"/>
      <c r="C68" s="69"/>
      <c r="D68" s="69"/>
      <c r="E68" s="69"/>
      <c r="F68" s="68"/>
      <c r="G68" s="68"/>
      <c r="H68" s="68"/>
      <c r="I68" s="69"/>
      <c r="J68" s="73"/>
      <c r="K68" s="73"/>
      <c r="L68" s="69"/>
      <c r="M68" s="69"/>
      <c r="N68" s="67" t="str">
        <f t="shared" si="4"/>
        <v/>
      </c>
      <c r="O68" s="67" t="str">
        <f>IF(OR(A68="",I68&lt;&gt;"Completed"),"",IF(K68&lt;=J68*(1+Settings!$B$7),"Yes","No"))</f>
        <v/>
      </c>
      <c r="P68" s="67" t="str">
        <f t="shared" si="5"/>
        <v/>
      </c>
      <c r="Q68" s="74" t="str">
        <f t="shared" si="6"/>
        <v/>
      </c>
      <c r="R68" s="75" t="str">
        <f t="shared" si="7"/>
        <v/>
      </c>
      <c r="S68" s="69"/>
    </row>
    <row r="69" spans="1:19" x14ac:dyDescent="0.3">
      <c r="A69" s="69"/>
      <c r="B69" s="69"/>
      <c r="C69" s="69"/>
      <c r="D69" s="69"/>
      <c r="E69" s="69"/>
      <c r="F69" s="68"/>
      <c r="G69" s="68"/>
      <c r="H69" s="68"/>
      <c r="I69" s="69"/>
      <c r="J69" s="73"/>
      <c r="K69" s="73"/>
      <c r="L69" s="69"/>
      <c r="M69" s="69"/>
      <c r="N69" s="67" t="str">
        <f t="shared" ref="N69:N104" si="8">IF(OR(A69="",I69&lt;&gt;"Completed"),"",IF(H69&lt;=G69,"Yes","No"))</f>
        <v/>
      </c>
      <c r="O69" s="67" t="str">
        <f>IF(OR(A69="",I69&lt;&gt;"Completed"),"",IF(K69&lt;=J69*(1+Settings!$B$7),"Yes","No"))</f>
        <v/>
      </c>
      <c r="P69" s="67" t="str">
        <f t="shared" ref="P69:P100" si="9">IF(OR(A69="",I69&lt;&gt;"Completed"),"",IF(AND(N69="Yes",O69="Yes",L69="Yes"),"Yes","No"))</f>
        <v/>
      </c>
      <c r="Q69" s="74" t="str">
        <f t="shared" ref="Q69:Q104" si="10">IF(OR(G69="",H69=""),"",H69-G69)</f>
        <v/>
      </c>
      <c r="R69" s="75" t="str">
        <f t="shared" ref="R69:R104" si="11">IF(OR(J69="",K69=""),"",J69-K69)</f>
        <v/>
      </c>
      <c r="S69" s="69"/>
    </row>
    <row r="70" spans="1:19" x14ac:dyDescent="0.3">
      <c r="A70" s="69"/>
      <c r="B70" s="69"/>
      <c r="C70" s="69"/>
      <c r="D70" s="69"/>
      <c r="E70" s="69"/>
      <c r="F70" s="68"/>
      <c r="G70" s="68"/>
      <c r="H70" s="68"/>
      <c r="I70" s="69"/>
      <c r="J70" s="73"/>
      <c r="K70" s="73"/>
      <c r="L70" s="69"/>
      <c r="M70" s="69"/>
      <c r="N70" s="67" t="str">
        <f t="shared" si="8"/>
        <v/>
      </c>
      <c r="O70" s="67" t="str">
        <f>IF(OR(A70="",I70&lt;&gt;"Completed"),"",IF(K70&lt;=J70*(1+Settings!$B$7),"Yes","No"))</f>
        <v/>
      </c>
      <c r="P70" s="67" t="str">
        <f t="shared" si="9"/>
        <v/>
      </c>
      <c r="Q70" s="74" t="str">
        <f t="shared" si="10"/>
        <v/>
      </c>
      <c r="R70" s="75" t="str">
        <f t="shared" si="11"/>
        <v/>
      </c>
      <c r="S70" s="69"/>
    </row>
    <row r="71" spans="1:19" x14ac:dyDescent="0.3">
      <c r="A71" s="69"/>
      <c r="B71" s="69"/>
      <c r="C71" s="69"/>
      <c r="D71" s="69"/>
      <c r="E71" s="69"/>
      <c r="F71" s="68"/>
      <c r="G71" s="68"/>
      <c r="H71" s="68"/>
      <c r="I71" s="69"/>
      <c r="J71" s="73"/>
      <c r="K71" s="73"/>
      <c r="L71" s="69"/>
      <c r="M71" s="69"/>
      <c r="N71" s="67" t="str">
        <f t="shared" si="8"/>
        <v/>
      </c>
      <c r="O71" s="67" t="str">
        <f>IF(OR(A71="",I71&lt;&gt;"Completed"),"",IF(K71&lt;=J71*(1+Settings!$B$7),"Yes","No"))</f>
        <v/>
      </c>
      <c r="P71" s="67" t="str">
        <f t="shared" si="9"/>
        <v/>
      </c>
      <c r="Q71" s="74" t="str">
        <f t="shared" si="10"/>
        <v/>
      </c>
      <c r="R71" s="75" t="str">
        <f t="shared" si="11"/>
        <v/>
      </c>
      <c r="S71" s="69"/>
    </row>
    <row r="72" spans="1:19" x14ac:dyDescent="0.3">
      <c r="A72" s="69"/>
      <c r="B72" s="69"/>
      <c r="C72" s="69"/>
      <c r="D72" s="69"/>
      <c r="E72" s="69"/>
      <c r="F72" s="68"/>
      <c r="G72" s="68"/>
      <c r="H72" s="68"/>
      <c r="I72" s="69"/>
      <c r="J72" s="73"/>
      <c r="K72" s="73"/>
      <c r="L72" s="69"/>
      <c r="M72" s="69"/>
      <c r="N72" s="67" t="str">
        <f t="shared" si="8"/>
        <v/>
      </c>
      <c r="O72" s="67" t="str">
        <f>IF(OR(A72="",I72&lt;&gt;"Completed"),"",IF(K72&lt;=J72*(1+Settings!$B$7),"Yes","No"))</f>
        <v/>
      </c>
      <c r="P72" s="67" t="str">
        <f t="shared" si="9"/>
        <v/>
      </c>
      <c r="Q72" s="74" t="str">
        <f t="shared" si="10"/>
        <v/>
      </c>
      <c r="R72" s="75" t="str">
        <f t="shared" si="11"/>
        <v/>
      </c>
      <c r="S72" s="69"/>
    </row>
    <row r="73" spans="1:19" x14ac:dyDescent="0.3">
      <c r="A73" s="69"/>
      <c r="B73" s="69"/>
      <c r="C73" s="69"/>
      <c r="D73" s="69"/>
      <c r="E73" s="69"/>
      <c r="F73" s="68"/>
      <c r="G73" s="68"/>
      <c r="H73" s="68"/>
      <c r="I73" s="69"/>
      <c r="J73" s="73"/>
      <c r="K73" s="73"/>
      <c r="L73" s="69"/>
      <c r="M73" s="69"/>
      <c r="N73" s="67" t="str">
        <f t="shared" si="8"/>
        <v/>
      </c>
      <c r="O73" s="67" t="str">
        <f>IF(OR(A73="",I73&lt;&gt;"Completed"),"",IF(K73&lt;=J73*(1+Settings!$B$7),"Yes","No"))</f>
        <v/>
      </c>
      <c r="P73" s="67" t="str">
        <f t="shared" si="9"/>
        <v/>
      </c>
      <c r="Q73" s="74" t="str">
        <f t="shared" si="10"/>
        <v/>
      </c>
      <c r="R73" s="75" t="str">
        <f t="shared" si="11"/>
        <v/>
      </c>
      <c r="S73" s="69"/>
    </row>
    <row r="74" spans="1:19" x14ac:dyDescent="0.3">
      <c r="A74" s="69"/>
      <c r="B74" s="69"/>
      <c r="C74" s="69"/>
      <c r="D74" s="69"/>
      <c r="E74" s="69"/>
      <c r="F74" s="68"/>
      <c r="G74" s="68"/>
      <c r="H74" s="68"/>
      <c r="I74" s="69"/>
      <c r="J74" s="73"/>
      <c r="K74" s="73"/>
      <c r="L74" s="69"/>
      <c r="M74" s="69"/>
      <c r="N74" s="67" t="str">
        <f t="shared" si="8"/>
        <v/>
      </c>
      <c r="O74" s="67" t="str">
        <f>IF(OR(A74="",I74&lt;&gt;"Completed"),"",IF(K74&lt;=J74*(1+Settings!$B$7),"Yes","No"))</f>
        <v/>
      </c>
      <c r="P74" s="67" t="str">
        <f t="shared" si="9"/>
        <v/>
      </c>
      <c r="Q74" s="74" t="str">
        <f t="shared" si="10"/>
        <v/>
      </c>
      <c r="R74" s="75" t="str">
        <f t="shared" si="11"/>
        <v/>
      </c>
      <c r="S74" s="69"/>
    </row>
    <row r="75" spans="1:19" x14ac:dyDescent="0.3">
      <c r="A75" s="69"/>
      <c r="B75" s="69"/>
      <c r="C75" s="69"/>
      <c r="D75" s="69"/>
      <c r="E75" s="69"/>
      <c r="F75" s="68"/>
      <c r="G75" s="68"/>
      <c r="H75" s="68"/>
      <c r="I75" s="69"/>
      <c r="J75" s="73"/>
      <c r="K75" s="73"/>
      <c r="L75" s="69"/>
      <c r="M75" s="69"/>
      <c r="N75" s="67" t="str">
        <f t="shared" si="8"/>
        <v/>
      </c>
      <c r="O75" s="67" t="str">
        <f>IF(OR(A75="",I75&lt;&gt;"Completed"),"",IF(K75&lt;=J75*(1+Settings!$B$7),"Yes","No"))</f>
        <v/>
      </c>
      <c r="P75" s="67" t="str">
        <f t="shared" si="9"/>
        <v/>
      </c>
      <c r="Q75" s="74" t="str">
        <f t="shared" si="10"/>
        <v/>
      </c>
      <c r="R75" s="75" t="str">
        <f t="shared" si="11"/>
        <v/>
      </c>
      <c r="S75" s="69"/>
    </row>
    <row r="76" spans="1:19" x14ac:dyDescent="0.3">
      <c r="A76" s="69"/>
      <c r="B76" s="69"/>
      <c r="C76" s="69"/>
      <c r="D76" s="69"/>
      <c r="E76" s="69"/>
      <c r="F76" s="68"/>
      <c r="G76" s="68"/>
      <c r="H76" s="68"/>
      <c r="I76" s="69"/>
      <c r="J76" s="73"/>
      <c r="K76" s="73"/>
      <c r="L76" s="69"/>
      <c r="M76" s="69"/>
      <c r="N76" s="67" t="str">
        <f t="shared" si="8"/>
        <v/>
      </c>
      <c r="O76" s="67" t="str">
        <f>IF(OR(A76="",I76&lt;&gt;"Completed"),"",IF(K76&lt;=J76*(1+Settings!$B$7),"Yes","No"))</f>
        <v/>
      </c>
      <c r="P76" s="67" t="str">
        <f t="shared" si="9"/>
        <v/>
      </c>
      <c r="Q76" s="74" t="str">
        <f t="shared" si="10"/>
        <v/>
      </c>
      <c r="R76" s="75" t="str">
        <f t="shared" si="11"/>
        <v/>
      </c>
      <c r="S76" s="69"/>
    </row>
    <row r="77" spans="1:19" x14ac:dyDescent="0.3">
      <c r="A77" s="69"/>
      <c r="B77" s="69"/>
      <c r="C77" s="69"/>
      <c r="D77" s="69"/>
      <c r="E77" s="69"/>
      <c r="F77" s="68"/>
      <c r="G77" s="68"/>
      <c r="H77" s="68"/>
      <c r="I77" s="69"/>
      <c r="J77" s="73"/>
      <c r="K77" s="73"/>
      <c r="L77" s="69"/>
      <c r="M77" s="69"/>
      <c r="N77" s="67" t="str">
        <f t="shared" si="8"/>
        <v/>
      </c>
      <c r="O77" s="67" t="str">
        <f>IF(OR(A77="",I77&lt;&gt;"Completed"),"",IF(K77&lt;=J77*(1+Settings!$B$7),"Yes","No"))</f>
        <v/>
      </c>
      <c r="P77" s="67" t="str">
        <f t="shared" si="9"/>
        <v/>
      </c>
      <c r="Q77" s="74" t="str">
        <f t="shared" si="10"/>
        <v/>
      </c>
      <c r="R77" s="75" t="str">
        <f t="shared" si="11"/>
        <v/>
      </c>
      <c r="S77" s="69"/>
    </row>
    <row r="78" spans="1:19" x14ac:dyDescent="0.3">
      <c r="A78" s="69"/>
      <c r="B78" s="69"/>
      <c r="C78" s="69"/>
      <c r="D78" s="69"/>
      <c r="E78" s="69"/>
      <c r="F78" s="68"/>
      <c r="G78" s="68"/>
      <c r="H78" s="68"/>
      <c r="I78" s="69"/>
      <c r="J78" s="73"/>
      <c r="K78" s="73"/>
      <c r="L78" s="69"/>
      <c r="M78" s="69"/>
      <c r="N78" s="67" t="str">
        <f t="shared" si="8"/>
        <v/>
      </c>
      <c r="O78" s="67" t="str">
        <f>IF(OR(A78="",I78&lt;&gt;"Completed"),"",IF(K78&lt;=J78*(1+Settings!$B$7),"Yes","No"))</f>
        <v/>
      </c>
      <c r="P78" s="67" t="str">
        <f t="shared" si="9"/>
        <v/>
      </c>
      <c r="Q78" s="74" t="str">
        <f t="shared" si="10"/>
        <v/>
      </c>
      <c r="R78" s="75" t="str">
        <f t="shared" si="11"/>
        <v/>
      </c>
      <c r="S78" s="69"/>
    </row>
    <row r="79" spans="1:19" x14ac:dyDescent="0.3">
      <c r="A79" s="69"/>
      <c r="B79" s="69"/>
      <c r="C79" s="69"/>
      <c r="D79" s="69"/>
      <c r="E79" s="69"/>
      <c r="F79" s="68"/>
      <c r="G79" s="68"/>
      <c r="H79" s="68"/>
      <c r="I79" s="69"/>
      <c r="J79" s="73"/>
      <c r="K79" s="73"/>
      <c r="L79" s="69"/>
      <c r="M79" s="69"/>
      <c r="N79" s="67" t="str">
        <f t="shared" si="8"/>
        <v/>
      </c>
      <c r="O79" s="67" t="str">
        <f>IF(OR(A79="",I79&lt;&gt;"Completed"),"",IF(K79&lt;=J79*(1+Settings!$B$7),"Yes","No"))</f>
        <v/>
      </c>
      <c r="P79" s="67" t="str">
        <f t="shared" si="9"/>
        <v/>
      </c>
      <c r="Q79" s="74" t="str">
        <f t="shared" si="10"/>
        <v/>
      </c>
      <c r="R79" s="75" t="str">
        <f t="shared" si="11"/>
        <v/>
      </c>
      <c r="S79" s="69"/>
    </row>
    <row r="80" spans="1:19" x14ac:dyDescent="0.3">
      <c r="A80" s="69"/>
      <c r="B80" s="69"/>
      <c r="C80" s="69"/>
      <c r="D80" s="69"/>
      <c r="E80" s="69"/>
      <c r="F80" s="68"/>
      <c r="G80" s="68"/>
      <c r="H80" s="68"/>
      <c r="I80" s="69"/>
      <c r="J80" s="73"/>
      <c r="K80" s="73"/>
      <c r="L80" s="69"/>
      <c r="M80" s="69"/>
      <c r="N80" s="67" t="str">
        <f t="shared" si="8"/>
        <v/>
      </c>
      <c r="O80" s="67" t="str">
        <f>IF(OR(A80="",I80&lt;&gt;"Completed"),"",IF(K80&lt;=J80*(1+Settings!$B$7),"Yes","No"))</f>
        <v/>
      </c>
      <c r="P80" s="67" t="str">
        <f t="shared" si="9"/>
        <v/>
      </c>
      <c r="Q80" s="74" t="str">
        <f t="shared" si="10"/>
        <v/>
      </c>
      <c r="R80" s="75" t="str">
        <f t="shared" si="11"/>
        <v/>
      </c>
      <c r="S80" s="69"/>
    </row>
    <row r="81" spans="1:19" x14ac:dyDescent="0.3">
      <c r="A81" s="69"/>
      <c r="B81" s="69"/>
      <c r="C81" s="69"/>
      <c r="D81" s="69"/>
      <c r="E81" s="69"/>
      <c r="F81" s="68"/>
      <c r="G81" s="68"/>
      <c r="H81" s="68"/>
      <c r="I81" s="69"/>
      <c r="J81" s="73"/>
      <c r="K81" s="73"/>
      <c r="L81" s="69"/>
      <c r="M81" s="69"/>
      <c r="N81" s="67" t="str">
        <f t="shared" si="8"/>
        <v/>
      </c>
      <c r="O81" s="67" t="str">
        <f>IF(OR(A81="",I81&lt;&gt;"Completed"),"",IF(K81&lt;=J81*(1+Settings!$B$7),"Yes","No"))</f>
        <v/>
      </c>
      <c r="P81" s="67" t="str">
        <f t="shared" si="9"/>
        <v/>
      </c>
      <c r="Q81" s="74" t="str">
        <f t="shared" si="10"/>
        <v/>
      </c>
      <c r="R81" s="75" t="str">
        <f t="shared" si="11"/>
        <v/>
      </c>
      <c r="S81" s="69"/>
    </row>
    <row r="82" spans="1:19" x14ac:dyDescent="0.3">
      <c r="A82" s="69"/>
      <c r="B82" s="69"/>
      <c r="C82" s="69"/>
      <c r="D82" s="69"/>
      <c r="E82" s="69"/>
      <c r="F82" s="68"/>
      <c r="G82" s="68"/>
      <c r="H82" s="68"/>
      <c r="I82" s="69"/>
      <c r="J82" s="73"/>
      <c r="K82" s="73"/>
      <c r="L82" s="69"/>
      <c r="M82" s="69"/>
      <c r="N82" s="67" t="str">
        <f t="shared" si="8"/>
        <v/>
      </c>
      <c r="O82" s="67" t="str">
        <f>IF(OR(A82="",I82&lt;&gt;"Completed"),"",IF(K82&lt;=J82*(1+Settings!$B$7),"Yes","No"))</f>
        <v/>
      </c>
      <c r="P82" s="67" t="str">
        <f t="shared" si="9"/>
        <v/>
      </c>
      <c r="Q82" s="74" t="str">
        <f t="shared" si="10"/>
        <v/>
      </c>
      <c r="R82" s="75" t="str">
        <f t="shared" si="11"/>
        <v/>
      </c>
      <c r="S82" s="69"/>
    </row>
    <row r="83" spans="1:19" x14ac:dyDescent="0.3">
      <c r="A83" s="69"/>
      <c r="B83" s="69"/>
      <c r="C83" s="69"/>
      <c r="D83" s="69"/>
      <c r="E83" s="69"/>
      <c r="F83" s="68"/>
      <c r="G83" s="68"/>
      <c r="H83" s="68"/>
      <c r="I83" s="69"/>
      <c r="J83" s="73"/>
      <c r="K83" s="73"/>
      <c r="L83" s="69"/>
      <c r="M83" s="69"/>
      <c r="N83" s="67" t="str">
        <f t="shared" si="8"/>
        <v/>
      </c>
      <c r="O83" s="67" t="str">
        <f>IF(OR(A83="",I83&lt;&gt;"Completed"),"",IF(K83&lt;=J83*(1+Settings!$B$7),"Yes","No"))</f>
        <v/>
      </c>
      <c r="P83" s="67" t="str">
        <f t="shared" si="9"/>
        <v/>
      </c>
      <c r="Q83" s="74" t="str">
        <f t="shared" si="10"/>
        <v/>
      </c>
      <c r="R83" s="75" t="str">
        <f t="shared" si="11"/>
        <v/>
      </c>
      <c r="S83" s="69"/>
    </row>
    <row r="84" spans="1:19" x14ac:dyDescent="0.3">
      <c r="A84" s="69"/>
      <c r="B84" s="69"/>
      <c r="C84" s="69"/>
      <c r="D84" s="69"/>
      <c r="E84" s="69"/>
      <c r="F84" s="68"/>
      <c r="G84" s="68"/>
      <c r="H84" s="68"/>
      <c r="I84" s="69"/>
      <c r="J84" s="73"/>
      <c r="K84" s="73"/>
      <c r="L84" s="69"/>
      <c r="M84" s="69"/>
      <c r="N84" s="67" t="str">
        <f t="shared" si="8"/>
        <v/>
      </c>
      <c r="O84" s="67" t="str">
        <f>IF(OR(A84="",I84&lt;&gt;"Completed"),"",IF(K84&lt;=J84*(1+Settings!$B$7),"Yes","No"))</f>
        <v/>
      </c>
      <c r="P84" s="67" t="str">
        <f t="shared" si="9"/>
        <v/>
      </c>
      <c r="Q84" s="74" t="str">
        <f t="shared" si="10"/>
        <v/>
      </c>
      <c r="R84" s="75" t="str">
        <f t="shared" si="11"/>
        <v/>
      </c>
      <c r="S84" s="69"/>
    </row>
    <row r="85" spans="1:19" x14ac:dyDescent="0.3">
      <c r="A85" s="69"/>
      <c r="B85" s="69"/>
      <c r="C85" s="69"/>
      <c r="D85" s="69"/>
      <c r="E85" s="69"/>
      <c r="F85" s="68"/>
      <c r="G85" s="68"/>
      <c r="H85" s="68"/>
      <c r="I85" s="69"/>
      <c r="J85" s="73"/>
      <c r="K85" s="73"/>
      <c r="L85" s="69"/>
      <c r="M85" s="69"/>
      <c r="N85" s="67" t="str">
        <f t="shared" si="8"/>
        <v/>
      </c>
      <c r="O85" s="67" t="str">
        <f>IF(OR(A85="",I85&lt;&gt;"Completed"),"",IF(K85&lt;=J85*(1+Settings!$B$7),"Yes","No"))</f>
        <v/>
      </c>
      <c r="P85" s="67" t="str">
        <f t="shared" si="9"/>
        <v/>
      </c>
      <c r="Q85" s="74" t="str">
        <f t="shared" si="10"/>
        <v/>
      </c>
      <c r="R85" s="75" t="str">
        <f t="shared" si="11"/>
        <v/>
      </c>
      <c r="S85" s="69"/>
    </row>
    <row r="86" spans="1:19" x14ac:dyDescent="0.3">
      <c r="A86" s="69"/>
      <c r="B86" s="69"/>
      <c r="C86" s="69"/>
      <c r="D86" s="69"/>
      <c r="E86" s="69"/>
      <c r="F86" s="68"/>
      <c r="G86" s="68"/>
      <c r="H86" s="68"/>
      <c r="I86" s="69"/>
      <c r="J86" s="73"/>
      <c r="K86" s="73"/>
      <c r="L86" s="69"/>
      <c r="M86" s="69"/>
      <c r="N86" s="67" t="str">
        <f t="shared" si="8"/>
        <v/>
      </c>
      <c r="O86" s="67" t="str">
        <f>IF(OR(A86="",I86&lt;&gt;"Completed"),"",IF(K86&lt;=J86*(1+Settings!$B$7),"Yes","No"))</f>
        <v/>
      </c>
      <c r="P86" s="67" t="str">
        <f t="shared" si="9"/>
        <v/>
      </c>
      <c r="Q86" s="74" t="str">
        <f t="shared" si="10"/>
        <v/>
      </c>
      <c r="R86" s="75" t="str">
        <f t="shared" si="11"/>
        <v/>
      </c>
      <c r="S86" s="69"/>
    </row>
    <row r="87" spans="1:19" x14ac:dyDescent="0.3">
      <c r="A87" s="69"/>
      <c r="B87" s="69"/>
      <c r="C87" s="69"/>
      <c r="D87" s="69"/>
      <c r="E87" s="69"/>
      <c r="F87" s="68"/>
      <c r="G87" s="68"/>
      <c r="H87" s="68"/>
      <c r="I87" s="69"/>
      <c r="J87" s="73"/>
      <c r="K87" s="73"/>
      <c r="L87" s="69"/>
      <c r="M87" s="69"/>
      <c r="N87" s="67" t="str">
        <f t="shared" si="8"/>
        <v/>
      </c>
      <c r="O87" s="67" t="str">
        <f>IF(OR(A87="",I87&lt;&gt;"Completed"),"",IF(K87&lt;=J87*(1+Settings!$B$7),"Yes","No"))</f>
        <v/>
      </c>
      <c r="P87" s="67" t="str">
        <f t="shared" si="9"/>
        <v/>
      </c>
      <c r="Q87" s="74" t="str">
        <f t="shared" si="10"/>
        <v/>
      </c>
      <c r="R87" s="75" t="str">
        <f t="shared" si="11"/>
        <v/>
      </c>
      <c r="S87" s="69"/>
    </row>
    <row r="88" spans="1:19" x14ac:dyDescent="0.3">
      <c r="A88" s="69"/>
      <c r="B88" s="69"/>
      <c r="C88" s="69"/>
      <c r="D88" s="69"/>
      <c r="E88" s="69"/>
      <c r="F88" s="68"/>
      <c r="G88" s="68"/>
      <c r="H88" s="68"/>
      <c r="I88" s="69"/>
      <c r="J88" s="73"/>
      <c r="K88" s="73"/>
      <c r="L88" s="69"/>
      <c r="M88" s="69"/>
      <c r="N88" s="67" t="str">
        <f t="shared" si="8"/>
        <v/>
      </c>
      <c r="O88" s="67" t="str">
        <f>IF(OR(A88="",I88&lt;&gt;"Completed"),"",IF(K88&lt;=J88*(1+Settings!$B$7),"Yes","No"))</f>
        <v/>
      </c>
      <c r="P88" s="67" t="str">
        <f t="shared" si="9"/>
        <v/>
      </c>
      <c r="Q88" s="74" t="str">
        <f t="shared" si="10"/>
        <v/>
      </c>
      <c r="R88" s="75" t="str">
        <f t="shared" si="11"/>
        <v/>
      </c>
      <c r="S88" s="69"/>
    </row>
    <row r="89" spans="1:19" x14ac:dyDescent="0.3">
      <c r="A89" s="69"/>
      <c r="B89" s="69"/>
      <c r="C89" s="69"/>
      <c r="D89" s="69"/>
      <c r="E89" s="69"/>
      <c r="F89" s="68"/>
      <c r="G89" s="68"/>
      <c r="H89" s="68"/>
      <c r="I89" s="69"/>
      <c r="J89" s="73"/>
      <c r="K89" s="73"/>
      <c r="L89" s="69"/>
      <c r="M89" s="69"/>
      <c r="N89" s="67" t="str">
        <f t="shared" si="8"/>
        <v/>
      </c>
      <c r="O89" s="67" t="str">
        <f>IF(OR(A89="",I89&lt;&gt;"Completed"),"",IF(K89&lt;=J89*(1+Settings!$B$7),"Yes","No"))</f>
        <v/>
      </c>
      <c r="P89" s="67" t="str">
        <f t="shared" si="9"/>
        <v/>
      </c>
      <c r="Q89" s="74" t="str">
        <f t="shared" si="10"/>
        <v/>
      </c>
      <c r="R89" s="75" t="str">
        <f t="shared" si="11"/>
        <v/>
      </c>
      <c r="S89" s="69"/>
    </row>
    <row r="90" spans="1:19" x14ac:dyDescent="0.3">
      <c r="A90" s="69"/>
      <c r="B90" s="69"/>
      <c r="C90" s="69"/>
      <c r="D90" s="69"/>
      <c r="E90" s="69"/>
      <c r="F90" s="68"/>
      <c r="G90" s="68"/>
      <c r="H90" s="68"/>
      <c r="I90" s="69"/>
      <c r="J90" s="73"/>
      <c r="K90" s="73"/>
      <c r="L90" s="69"/>
      <c r="M90" s="69"/>
      <c r="N90" s="67" t="str">
        <f t="shared" si="8"/>
        <v/>
      </c>
      <c r="O90" s="67" t="str">
        <f>IF(OR(A90="",I90&lt;&gt;"Completed"),"",IF(K90&lt;=J90*(1+Settings!$B$7),"Yes","No"))</f>
        <v/>
      </c>
      <c r="P90" s="67" t="str">
        <f t="shared" si="9"/>
        <v/>
      </c>
      <c r="Q90" s="74" t="str">
        <f t="shared" si="10"/>
        <v/>
      </c>
      <c r="R90" s="75" t="str">
        <f t="shared" si="11"/>
        <v/>
      </c>
      <c r="S90" s="69"/>
    </row>
    <row r="91" spans="1:19" x14ac:dyDescent="0.3">
      <c r="A91" s="69"/>
      <c r="B91" s="69"/>
      <c r="C91" s="69"/>
      <c r="D91" s="69"/>
      <c r="E91" s="69"/>
      <c r="F91" s="68"/>
      <c r="G91" s="68"/>
      <c r="H91" s="68"/>
      <c r="I91" s="69"/>
      <c r="J91" s="73"/>
      <c r="K91" s="73"/>
      <c r="L91" s="69"/>
      <c r="M91" s="69"/>
      <c r="N91" s="67" t="str">
        <f t="shared" si="8"/>
        <v/>
      </c>
      <c r="O91" s="67" t="str">
        <f>IF(OR(A91="",I91&lt;&gt;"Completed"),"",IF(K91&lt;=J91*(1+Settings!$B$7),"Yes","No"))</f>
        <v/>
      </c>
      <c r="P91" s="67" t="str">
        <f t="shared" si="9"/>
        <v/>
      </c>
      <c r="Q91" s="74" t="str">
        <f t="shared" si="10"/>
        <v/>
      </c>
      <c r="R91" s="75" t="str">
        <f t="shared" si="11"/>
        <v/>
      </c>
      <c r="S91" s="69"/>
    </row>
    <row r="92" spans="1:19" x14ac:dyDescent="0.3">
      <c r="A92" s="69"/>
      <c r="B92" s="69"/>
      <c r="C92" s="69"/>
      <c r="D92" s="69"/>
      <c r="E92" s="69"/>
      <c r="F92" s="68"/>
      <c r="G92" s="68"/>
      <c r="H92" s="68"/>
      <c r="I92" s="69"/>
      <c r="J92" s="73"/>
      <c r="K92" s="73"/>
      <c r="L92" s="69"/>
      <c r="M92" s="69"/>
      <c r="N92" s="67" t="str">
        <f t="shared" si="8"/>
        <v/>
      </c>
      <c r="O92" s="67" t="str">
        <f>IF(OR(A92="",I92&lt;&gt;"Completed"),"",IF(K92&lt;=J92*(1+Settings!$B$7),"Yes","No"))</f>
        <v/>
      </c>
      <c r="P92" s="67" t="str">
        <f t="shared" si="9"/>
        <v/>
      </c>
      <c r="Q92" s="74" t="str">
        <f t="shared" si="10"/>
        <v/>
      </c>
      <c r="R92" s="75" t="str">
        <f t="shared" si="11"/>
        <v/>
      </c>
      <c r="S92" s="69"/>
    </row>
    <row r="93" spans="1:19" x14ac:dyDescent="0.3">
      <c r="A93" s="69"/>
      <c r="B93" s="69"/>
      <c r="C93" s="69"/>
      <c r="D93" s="69"/>
      <c r="E93" s="69"/>
      <c r="F93" s="68"/>
      <c r="G93" s="68"/>
      <c r="H93" s="68"/>
      <c r="I93" s="69"/>
      <c r="J93" s="73"/>
      <c r="K93" s="73"/>
      <c r="L93" s="69"/>
      <c r="M93" s="69"/>
      <c r="N93" s="67" t="str">
        <f t="shared" si="8"/>
        <v/>
      </c>
      <c r="O93" s="67" t="str">
        <f>IF(OR(A93="",I93&lt;&gt;"Completed"),"",IF(K93&lt;=J93*(1+Settings!$B$7),"Yes","No"))</f>
        <v/>
      </c>
      <c r="P93" s="67" t="str">
        <f t="shared" si="9"/>
        <v/>
      </c>
      <c r="Q93" s="74" t="str">
        <f t="shared" si="10"/>
        <v/>
      </c>
      <c r="R93" s="75" t="str">
        <f t="shared" si="11"/>
        <v/>
      </c>
      <c r="S93" s="69"/>
    </row>
    <row r="94" spans="1:19" x14ac:dyDescent="0.3">
      <c r="A94" s="69"/>
      <c r="B94" s="69"/>
      <c r="C94" s="69"/>
      <c r="D94" s="69"/>
      <c r="E94" s="69"/>
      <c r="F94" s="68"/>
      <c r="G94" s="68"/>
      <c r="H94" s="68"/>
      <c r="I94" s="69"/>
      <c r="J94" s="73"/>
      <c r="K94" s="73"/>
      <c r="L94" s="69"/>
      <c r="M94" s="69"/>
      <c r="N94" s="67" t="str">
        <f t="shared" si="8"/>
        <v/>
      </c>
      <c r="O94" s="67" t="str">
        <f>IF(OR(A94="",I94&lt;&gt;"Completed"),"",IF(K94&lt;=J94*(1+Settings!$B$7),"Yes","No"))</f>
        <v/>
      </c>
      <c r="P94" s="67" t="str">
        <f t="shared" si="9"/>
        <v/>
      </c>
      <c r="Q94" s="74" t="str">
        <f t="shared" si="10"/>
        <v/>
      </c>
      <c r="R94" s="75" t="str">
        <f t="shared" si="11"/>
        <v/>
      </c>
      <c r="S94" s="69"/>
    </row>
    <row r="95" spans="1:19" x14ac:dyDescent="0.3">
      <c r="A95" s="69"/>
      <c r="B95" s="69"/>
      <c r="C95" s="69"/>
      <c r="D95" s="69"/>
      <c r="E95" s="69"/>
      <c r="F95" s="68"/>
      <c r="G95" s="68"/>
      <c r="H95" s="68"/>
      <c r="I95" s="69"/>
      <c r="J95" s="73"/>
      <c r="K95" s="73"/>
      <c r="L95" s="69"/>
      <c r="M95" s="69"/>
      <c r="N95" s="67" t="str">
        <f t="shared" si="8"/>
        <v/>
      </c>
      <c r="O95" s="67" t="str">
        <f>IF(OR(A95="",I95&lt;&gt;"Completed"),"",IF(K95&lt;=J95*(1+Settings!$B$7),"Yes","No"))</f>
        <v/>
      </c>
      <c r="P95" s="67" t="str">
        <f t="shared" si="9"/>
        <v/>
      </c>
      <c r="Q95" s="74" t="str">
        <f t="shared" si="10"/>
        <v/>
      </c>
      <c r="R95" s="75" t="str">
        <f t="shared" si="11"/>
        <v/>
      </c>
      <c r="S95" s="69"/>
    </row>
    <row r="96" spans="1:19" x14ac:dyDescent="0.3">
      <c r="A96" s="69"/>
      <c r="B96" s="69"/>
      <c r="C96" s="69"/>
      <c r="D96" s="69"/>
      <c r="E96" s="69"/>
      <c r="F96" s="68"/>
      <c r="G96" s="68"/>
      <c r="H96" s="68"/>
      <c r="I96" s="69"/>
      <c r="J96" s="73"/>
      <c r="K96" s="73"/>
      <c r="L96" s="69"/>
      <c r="M96" s="69"/>
      <c r="N96" s="67" t="str">
        <f t="shared" si="8"/>
        <v/>
      </c>
      <c r="O96" s="67" t="str">
        <f>IF(OR(A96="",I96&lt;&gt;"Completed"),"",IF(K96&lt;=J96*(1+Settings!$B$7),"Yes","No"))</f>
        <v/>
      </c>
      <c r="P96" s="67" t="str">
        <f t="shared" si="9"/>
        <v/>
      </c>
      <c r="Q96" s="74" t="str">
        <f t="shared" si="10"/>
        <v/>
      </c>
      <c r="R96" s="75" t="str">
        <f t="shared" si="11"/>
        <v/>
      </c>
      <c r="S96" s="69"/>
    </row>
    <row r="97" spans="1:19" x14ac:dyDescent="0.3">
      <c r="A97" s="69"/>
      <c r="B97" s="69"/>
      <c r="C97" s="69"/>
      <c r="D97" s="69"/>
      <c r="E97" s="69"/>
      <c r="F97" s="68"/>
      <c r="G97" s="68"/>
      <c r="H97" s="68"/>
      <c r="I97" s="69"/>
      <c r="J97" s="73"/>
      <c r="K97" s="73"/>
      <c r="L97" s="69"/>
      <c r="M97" s="69"/>
      <c r="N97" s="67" t="str">
        <f t="shared" si="8"/>
        <v/>
      </c>
      <c r="O97" s="67" t="str">
        <f>IF(OR(A97="",I97&lt;&gt;"Completed"),"",IF(K97&lt;=J97*(1+Settings!$B$7),"Yes","No"))</f>
        <v/>
      </c>
      <c r="P97" s="67" t="str">
        <f t="shared" si="9"/>
        <v/>
      </c>
      <c r="Q97" s="74" t="str">
        <f t="shared" si="10"/>
        <v/>
      </c>
      <c r="R97" s="75" t="str">
        <f t="shared" si="11"/>
        <v/>
      </c>
      <c r="S97" s="69"/>
    </row>
    <row r="98" spans="1:19" x14ac:dyDescent="0.3">
      <c r="A98" s="69"/>
      <c r="B98" s="69"/>
      <c r="C98" s="69"/>
      <c r="D98" s="69"/>
      <c r="E98" s="69"/>
      <c r="F98" s="68"/>
      <c r="G98" s="68"/>
      <c r="H98" s="68"/>
      <c r="I98" s="69"/>
      <c r="J98" s="73"/>
      <c r="K98" s="73"/>
      <c r="L98" s="69"/>
      <c r="M98" s="69"/>
      <c r="N98" s="67" t="str">
        <f t="shared" si="8"/>
        <v/>
      </c>
      <c r="O98" s="67" t="str">
        <f>IF(OR(A98="",I98&lt;&gt;"Completed"),"",IF(K98&lt;=J98*(1+Settings!$B$7),"Yes","No"))</f>
        <v/>
      </c>
      <c r="P98" s="67" t="str">
        <f t="shared" si="9"/>
        <v/>
      </c>
      <c r="Q98" s="74" t="str">
        <f t="shared" si="10"/>
        <v/>
      </c>
      <c r="R98" s="75" t="str">
        <f t="shared" si="11"/>
        <v/>
      </c>
      <c r="S98" s="69"/>
    </row>
    <row r="99" spans="1:19" x14ac:dyDescent="0.3">
      <c r="A99" s="69"/>
      <c r="B99" s="69"/>
      <c r="C99" s="69"/>
      <c r="D99" s="69"/>
      <c r="E99" s="69"/>
      <c r="F99" s="68"/>
      <c r="G99" s="68"/>
      <c r="H99" s="68"/>
      <c r="I99" s="69"/>
      <c r="J99" s="73"/>
      <c r="K99" s="73"/>
      <c r="L99" s="69"/>
      <c r="M99" s="69"/>
      <c r="N99" s="67" t="str">
        <f t="shared" si="8"/>
        <v/>
      </c>
      <c r="O99" s="67" t="str">
        <f>IF(OR(A99="",I99&lt;&gt;"Completed"),"",IF(K99&lt;=J99*(1+Settings!$B$7),"Yes","No"))</f>
        <v/>
      </c>
      <c r="P99" s="67" t="str">
        <f t="shared" si="9"/>
        <v/>
      </c>
      <c r="Q99" s="74" t="str">
        <f t="shared" si="10"/>
        <v/>
      </c>
      <c r="R99" s="75" t="str">
        <f t="shared" si="11"/>
        <v/>
      </c>
      <c r="S99" s="69"/>
    </row>
    <row r="100" spans="1:19" x14ac:dyDescent="0.3">
      <c r="A100" s="69"/>
      <c r="B100" s="69"/>
      <c r="C100" s="69"/>
      <c r="D100" s="69"/>
      <c r="E100" s="69"/>
      <c r="F100" s="68"/>
      <c r="G100" s="68"/>
      <c r="H100" s="68"/>
      <c r="I100" s="69"/>
      <c r="J100" s="73"/>
      <c r="K100" s="73"/>
      <c r="L100" s="69"/>
      <c r="M100" s="69"/>
      <c r="N100" s="67" t="str">
        <f t="shared" si="8"/>
        <v/>
      </c>
      <c r="O100" s="67" t="str">
        <f>IF(OR(A100="",I100&lt;&gt;"Completed"),"",IF(K100&lt;=J100*(1+Settings!$B$7),"Yes","No"))</f>
        <v/>
      </c>
      <c r="P100" s="67" t="str">
        <f t="shared" si="9"/>
        <v/>
      </c>
      <c r="Q100" s="74" t="str">
        <f t="shared" si="10"/>
        <v/>
      </c>
      <c r="R100" s="75" t="str">
        <f t="shared" si="11"/>
        <v/>
      </c>
      <c r="S100" s="69"/>
    </row>
    <row r="101" spans="1:19" x14ac:dyDescent="0.3">
      <c r="A101" s="69"/>
      <c r="B101" s="69"/>
      <c r="C101" s="69"/>
      <c r="D101" s="69"/>
      <c r="E101" s="69"/>
      <c r="F101" s="68"/>
      <c r="G101" s="68"/>
      <c r="H101" s="68"/>
      <c r="I101" s="69"/>
      <c r="J101" s="73"/>
      <c r="K101" s="73"/>
      <c r="L101" s="69"/>
      <c r="M101" s="69"/>
      <c r="N101" s="67" t="str">
        <f t="shared" si="8"/>
        <v/>
      </c>
      <c r="O101" s="67" t="str">
        <f>IF(OR(A101="",I101&lt;&gt;"Completed"),"",IF(K101&lt;=J101*(1+Settings!$B$7),"Yes","No"))</f>
        <v/>
      </c>
      <c r="P101" s="67" t="str">
        <f t="shared" ref="P101:P132" si="12">IF(OR(A101="",I101&lt;&gt;"Completed"),"",IF(AND(N101="Yes",O101="Yes",L101="Yes"),"Yes","No"))</f>
        <v/>
      </c>
      <c r="Q101" s="74" t="str">
        <f t="shared" si="10"/>
        <v/>
      </c>
      <c r="R101" s="75" t="str">
        <f t="shared" si="11"/>
        <v/>
      </c>
      <c r="S101" s="69"/>
    </row>
    <row r="102" spans="1:19" x14ac:dyDescent="0.3">
      <c r="A102" s="69"/>
      <c r="B102" s="69"/>
      <c r="C102" s="69"/>
      <c r="D102" s="69"/>
      <c r="E102" s="69"/>
      <c r="F102" s="68"/>
      <c r="G102" s="68"/>
      <c r="H102" s="68"/>
      <c r="I102" s="69"/>
      <c r="J102" s="73"/>
      <c r="K102" s="73"/>
      <c r="L102" s="69"/>
      <c r="M102" s="69"/>
      <c r="N102" s="67" t="str">
        <f t="shared" si="8"/>
        <v/>
      </c>
      <c r="O102" s="67" t="str">
        <f>IF(OR(A102="",I102&lt;&gt;"Completed"),"",IF(K102&lt;=J102*(1+Settings!$B$7),"Yes","No"))</f>
        <v/>
      </c>
      <c r="P102" s="67" t="str">
        <f t="shared" si="12"/>
        <v/>
      </c>
      <c r="Q102" s="74" t="str">
        <f t="shared" si="10"/>
        <v/>
      </c>
      <c r="R102" s="75" t="str">
        <f t="shared" si="11"/>
        <v/>
      </c>
      <c r="S102" s="69"/>
    </row>
    <row r="103" spans="1:19" x14ac:dyDescent="0.3">
      <c r="A103" s="69"/>
      <c r="B103" s="69"/>
      <c r="C103" s="69"/>
      <c r="D103" s="69"/>
      <c r="E103" s="69"/>
      <c r="F103" s="68"/>
      <c r="G103" s="68"/>
      <c r="H103" s="68"/>
      <c r="I103" s="69"/>
      <c r="J103" s="73"/>
      <c r="K103" s="73"/>
      <c r="L103" s="69"/>
      <c r="M103" s="69"/>
      <c r="N103" s="67" t="str">
        <f t="shared" si="8"/>
        <v/>
      </c>
      <c r="O103" s="67" t="str">
        <f>IF(OR(A103="",I103&lt;&gt;"Completed"),"",IF(K103&lt;=J103*(1+Settings!$B$7),"Yes","No"))</f>
        <v/>
      </c>
      <c r="P103" s="67" t="str">
        <f t="shared" si="12"/>
        <v/>
      </c>
      <c r="Q103" s="74" t="str">
        <f t="shared" si="10"/>
        <v/>
      </c>
      <c r="R103" s="75" t="str">
        <f t="shared" si="11"/>
        <v/>
      </c>
      <c r="S103" s="69"/>
    </row>
    <row r="104" spans="1:19" x14ac:dyDescent="0.3">
      <c r="A104" s="69"/>
      <c r="B104" s="69"/>
      <c r="C104" s="69"/>
      <c r="D104" s="69"/>
      <c r="E104" s="69"/>
      <c r="F104" s="68"/>
      <c r="G104" s="68"/>
      <c r="H104" s="68"/>
      <c r="I104" s="69"/>
      <c r="J104" s="73"/>
      <c r="K104" s="73"/>
      <c r="L104" s="69"/>
      <c r="M104" s="69"/>
      <c r="N104" s="67" t="str">
        <f t="shared" si="8"/>
        <v/>
      </c>
      <c r="O104" s="67" t="str">
        <f>IF(OR(A104="",I104&lt;&gt;"Completed"),"",IF(K104&lt;=J104*(1+Settings!$B$7),"Yes","No"))</f>
        <v/>
      </c>
      <c r="P104" s="67" t="str">
        <f t="shared" si="12"/>
        <v/>
      </c>
      <c r="Q104" s="74" t="str">
        <f t="shared" si="10"/>
        <v/>
      </c>
      <c r="R104" s="75" t="str">
        <f t="shared" si="11"/>
        <v/>
      </c>
      <c r="S104" s="69"/>
    </row>
  </sheetData>
  <conditionalFormatting sqref="N5:P104">
    <cfRule type="cellIs" dxfId="9" priority="2" operator="equal">
      <formula>"No"</formula>
    </cfRule>
    <cfRule type="cellIs" dxfId="8" priority="3" operator="equal">
      <formula>"Yes"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entry" error="Pick a value from the list" xr:uid="{00000000-0002-0000-0700-000000000000}">
          <x14:formula1>
            <xm:f>Settings!$D$4:$D$8</xm:f>
          </x14:formula1>
          <x14:formula2>
            <xm:f>0</xm:f>
          </x14:formula2>
          <xm:sqref>I5:I104</xm:sqref>
        </x14:dataValidation>
        <x14:dataValidation type="list" allowBlank="1" errorTitle="Invalid entry" error="Pick a value from the list" xr:uid="{00000000-0002-0000-0700-000001000000}">
          <x14:formula1>
            <xm:f>Settings!$E$4:$E$5</xm:f>
          </x14:formula1>
          <x14:formula2>
            <xm:f>0</xm:f>
          </x14:formula2>
          <xm:sqref>L5:M104</xm:sqref>
        </x14:dataValidation>
        <x14:dataValidation type="list" allowBlank="1" errorTitle="Invalid entry" error="Pick a value from the list" xr:uid="{00000000-0002-0000-0700-000002000000}">
          <x14:formula1>
            <xm:f>Settings!$P$4:$P$30</xm:f>
          </x14:formula1>
          <x14:formula2>
            <xm:f>0</xm:f>
          </x14:formula2>
          <xm:sqref>D5:E104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M504"/>
  <sheetViews>
    <sheetView showGridLines="0" zoomScaleNormal="100" workbookViewId="0">
      <pane xSplit="1" ySplit="4" topLeftCell="B44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1" customWidth="1"/>
    <col min="2" max="2" width="10" customWidth="1"/>
    <col min="3" max="3" width="30" customWidth="1"/>
    <col min="4" max="9" width="14" customWidth="1"/>
    <col min="10" max="11" width="9" customWidth="1"/>
    <col min="12" max="12" width="12" customWidth="1"/>
    <col min="13" max="13" width="30" customWidth="1"/>
  </cols>
  <sheetData>
    <row r="1" spans="1:13" ht="21" x14ac:dyDescent="0.4">
      <c r="A1" s="40" t="s">
        <v>347</v>
      </c>
    </row>
    <row r="2" spans="1:13" x14ac:dyDescent="0.3">
      <c r="A2" s="41" t="s">
        <v>348</v>
      </c>
    </row>
    <row r="4" spans="1:13" ht="40.799999999999997" customHeight="1" x14ac:dyDescent="0.3">
      <c r="A4" s="42" t="s">
        <v>158</v>
      </c>
      <c r="B4" s="42" t="s">
        <v>308</v>
      </c>
      <c r="C4" s="42" t="s">
        <v>309</v>
      </c>
      <c r="D4" s="42" t="s">
        <v>349</v>
      </c>
      <c r="E4" s="42" t="s">
        <v>350</v>
      </c>
      <c r="F4" s="42" t="s">
        <v>351</v>
      </c>
      <c r="G4" s="42" t="s">
        <v>352</v>
      </c>
      <c r="H4" s="42" t="s">
        <v>353</v>
      </c>
      <c r="I4" s="42" t="s">
        <v>354</v>
      </c>
      <c r="J4" s="42" t="s">
        <v>355</v>
      </c>
      <c r="K4" s="42" t="s">
        <v>356</v>
      </c>
      <c r="L4" s="42" t="s">
        <v>357</v>
      </c>
      <c r="M4" s="42" t="s">
        <v>358</v>
      </c>
    </row>
    <row r="5" spans="1:13" x14ac:dyDescent="0.3">
      <c r="A5" s="76">
        <v>46023</v>
      </c>
      <c r="B5" s="69" t="s">
        <v>271</v>
      </c>
      <c r="C5" s="67" t="str">
        <f>IF(B5="","",IFERROR(INDEX(Projects!$B$5:$B$104,MATCH(B5,Projects!$A$5:$A$104,0)),"?"))</f>
        <v>Pit 2 Stage 3 Pushback</v>
      </c>
      <c r="D5" s="73">
        <v>600000</v>
      </c>
      <c r="E5" s="73">
        <v>579700</v>
      </c>
      <c r="F5" s="73">
        <v>527800</v>
      </c>
      <c r="G5" s="73">
        <v>564500</v>
      </c>
      <c r="H5" s="75">
        <f t="shared" ref="H5:H68" si="0">IF(OR(E5="",F5=""),"",F5-E5)</f>
        <v>-51900</v>
      </c>
      <c r="I5" s="75">
        <f t="shared" ref="I5:I68" si="1">IF(OR(F5="",G5=""),"",F5-G5)</f>
        <v>-36700</v>
      </c>
      <c r="J5" s="77">
        <f t="shared" ref="J5:J68" si="2">IF(OR(E5="",E5=0,F5=""),"",F5/E5)</f>
        <v>0.91047093324133177</v>
      </c>
      <c r="K5" s="77">
        <f t="shared" ref="K5:K68" si="3">IF(OR(G5="",G5=0,F5=""),"",F5/G5)</f>
        <v>0.93498671390611165</v>
      </c>
      <c r="L5" s="78">
        <f t="shared" ref="L5:L68" si="4">IF(OR(D5="",D5=0,G5=""),"",G5/D5)</f>
        <v>0.9408333333333333</v>
      </c>
      <c r="M5" s="69"/>
    </row>
    <row r="6" spans="1:13" x14ac:dyDescent="0.3">
      <c r="A6" s="76">
        <v>46023</v>
      </c>
      <c r="B6" s="69" t="s">
        <v>329</v>
      </c>
      <c r="C6" s="67" t="str">
        <f>IF(B6="","",IFERROR(INDEX(Projects!$B$5:$B$104,MATCH(B6,Projects!$A$5:$A$104,0)),"?"))</f>
        <v>Main Haul Road Upgrade</v>
      </c>
      <c r="D6" s="73">
        <v>312000</v>
      </c>
      <c r="E6" s="73">
        <v>297500</v>
      </c>
      <c r="F6" s="73">
        <v>304100</v>
      </c>
      <c r="G6" s="73">
        <v>292600</v>
      </c>
      <c r="H6" s="75">
        <f t="shared" si="0"/>
        <v>6600</v>
      </c>
      <c r="I6" s="75">
        <f t="shared" si="1"/>
        <v>11500</v>
      </c>
      <c r="J6" s="77">
        <f t="shared" si="2"/>
        <v>1.0221848739495798</v>
      </c>
      <c r="K6" s="77">
        <f t="shared" si="3"/>
        <v>1.0393028024606972</v>
      </c>
      <c r="L6" s="78">
        <f t="shared" si="4"/>
        <v>0.93782051282051282</v>
      </c>
      <c r="M6" s="69"/>
    </row>
    <row r="7" spans="1:13" x14ac:dyDescent="0.3">
      <c r="A7" s="76">
        <v>46023</v>
      </c>
      <c r="B7" s="69" t="s">
        <v>335</v>
      </c>
      <c r="C7" s="67" t="str">
        <f>IF(B7="","",IFERROR(INDEX(Projects!$B$5:$B$104,MATCH(B7,Projects!$A$5:$A$104,0)),"?"))</f>
        <v>Blast Fragmentation Optimisation</v>
      </c>
      <c r="D7" s="73">
        <v>70000</v>
      </c>
      <c r="E7" s="73">
        <v>66700</v>
      </c>
      <c r="F7" s="73">
        <v>61400</v>
      </c>
      <c r="G7" s="73">
        <v>57900</v>
      </c>
      <c r="H7" s="75">
        <f t="shared" si="0"/>
        <v>-5300</v>
      </c>
      <c r="I7" s="75">
        <f t="shared" si="1"/>
        <v>3500</v>
      </c>
      <c r="J7" s="77">
        <f t="shared" si="2"/>
        <v>0.92053973013493251</v>
      </c>
      <c r="K7" s="77">
        <f t="shared" si="3"/>
        <v>1.0604490500863557</v>
      </c>
      <c r="L7" s="78">
        <f t="shared" si="4"/>
        <v>0.82714285714285718</v>
      </c>
      <c r="M7" s="69"/>
    </row>
    <row r="8" spans="1:13" x14ac:dyDescent="0.3">
      <c r="A8" s="76">
        <v>46054</v>
      </c>
      <c r="B8" s="69" t="s">
        <v>271</v>
      </c>
      <c r="C8" s="67" t="str">
        <f>IF(B8="","",IFERROR(INDEX(Projects!$B$5:$B$104,MATCH(B8,Projects!$A$5:$A$104,0)),"?"))</f>
        <v>Pit 2 Stage 3 Pushback</v>
      </c>
      <c r="D8" s="73">
        <v>600000</v>
      </c>
      <c r="E8" s="73">
        <v>583000</v>
      </c>
      <c r="F8" s="73">
        <v>528200</v>
      </c>
      <c r="G8" s="73">
        <v>546100</v>
      </c>
      <c r="H8" s="75">
        <f t="shared" si="0"/>
        <v>-54800</v>
      </c>
      <c r="I8" s="75">
        <f t="shared" si="1"/>
        <v>-17900</v>
      </c>
      <c r="J8" s="77">
        <f t="shared" si="2"/>
        <v>0.90600343053173238</v>
      </c>
      <c r="K8" s="77">
        <f t="shared" si="3"/>
        <v>0.96722212049075262</v>
      </c>
      <c r="L8" s="78">
        <f t="shared" si="4"/>
        <v>0.91016666666666668</v>
      </c>
      <c r="M8" s="69"/>
    </row>
    <row r="9" spans="1:13" x14ac:dyDescent="0.3">
      <c r="A9" s="76">
        <v>46054</v>
      </c>
      <c r="B9" s="69" t="s">
        <v>329</v>
      </c>
      <c r="C9" s="67" t="str">
        <f>IF(B9="","",IFERROR(INDEX(Projects!$B$5:$B$104,MATCH(B9,Projects!$A$5:$A$104,0)),"?"))</f>
        <v>Main Haul Road Upgrade</v>
      </c>
      <c r="D9" s="73">
        <v>312000</v>
      </c>
      <c r="E9" s="73">
        <v>303000</v>
      </c>
      <c r="F9" s="73">
        <v>315100</v>
      </c>
      <c r="G9" s="73">
        <v>298700</v>
      </c>
      <c r="H9" s="75">
        <f t="shared" si="0"/>
        <v>12100</v>
      </c>
      <c r="I9" s="75">
        <f t="shared" si="1"/>
        <v>16400</v>
      </c>
      <c r="J9" s="77">
        <f t="shared" si="2"/>
        <v>1.0399339933993399</v>
      </c>
      <c r="K9" s="77">
        <f t="shared" si="3"/>
        <v>1.0549045865416806</v>
      </c>
      <c r="L9" s="78">
        <f t="shared" si="4"/>
        <v>0.95737179487179491</v>
      </c>
      <c r="M9" s="69"/>
    </row>
    <row r="10" spans="1:13" x14ac:dyDescent="0.3">
      <c r="A10" s="76">
        <v>46054</v>
      </c>
      <c r="B10" s="69" t="s">
        <v>332</v>
      </c>
      <c r="C10" s="67" t="str">
        <f>IF(B10="","",IFERROR(INDEX(Projects!$B$5:$B$104,MATCH(B10,Projects!$A$5:$A$104,0)),"?"))</f>
        <v>Haul Truck Mid-life Rebuilds</v>
      </c>
      <c r="D10" s="73">
        <v>300000</v>
      </c>
      <c r="E10" s="73">
        <v>288300</v>
      </c>
      <c r="F10" s="73">
        <v>284700</v>
      </c>
      <c r="G10" s="73">
        <v>301100</v>
      </c>
      <c r="H10" s="75">
        <f t="shared" si="0"/>
        <v>-3600</v>
      </c>
      <c r="I10" s="75">
        <f t="shared" si="1"/>
        <v>-16400</v>
      </c>
      <c r="J10" s="77">
        <f t="shared" si="2"/>
        <v>0.98751300728407909</v>
      </c>
      <c r="K10" s="77">
        <f t="shared" si="3"/>
        <v>0.94553304549983397</v>
      </c>
      <c r="L10" s="78">
        <f t="shared" si="4"/>
        <v>1.0036666666666667</v>
      </c>
      <c r="M10" s="69"/>
    </row>
    <row r="11" spans="1:13" x14ac:dyDescent="0.3">
      <c r="A11" s="76">
        <v>46054</v>
      </c>
      <c r="B11" s="69" t="s">
        <v>335</v>
      </c>
      <c r="C11" s="67" t="str">
        <f>IF(B11="","",IFERROR(INDEX(Projects!$B$5:$B$104,MATCH(B11,Projects!$A$5:$A$104,0)),"?"))</f>
        <v>Blast Fragmentation Optimisation</v>
      </c>
      <c r="D11" s="73">
        <v>70000</v>
      </c>
      <c r="E11" s="73">
        <v>68500</v>
      </c>
      <c r="F11" s="73">
        <v>62600</v>
      </c>
      <c r="G11" s="73">
        <v>62500</v>
      </c>
      <c r="H11" s="75">
        <f t="shared" si="0"/>
        <v>-5900</v>
      </c>
      <c r="I11" s="75">
        <f t="shared" si="1"/>
        <v>100</v>
      </c>
      <c r="J11" s="77">
        <f t="shared" si="2"/>
        <v>0.91386861313868617</v>
      </c>
      <c r="K11" s="77">
        <f t="shared" si="3"/>
        <v>1.0016</v>
      </c>
      <c r="L11" s="78">
        <f t="shared" si="4"/>
        <v>0.8928571428571429</v>
      </c>
      <c r="M11" s="69"/>
    </row>
    <row r="12" spans="1:13" x14ac:dyDescent="0.3">
      <c r="A12" s="76">
        <v>46054</v>
      </c>
      <c r="B12" s="69" t="s">
        <v>345</v>
      </c>
      <c r="C12" s="67" t="str">
        <f>IF(B12="","",IFERROR(INDEX(Projects!$B$5:$B$104,MATCH(B12,Projects!$A$5:$A$104,0)),"?"))</f>
        <v>Camp Accommodation Expansion</v>
      </c>
      <c r="D12" s="73">
        <v>238000</v>
      </c>
      <c r="E12" s="73">
        <v>226700</v>
      </c>
      <c r="F12" s="73">
        <v>231600</v>
      </c>
      <c r="G12" s="73">
        <v>226400</v>
      </c>
      <c r="H12" s="75">
        <f t="shared" si="0"/>
        <v>4900</v>
      </c>
      <c r="I12" s="75">
        <f t="shared" si="1"/>
        <v>5200</v>
      </c>
      <c r="J12" s="77">
        <f t="shared" si="2"/>
        <v>1.0216144684605206</v>
      </c>
      <c r="K12" s="77">
        <f t="shared" si="3"/>
        <v>1.0229681978798586</v>
      </c>
      <c r="L12" s="78">
        <f t="shared" si="4"/>
        <v>0.95126050420168062</v>
      </c>
      <c r="M12" s="69"/>
    </row>
    <row r="13" spans="1:13" x14ac:dyDescent="0.3">
      <c r="A13" s="76">
        <v>46082</v>
      </c>
      <c r="B13" s="69" t="s">
        <v>271</v>
      </c>
      <c r="C13" s="67" t="str">
        <f>IF(B13="","",IFERROR(INDEX(Projects!$B$5:$B$104,MATCH(B13,Projects!$A$5:$A$104,0)),"?"))</f>
        <v>Pit 2 Stage 3 Pushback</v>
      </c>
      <c r="D13" s="73">
        <v>600000</v>
      </c>
      <c r="E13" s="73">
        <v>574300</v>
      </c>
      <c r="F13" s="73">
        <v>521900</v>
      </c>
      <c r="G13" s="73">
        <v>546900</v>
      </c>
      <c r="H13" s="75">
        <f t="shared" si="0"/>
        <v>-52400</v>
      </c>
      <c r="I13" s="75">
        <f t="shared" si="1"/>
        <v>-25000</v>
      </c>
      <c r="J13" s="77">
        <f t="shared" si="2"/>
        <v>0.90875848859481112</v>
      </c>
      <c r="K13" s="77">
        <f t="shared" si="3"/>
        <v>0.95428780398610347</v>
      </c>
      <c r="L13" s="78">
        <f t="shared" si="4"/>
        <v>0.91149999999999998</v>
      </c>
      <c r="M13" s="69"/>
    </row>
    <row r="14" spans="1:13" x14ac:dyDescent="0.3">
      <c r="A14" s="76">
        <v>46082</v>
      </c>
      <c r="B14" s="69" t="s">
        <v>329</v>
      </c>
      <c r="C14" s="67" t="str">
        <f>IF(B14="","",IFERROR(INDEX(Projects!$B$5:$B$104,MATCH(B14,Projects!$A$5:$A$104,0)),"?"))</f>
        <v>Main Haul Road Upgrade</v>
      </c>
      <c r="D14" s="73">
        <v>312000</v>
      </c>
      <c r="E14" s="73">
        <v>309100</v>
      </c>
      <c r="F14" s="73">
        <v>309200</v>
      </c>
      <c r="G14" s="73">
        <v>301400</v>
      </c>
      <c r="H14" s="75">
        <f t="shared" si="0"/>
        <v>100</v>
      </c>
      <c r="I14" s="75">
        <f t="shared" si="1"/>
        <v>7800</v>
      </c>
      <c r="J14" s="77">
        <f t="shared" si="2"/>
        <v>1.0003235198964737</v>
      </c>
      <c r="K14" s="77">
        <f t="shared" si="3"/>
        <v>1.0258792302587922</v>
      </c>
      <c r="L14" s="78">
        <f t="shared" si="4"/>
        <v>0.96602564102564104</v>
      </c>
      <c r="M14" s="69"/>
    </row>
    <row r="15" spans="1:13" x14ac:dyDescent="0.3">
      <c r="A15" s="76">
        <v>46082</v>
      </c>
      <c r="B15" s="69" t="s">
        <v>332</v>
      </c>
      <c r="C15" s="67" t="str">
        <f>IF(B15="","",IFERROR(INDEX(Projects!$B$5:$B$104,MATCH(B15,Projects!$A$5:$A$104,0)),"?"))</f>
        <v>Haul Truck Mid-life Rebuilds</v>
      </c>
      <c r="D15" s="73">
        <v>300000</v>
      </c>
      <c r="E15" s="73">
        <v>294600</v>
      </c>
      <c r="F15" s="73">
        <v>286500</v>
      </c>
      <c r="G15" s="73">
        <v>295900</v>
      </c>
      <c r="H15" s="75">
        <f t="shared" si="0"/>
        <v>-8100</v>
      </c>
      <c r="I15" s="75">
        <f t="shared" si="1"/>
        <v>-9400</v>
      </c>
      <c r="J15" s="77">
        <f t="shared" si="2"/>
        <v>0.97250509164969445</v>
      </c>
      <c r="K15" s="77">
        <f t="shared" si="3"/>
        <v>0.96823251098344032</v>
      </c>
      <c r="L15" s="78">
        <f t="shared" si="4"/>
        <v>0.98633333333333328</v>
      </c>
      <c r="M15" s="69"/>
    </row>
    <row r="16" spans="1:13" x14ac:dyDescent="0.3">
      <c r="A16" s="76">
        <v>46082</v>
      </c>
      <c r="B16" s="69" t="s">
        <v>335</v>
      </c>
      <c r="C16" s="67" t="str">
        <f>IF(B16="","",IFERROR(INDEX(Projects!$B$5:$B$104,MATCH(B16,Projects!$A$5:$A$104,0)),"?"))</f>
        <v>Blast Fragmentation Optimisation</v>
      </c>
      <c r="D16" s="73">
        <v>70000</v>
      </c>
      <c r="E16" s="73">
        <v>66700</v>
      </c>
      <c r="F16" s="73">
        <v>59700</v>
      </c>
      <c r="G16" s="73">
        <v>56900</v>
      </c>
      <c r="H16" s="75">
        <f t="shared" si="0"/>
        <v>-7000</v>
      </c>
      <c r="I16" s="75">
        <f t="shared" si="1"/>
        <v>2800</v>
      </c>
      <c r="J16" s="77">
        <f t="shared" si="2"/>
        <v>0.89505247376311847</v>
      </c>
      <c r="K16" s="77">
        <f t="shared" si="3"/>
        <v>1.0492091388400704</v>
      </c>
      <c r="L16" s="78">
        <f t="shared" si="4"/>
        <v>0.81285714285714283</v>
      </c>
      <c r="M16" s="69"/>
    </row>
    <row r="17" spans="1:13" x14ac:dyDescent="0.3">
      <c r="A17" s="76">
        <v>46082</v>
      </c>
      <c r="B17" s="69" t="s">
        <v>282</v>
      </c>
      <c r="C17" s="67" t="str">
        <f>IF(B17="","",IFERROR(INDEX(Projects!$B$5:$B$104,MATCH(B17,Projects!$A$5:$A$104,0)),"?"))</f>
        <v>Workshop Extension</v>
      </c>
      <c r="D17" s="73">
        <v>178000</v>
      </c>
      <c r="E17" s="73">
        <v>175200</v>
      </c>
      <c r="F17" s="73">
        <v>165700</v>
      </c>
      <c r="G17" s="73">
        <v>175300</v>
      </c>
      <c r="H17" s="75">
        <f t="shared" si="0"/>
        <v>-9500</v>
      </c>
      <c r="I17" s="75">
        <f t="shared" si="1"/>
        <v>-9600</v>
      </c>
      <c r="J17" s="77">
        <f t="shared" si="2"/>
        <v>0.94577625570776258</v>
      </c>
      <c r="K17" s="77">
        <f t="shared" si="3"/>
        <v>0.94523673702224753</v>
      </c>
      <c r="L17" s="78">
        <f t="shared" si="4"/>
        <v>0.98483146067415728</v>
      </c>
      <c r="M17" s="69"/>
    </row>
    <row r="18" spans="1:13" x14ac:dyDescent="0.3">
      <c r="A18" s="76">
        <v>46082</v>
      </c>
      <c r="B18" s="69" t="s">
        <v>345</v>
      </c>
      <c r="C18" s="67" t="str">
        <f>IF(B18="","",IFERROR(INDEX(Projects!$B$5:$B$104,MATCH(B18,Projects!$A$5:$A$104,0)),"?"))</f>
        <v>Camp Accommodation Expansion</v>
      </c>
      <c r="D18" s="73">
        <v>238000</v>
      </c>
      <c r="E18" s="73">
        <v>233100</v>
      </c>
      <c r="F18" s="73">
        <v>232400</v>
      </c>
      <c r="G18" s="73">
        <v>227300</v>
      </c>
      <c r="H18" s="75">
        <f t="shared" si="0"/>
        <v>-700</v>
      </c>
      <c r="I18" s="75">
        <f t="shared" si="1"/>
        <v>5100</v>
      </c>
      <c r="J18" s="77">
        <f t="shared" si="2"/>
        <v>0.99699699699699695</v>
      </c>
      <c r="K18" s="77">
        <f t="shared" si="3"/>
        <v>1.0224373075230972</v>
      </c>
      <c r="L18" s="78">
        <f t="shared" si="4"/>
        <v>0.95504201680672274</v>
      </c>
      <c r="M18" s="69"/>
    </row>
    <row r="19" spans="1:13" x14ac:dyDescent="0.3">
      <c r="A19" s="76">
        <v>46113</v>
      </c>
      <c r="B19" s="69" t="s">
        <v>271</v>
      </c>
      <c r="C19" s="67" t="str">
        <f>IF(B19="","",IFERROR(INDEX(Projects!$B$5:$B$104,MATCH(B19,Projects!$A$5:$A$104,0)),"?"))</f>
        <v>Pit 2 Stage 3 Pushback</v>
      </c>
      <c r="D19" s="73">
        <v>600000</v>
      </c>
      <c r="E19" s="73">
        <v>593800</v>
      </c>
      <c r="F19" s="73">
        <v>558800</v>
      </c>
      <c r="G19" s="73">
        <v>583200</v>
      </c>
      <c r="H19" s="75">
        <f t="shared" si="0"/>
        <v>-35000</v>
      </c>
      <c r="I19" s="75">
        <f t="shared" si="1"/>
        <v>-24400</v>
      </c>
      <c r="J19" s="77">
        <f t="shared" si="2"/>
        <v>0.94105759514988208</v>
      </c>
      <c r="K19" s="77">
        <f t="shared" si="3"/>
        <v>0.95816186556927296</v>
      </c>
      <c r="L19" s="78">
        <f t="shared" si="4"/>
        <v>0.97199999999999998</v>
      </c>
      <c r="M19" s="69"/>
    </row>
    <row r="20" spans="1:13" x14ac:dyDescent="0.3">
      <c r="A20" s="76">
        <v>46113</v>
      </c>
      <c r="B20" s="69" t="s">
        <v>329</v>
      </c>
      <c r="C20" s="67" t="str">
        <f>IF(B20="","",IFERROR(INDEX(Projects!$B$5:$B$104,MATCH(B20,Projects!$A$5:$A$104,0)),"?"))</f>
        <v>Main Haul Road Upgrade</v>
      </c>
      <c r="D20" s="73">
        <v>312000</v>
      </c>
      <c r="E20" s="73">
        <v>305400</v>
      </c>
      <c r="F20" s="73">
        <v>312000</v>
      </c>
      <c r="G20" s="73">
        <v>309500</v>
      </c>
      <c r="H20" s="75">
        <f t="shared" si="0"/>
        <v>6600</v>
      </c>
      <c r="I20" s="75">
        <f t="shared" si="1"/>
        <v>2500</v>
      </c>
      <c r="J20" s="77">
        <f t="shared" si="2"/>
        <v>1.0216110019646365</v>
      </c>
      <c r="K20" s="77">
        <f t="shared" si="3"/>
        <v>1.0080775444264944</v>
      </c>
      <c r="L20" s="78">
        <f t="shared" si="4"/>
        <v>0.99198717948717952</v>
      </c>
      <c r="M20" s="69"/>
    </row>
    <row r="21" spans="1:13" x14ac:dyDescent="0.3">
      <c r="A21" s="76">
        <v>46113</v>
      </c>
      <c r="B21" s="69" t="s">
        <v>332</v>
      </c>
      <c r="C21" s="67" t="str">
        <f>IF(B21="","",IFERROR(INDEX(Projects!$B$5:$B$104,MATCH(B21,Projects!$A$5:$A$104,0)),"?"))</f>
        <v>Haul Truck Mid-life Rebuilds</v>
      </c>
      <c r="D21" s="73">
        <v>300000</v>
      </c>
      <c r="E21" s="73">
        <v>295900</v>
      </c>
      <c r="F21" s="73">
        <v>286300</v>
      </c>
      <c r="G21" s="73">
        <v>303400</v>
      </c>
      <c r="H21" s="75">
        <f t="shared" si="0"/>
        <v>-9600</v>
      </c>
      <c r="I21" s="75">
        <f t="shared" si="1"/>
        <v>-17100</v>
      </c>
      <c r="J21" s="77">
        <f t="shared" si="2"/>
        <v>0.96755660696181145</v>
      </c>
      <c r="K21" s="77">
        <f t="shared" si="3"/>
        <v>0.94363876071193142</v>
      </c>
      <c r="L21" s="78">
        <f t="shared" si="4"/>
        <v>1.0113333333333334</v>
      </c>
      <c r="M21" s="69"/>
    </row>
    <row r="22" spans="1:13" x14ac:dyDescent="0.3">
      <c r="A22" s="76">
        <v>46113</v>
      </c>
      <c r="B22" s="69" t="s">
        <v>335</v>
      </c>
      <c r="C22" s="67" t="str">
        <f>IF(B22="","",IFERROR(INDEX(Projects!$B$5:$B$104,MATCH(B22,Projects!$A$5:$A$104,0)),"?"))</f>
        <v>Blast Fragmentation Optimisation</v>
      </c>
      <c r="D22" s="73">
        <v>70000</v>
      </c>
      <c r="E22" s="73">
        <v>66900</v>
      </c>
      <c r="F22" s="73">
        <v>61200</v>
      </c>
      <c r="G22" s="73">
        <v>60300</v>
      </c>
      <c r="H22" s="75">
        <f t="shared" si="0"/>
        <v>-5700</v>
      </c>
      <c r="I22" s="75">
        <f t="shared" si="1"/>
        <v>900</v>
      </c>
      <c r="J22" s="77">
        <f t="shared" si="2"/>
        <v>0.91479820627802688</v>
      </c>
      <c r="K22" s="77">
        <f t="shared" si="3"/>
        <v>1.0149253731343284</v>
      </c>
      <c r="L22" s="78">
        <f t="shared" si="4"/>
        <v>0.86142857142857143</v>
      </c>
      <c r="M22" s="69"/>
    </row>
    <row r="23" spans="1:13" x14ac:dyDescent="0.3">
      <c r="A23" s="76">
        <v>46113</v>
      </c>
      <c r="B23" s="69" t="s">
        <v>282</v>
      </c>
      <c r="C23" s="67" t="str">
        <f>IF(B23="","",IFERROR(INDEX(Projects!$B$5:$B$104,MATCH(B23,Projects!$A$5:$A$104,0)),"?"))</f>
        <v>Workshop Extension</v>
      </c>
      <c r="D23" s="73">
        <v>178000</v>
      </c>
      <c r="E23" s="73">
        <v>170500</v>
      </c>
      <c r="F23" s="73">
        <v>161900</v>
      </c>
      <c r="G23" s="73">
        <v>168400</v>
      </c>
      <c r="H23" s="75">
        <f t="shared" si="0"/>
        <v>-8600</v>
      </c>
      <c r="I23" s="75">
        <f t="shared" si="1"/>
        <v>-6500</v>
      </c>
      <c r="J23" s="77">
        <f t="shared" si="2"/>
        <v>0.94956011730205281</v>
      </c>
      <c r="K23" s="77">
        <f t="shared" si="3"/>
        <v>0.96140142517814731</v>
      </c>
      <c r="L23" s="78">
        <f t="shared" si="4"/>
        <v>0.94606741573033704</v>
      </c>
      <c r="M23" s="69"/>
    </row>
    <row r="24" spans="1:13" x14ac:dyDescent="0.3">
      <c r="A24" s="76">
        <v>46113</v>
      </c>
      <c r="B24" s="69" t="s">
        <v>341</v>
      </c>
      <c r="C24" s="67" t="str">
        <f>IF(B24="","",IFERROR(INDEX(Projects!$B$5:$B$104,MATCH(B24,Projects!$A$5:$A$104,0)),"?"))</f>
        <v>ERP Maintenance Module Roll-out</v>
      </c>
      <c r="D24" s="73">
        <v>47000</v>
      </c>
      <c r="E24" s="73">
        <v>46200</v>
      </c>
      <c r="F24" s="73">
        <v>46900</v>
      </c>
      <c r="G24" s="73">
        <v>46200</v>
      </c>
      <c r="H24" s="75">
        <f t="shared" si="0"/>
        <v>700</v>
      </c>
      <c r="I24" s="75">
        <f t="shared" si="1"/>
        <v>700</v>
      </c>
      <c r="J24" s="77">
        <f t="shared" si="2"/>
        <v>1.0151515151515151</v>
      </c>
      <c r="K24" s="77">
        <f t="shared" si="3"/>
        <v>1.0151515151515151</v>
      </c>
      <c r="L24" s="78">
        <f t="shared" si="4"/>
        <v>0.98297872340425529</v>
      </c>
      <c r="M24" s="69"/>
    </row>
    <row r="25" spans="1:13" x14ac:dyDescent="0.3">
      <c r="A25" s="76">
        <v>46113</v>
      </c>
      <c r="B25" s="69" t="s">
        <v>345</v>
      </c>
      <c r="C25" s="67" t="str">
        <f>IF(B25="","",IFERROR(INDEX(Projects!$B$5:$B$104,MATCH(B25,Projects!$A$5:$A$104,0)),"?"))</f>
        <v>Camp Accommodation Expansion</v>
      </c>
      <c r="D25" s="73">
        <v>238000</v>
      </c>
      <c r="E25" s="73">
        <v>236500</v>
      </c>
      <c r="F25" s="73">
        <v>233900</v>
      </c>
      <c r="G25" s="73">
        <v>234300</v>
      </c>
      <c r="H25" s="75">
        <f t="shared" si="0"/>
        <v>-2600</v>
      </c>
      <c r="I25" s="75">
        <f t="shared" si="1"/>
        <v>-400</v>
      </c>
      <c r="J25" s="77">
        <f t="shared" si="2"/>
        <v>0.98900634249471464</v>
      </c>
      <c r="K25" s="77">
        <f t="shared" si="3"/>
        <v>0.99829278702518143</v>
      </c>
      <c r="L25" s="78">
        <f t="shared" si="4"/>
        <v>0.9844537815126051</v>
      </c>
      <c r="M25" s="69"/>
    </row>
    <row r="26" spans="1:13" x14ac:dyDescent="0.3">
      <c r="A26" s="76">
        <v>46143</v>
      </c>
      <c r="B26" s="69" t="s">
        <v>271</v>
      </c>
      <c r="C26" s="67" t="str">
        <f>IF(B26="","",IFERROR(INDEX(Projects!$B$5:$B$104,MATCH(B26,Projects!$A$5:$A$104,0)),"?"))</f>
        <v>Pit 2 Stage 3 Pushback</v>
      </c>
      <c r="D26" s="73">
        <v>600000</v>
      </c>
      <c r="E26" s="73">
        <v>587800</v>
      </c>
      <c r="F26" s="73">
        <v>549300</v>
      </c>
      <c r="G26" s="73">
        <v>580700</v>
      </c>
      <c r="H26" s="75">
        <f t="shared" si="0"/>
        <v>-38500</v>
      </c>
      <c r="I26" s="75">
        <f t="shared" si="1"/>
        <v>-31400</v>
      </c>
      <c r="J26" s="77">
        <f t="shared" si="2"/>
        <v>0.93450153113303847</v>
      </c>
      <c r="K26" s="77">
        <f t="shared" si="3"/>
        <v>0.94592732908558641</v>
      </c>
      <c r="L26" s="78">
        <f t="shared" si="4"/>
        <v>0.96783333333333332</v>
      </c>
      <c r="M26" s="69"/>
    </row>
    <row r="27" spans="1:13" x14ac:dyDescent="0.3">
      <c r="A27" s="76">
        <v>46143</v>
      </c>
      <c r="B27" s="69" t="s">
        <v>332</v>
      </c>
      <c r="C27" s="67" t="str">
        <f>IF(B27="","",IFERROR(INDEX(Projects!$B$5:$B$104,MATCH(B27,Projects!$A$5:$A$104,0)),"?"))</f>
        <v>Haul Truck Mid-life Rebuilds</v>
      </c>
      <c r="D27" s="73">
        <v>300000</v>
      </c>
      <c r="E27" s="73">
        <v>297600</v>
      </c>
      <c r="F27" s="73">
        <v>299400</v>
      </c>
      <c r="G27" s="73">
        <v>307900</v>
      </c>
      <c r="H27" s="75">
        <f t="shared" si="0"/>
        <v>1800</v>
      </c>
      <c r="I27" s="75">
        <f t="shared" si="1"/>
        <v>-8500</v>
      </c>
      <c r="J27" s="77">
        <f t="shared" si="2"/>
        <v>1.0060483870967742</v>
      </c>
      <c r="K27" s="77">
        <f t="shared" si="3"/>
        <v>0.97239363429684966</v>
      </c>
      <c r="L27" s="78">
        <f t="shared" si="4"/>
        <v>1.0263333333333333</v>
      </c>
      <c r="M27" s="69"/>
    </row>
    <row r="28" spans="1:13" x14ac:dyDescent="0.3">
      <c r="A28" s="76">
        <v>46143</v>
      </c>
      <c r="B28" s="69" t="s">
        <v>335</v>
      </c>
      <c r="C28" s="67" t="str">
        <f>IF(B28="","",IFERROR(INDEX(Projects!$B$5:$B$104,MATCH(B28,Projects!$A$5:$A$104,0)),"?"))</f>
        <v>Blast Fragmentation Optimisation</v>
      </c>
      <c r="D28" s="73">
        <v>70000</v>
      </c>
      <c r="E28" s="73">
        <v>68800</v>
      </c>
      <c r="F28" s="73">
        <v>61600</v>
      </c>
      <c r="G28" s="73">
        <v>60500</v>
      </c>
      <c r="H28" s="75">
        <f t="shared" si="0"/>
        <v>-7200</v>
      </c>
      <c r="I28" s="75">
        <f t="shared" si="1"/>
        <v>1100</v>
      </c>
      <c r="J28" s="77">
        <f t="shared" si="2"/>
        <v>0.89534883720930236</v>
      </c>
      <c r="K28" s="77">
        <f t="shared" si="3"/>
        <v>1.0181818181818181</v>
      </c>
      <c r="L28" s="78">
        <f t="shared" si="4"/>
        <v>0.86428571428571432</v>
      </c>
      <c r="M28" s="69"/>
    </row>
    <row r="29" spans="1:13" x14ac:dyDescent="0.3">
      <c r="A29" s="76">
        <v>46143</v>
      </c>
      <c r="B29" s="69" t="s">
        <v>282</v>
      </c>
      <c r="C29" s="67" t="str">
        <f>IF(B29="","",IFERROR(INDEX(Projects!$B$5:$B$104,MATCH(B29,Projects!$A$5:$A$104,0)),"?"))</f>
        <v>Workshop Extension</v>
      </c>
      <c r="D29" s="73">
        <v>178000</v>
      </c>
      <c r="E29" s="73">
        <v>174900</v>
      </c>
      <c r="F29" s="73">
        <v>171100</v>
      </c>
      <c r="G29" s="73">
        <v>186600</v>
      </c>
      <c r="H29" s="75">
        <f t="shared" si="0"/>
        <v>-3800</v>
      </c>
      <c r="I29" s="75">
        <f t="shared" si="1"/>
        <v>-15500</v>
      </c>
      <c r="J29" s="77">
        <f t="shared" si="2"/>
        <v>0.97827329902801596</v>
      </c>
      <c r="K29" s="77">
        <f t="shared" si="3"/>
        <v>0.91693461950696675</v>
      </c>
      <c r="L29" s="78">
        <f t="shared" si="4"/>
        <v>1.048314606741573</v>
      </c>
      <c r="M29" s="69"/>
    </row>
    <row r="30" spans="1:13" x14ac:dyDescent="0.3">
      <c r="A30" s="76">
        <v>46143</v>
      </c>
      <c r="B30" s="69" t="s">
        <v>341</v>
      </c>
      <c r="C30" s="67" t="str">
        <f>IF(B30="","",IFERROR(INDEX(Projects!$B$5:$B$104,MATCH(B30,Projects!$A$5:$A$104,0)),"?"))</f>
        <v>ERP Maintenance Module Roll-out</v>
      </c>
      <c r="D30" s="73">
        <v>47000</v>
      </c>
      <c r="E30" s="73">
        <v>45300</v>
      </c>
      <c r="F30" s="73">
        <v>45000</v>
      </c>
      <c r="G30" s="73">
        <v>44500</v>
      </c>
      <c r="H30" s="75">
        <f t="shared" si="0"/>
        <v>-300</v>
      </c>
      <c r="I30" s="75">
        <f t="shared" si="1"/>
        <v>500</v>
      </c>
      <c r="J30" s="77">
        <f t="shared" si="2"/>
        <v>0.99337748344370858</v>
      </c>
      <c r="K30" s="77">
        <f t="shared" si="3"/>
        <v>1.0112359550561798</v>
      </c>
      <c r="L30" s="78">
        <f t="shared" si="4"/>
        <v>0.94680851063829785</v>
      </c>
      <c r="M30" s="69"/>
    </row>
    <row r="31" spans="1:13" x14ac:dyDescent="0.3">
      <c r="A31" s="76">
        <v>46143</v>
      </c>
      <c r="B31" s="69" t="s">
        <v>292</v>
      </c>
      <c r="C31" s="67" t="str">
        <f>IF(B31="","",IFERROR(INDEX(Projects!$B$5:$B$104,MATCH(B31,Projects!$A$5:$A$104,0)),"?"))</f>
        <v>Pit Dewatering System Upgrade</v>
      </c>
      <c r="D31" s="73">
        <v>150000</v>
      </c>
      <c r="E31" s="73">
        <v>142700</v>
      </c>
      <c r="F31" s="73">
        <v>133800</v>
      </c>
      <c r="G31" s="73">
        <v>139000</v>
      </c>
      <c r="H31" s="75">
        <f t="shared" si="0"/>
        <v>-8900</v>
      </c>
      <c r="I31" s="75">
        <f t="shared" si="1"/>
        <v>-5200</v>
      </c>
      <c r="J31" s="77">
        <f t="shared" si="2"/>
        <v>0.93763139453398736</v>
      </c>
      <c r="K31" s="77">
        <f t="shared" si="3"/>
        <v>0.96258992805755395</v>
      </c>
      <c r="L31" s="78">
        <f t="shared" si="4"/>
        <v>0.92666666666666664</v>
      </c>
      <c r="M31" s="69"/>
    </row>
    <row r="32" spans="1:13" x14ac:dyDescent="0.3">
      <c r="A32" s="76">
        <v>46143</v>
      </c>
      <c r="B32" s="69" t="s">
        <v>345</v>
      </c>
      <c r="C32" s="67" t="str">
        <f>IF(B32="","",IFERROR(INDEX(Projects!$B$5:$B$104,MATCH(B32,Projects!$A$5:$A$104,0)),"?"))</f>
        <v>Camp Accommodation Expansion</v>
      </c>
      <c r="D32" s="73">
        <v>238000</v>
      </c>
      <c r="E32" s="73">
        <v>227500</v>
      </c>
      <c r="F32" s="73">
        <v>221500</v>
      </c>
      <c r="G32" s="73">
        <v>222800</v>
      </c>
      <c r="H32" s="75">
        <f t="shared" si="0"/>
        <v>-6000</v>
      </c>
      <c r="I32" s="75">
        <f t="shared" si="1"/>
        <v>-1300</v>
      </c>
      <c r="J32" s="77">
        <f t="shared" si="2"/>
        <v>0.97362637362637361</v>
      </c>
      <c r="K32" s="77">
        <f t="shared" si="3"/>
        <v>0.99416517055655296</v>
      </c>
      <c r="L32" s="78">
        <f t="shared" si="4"/>
        <v>0.93613445378151261</v>
      </c>
      <c r="M32" s="69"/>
    </row>
    <row r="33" spans="1:13" x14ac:dyDescent="0.3">
      <c r="A33" s="76">
        <v>46174</v>
      </c>
      <c r="B33" s="69" t="s">
        <v>271</v>
      </c>
      <c r="C33" s="67" t="str">
        <f>IF(B33="","",IFERROR(INDEX(Projects!$B$5:$B$104,MATCH(B33,Projects!$A$5:$A$104,0)),"?"))</f>
        <v>Pit 2 Stage 3 Pushback</v>
      </c>
      <c r="D33" s="73">
        <v>600000</v>
      </c>
      <c r="E33" s="73">
        <v>573900</v>
      </c>
      <c r="F33" s="73">
        <v>525600</v>
      </c>
      <c r="G33" s="73">
        <v>553500</v>
      </c>
      <c r="H33" s="75">
        <f t="shared" si="0"/>
        <v>-48300</v>
      </c>
      <c r="I33" s="75">
        <f t="shared" si="1"/>
        <v>-27900</v>
      </c>
      <c r="J33" s="77">
        <f t="shared" si="2"/>
        <v>0.91583899634082588</v>
      </c>
      <c r="K33" s="77">
        <f t="shared" si="3"/>
        <v>0.94959349593495934</v>
      </c>
      <c r="L33" s="78">
        <f t="shared" si="4"/>
        <v>0.92249999999999999</v>
      </c>
      <c r="M33" s="69"/>
    </row>
    <row r="34" spans="1:13" x14ac:dyDescent="0.3">
      <c r="A34" s="76">
        <v>46174</v>
      </c>
      <c r="B34" s="69" t="s">
        <v>332</v>
      </c>
      <c r="C34" s="67" t="str">
        <f>IF(B34="","",IFERROR(INDEX(Projects!$B$5:$B$104,MATCH(B34,Projects!$A$5:$A$104,0)),"?"))</f>
        <v>Haul Truck Mid-life Rebuilds</v>
      </c>
      <c r="D34" s="73">
        <v>300000</v>
      </c>
      <c r="E34" s="73">
        <v>298100</v>
      </c>
      <c r="F34" s="73">
        <v>284800</v>
      </c>
      <c r="G34" s="73">
        <v>292400</v>
      </c>
      <c r="H34" s="75">
        <f t="shared" si="0"/>
        <v>-13300</v>
      </c>
      <c r="I34" s="75">
        <f t="shared" si="1"/>
        <v>-7600</v>
      </c>
      <c r="J34" s="77">
        <f t="shared" si="2"/>
        <v>0.95538409929553836</v>
      </c>
      <c r="K34" s="77">
        <f t="shared" si="3"/>
        <v>0.97400820793433651</v>
      </c>
      <c r="L34" s="78">
        <f t="shared" si="4"/>
        <v>0.97466666666666668</v>
      </c>
      <c r="M34" s="69"/>
    </row>
    <row r="35" spans="1:13" x14ac:dyDescent="0.3">
      <c r="A35" s="76">
        <v>46174</v>
      </c>
      <c r="B35" s="69" t="s">
        <v>335</v>
      </c>
      <c r="C35" s="67" t="str">
        <f>IF(B35="","",IFERROR(INDEX(Projects!$B$5:$B$104,MATCH(B35,Projects!$A$5:$A$104,0)),"?"))</f>
        <v>Blast Fragmentation Optimisation</v>
      </c>
      <c r="D35" s="73">
        <v>70000</v>
      </c>
      <c r="E35" s="73">
        <v>68400</v>
      </c>
      <c r="F35" s="73">
        <v>64400</v>
      </c>
      <c r="G35" s="73">
        <v>63700</v>
      </c>
      <c r="H35" s="75">
        <f t="shared" si="0"/>
        <v>-4000</v>
      </c>
      <c r="I35" s="75">
        <f t="shared" si="1"/>
        <v>700</v>
      </c>
      <c r="J35" s="77">
        <f t="shared" si="2"/>
        <v>0.94152046783625731</v>
      </c>
      <c r="K35" s="77">
        <f t="shared" si="3"/>
        <v>1.0109890109890109</v>
      </c>
      <c r="L35" s="78">
        <f t="shared" si="4"/>
        <v>0.91</v>
      </c>
      <c r="M35" s="69"/>
    </row>
    <row r="36" spans="1:13" x14ac:dyDescent="0.3">
      <c r="A36" s="76">
        <v>46174</v>
      </c>
      <c r="B36" s="69" t="s">
        <v>282</v>
      </c>
      <c r="C36" s="67" t="str">
        <f>IF(B36="","",IFERROR(INDEX(Projects!$B$5:$B$104,MATCH(B36,Projects!$A$5:$A$104,0)),"?"))</f>
        <v>Workshop Extension</v>
      </c>
      <c r="D36" s="73">
        <v>178000</v>
      </c>
      <c r="E36" s="73">
        <v>176800</v>
      </c>
      <c r="F36" s="73">
        <v>165700</v>
      </c>
      <c r="G36" s="73">
        <v>176400</v>
      </c>
      <c r="H36" s="75">
        <f t="shared" si="0"/>
        <v>-11100</v>
      </c>
      <c r="I36" s="75">
        <f t="shared" si="1"/>
        <v>-10700</v>
      </c>
      <c r="J36" s="77">
        <f t="shared" si="2"/>
        <v>0.93721719457013575</v>
      </c>
      <c r="K36" s="77">
        <f t="shared" si="3"/>
        <v>0.93934240362811794</v>
      </c>
      <c r="L36" s="78">
        <f t="shared" si="4"/>
        <v>0.99101123595505614</v>
      </c>
      <c r="M36" s="69"/>
    </row>
    <row r="37" spans="1:13" x14ac:dyDescent="0.3">
      <c r="A37" s="76">
        <v>46174</v>
      </c>
      <c r="B37" s="69" t="s">
        <v>341</v>
      </c>
      <c r="C37" s="67" t="str">
        <f>IF(B37="","",IFERROR(INDEX(Projects!$B$5:$B$104,MATCH(B37,Projects!$A$5:$A$104,0)),"?"))</f>
        <v>ERP Maintenance Module Roll-out</v>
      </c>
      <c r="D37" s="73">
        <v>47000</v>
      </c>
      <c r="E37" s="73">
        <v>45500</v>
      </c>
      <c r="F37" s="73">
        <v>46500</v>
      </c>
      <c r="G37" s="73">
        <v>46800</v>
      </c>
      <c r="H37" s="75">
        <f t="shared" si="0"/>
        <v>1000</v>
      </c>
      <c r="I37" s="75">
        <f t="shared" si="1"/>
        <v>-300</v>
      </c>
      <c r="J37" s="77">
        <f t="shared" si="2"/>
        <v>1.0219780219780219</v>
      </c>
      <c r="K37" s="77">
        <f t="shared" si="3"/>
        <v>0.99358974358974361</v>
      </c>
      <c r="L37" s="78">
        <f t="shared" si="4"/>
        <v>0.99574468085106382</v>
      </c>
      <c r="M37" s="69"/>
    </row>
    <row r="38" spans="1:13" x14ac:dyDescent="0.3">
      <c r="A38" s="76">
        <v>46174</v>
      </c>
      <c r="B38" s="69" t="s">
        <v>292</v>
      </c>
      <c r="C38" s="67" t="str">
        <f>IF(B38="","",IFERROR(INDEX(Projects!$B$5:$B$104,MATCH(B38,Projects!$A$5:$A$104,0)),"?"))</f>
        <v>Pit Dewatering System Upgrade</v>
      </c>
      <c r="D38" s="73">
        <v>150000</v>
      </c>
      <c r="E38" s="73">
        <v>143600</v>
      </c>
      <c r="F38" s="73">
        <v>132400</v>
      </c>
      <c r="G38" s="73">
        <v>138100</v>
      </c>
      <c r="H38" s="75">
        <f t="shared" si="0"/>
        <v>-11200</v>
      </c>
      <c r="I38" s="75">
        <f t="shared" si="1"/>
        <v>-5700</v>
      </c>
      <c r="J38" s="77">
        <f t="shared" si="2"/>
        <v>0.92200557103064062</v>
      </c>
      <c r="K38" s="77">
        <f t="shared" si="3"/>
        <v>0.95872556118754526</v>
      </c>
      <c r="L38" s="78">
        <f t="shared" si="4"/>
        <v>0.92066666666666663</v>
      </c>
      <c r="M38" s="69"/>
    </row>
    <row r="39" spans="1:13" x14ac:dyDescent="0.3">
      <c r="A39" s="76">
        <v>46174</v>
      </c>
      <c r="B39" s="69" t="s">
        <v>345</v>
      </c>
      <c r="C39" s="67" t="str">
        <f>IF(B39="","",IFERROR(INDEX(Projects!$B$5:$B$104,MATCH(B39,Projects!$A$5:$A$104,0)),"?"))</f>
        <v>Camp Accommodation Expansion</v>
      </c>
      <c r="D39" s="73">
        <v>238000</v>
      </c>
      <c r="E39" s="73">
        <v>228900</v>
      </c>
      <c r="F39" s="73">
        <v>228700</v>
      </c>
      <c r="G39" s="73">
        <v>227600</v>
      </c>
      <c r="H39" s="75">
        <f t="shared" si="0"/>
        <v>-200</v>
      </c>
      <c r="I39" s="75">
        <f t="shared" si="1"/>
        <v>1100</v>
      </c>
      <c r="J39" s="77">
        <f t="shared" si="2"/>
        <v>0.9991262560069899</v>
      </c>
      <c r="K39" s="77">
        <f t="shared" si="3"/>
        <v>1.0048330404217927</v>
      </c>
      <c r="L39" s="78">
        <f t="shared" si="4"/>
        <v>0.95630252100840341</v>
      </c>
      <c r="M39" s="69"/>
    </row>
    <row r="40" spans="1:13" x14ac:dyDescent="0.3">
      <c r="A40" s="76">
        <v>46204</v>
      </c>
      <c r="B40" s="69" t="s">
        <v>271</v>
      </c>
      <c r="C40" s="67" t="str">
        <f>IF(B40="","",IFERROR(INDEX(Projects!$B$5:$B$104,MATCH(B40,Projects!$A$5:$A$104,0)),"?"))</f>
        <v>Pit 2 Stage 3 Pushback</v>
      </c>
      <c r="D40" s="73">
        <v>600000</v>
      </c>
      <c r="E40" s="73">
        <v>577900</v>
      </c>
      <c r="F40" s="73">
        <v>521500</v>
      </c>
      <c r="G40" s="73">
        <v>550100</v>
      </c>
      <c r="H40" s="75">
        <f t="shared" si="0"/>
        <v>-56400</v>
      </c>
      <c r="I40" s="75">
        <f t="shared" si="1"/>
        <v>-28600</v>
      </c>
      <c r="J40" s="77">
        <f t="shared" si="2"/>
        <v>0.90240526042567915</v>
      </c>
      <c r="K40" s="77">
        <f t="shared" si="3"/>
        <v>0.94800945282675875</v>
      </c>
      <c r="L40" s="78">
        <f t="shared" si="4"/>
        <v>0.91683333333333328</v>
      </c>
      <c r="M40" s="69"/>
    </row>
    <row r="41" spans="1:13" x14ac:dyDescent="0.3">
      <c r="A41" s="76">
        <v>46204</v>
      </c>
      <c r="B41" s="69" t="s">
        <v>332</v>
      </c>
      <c r="C41" s="67" t="str">
        <f>IF(B41="","",IFERROR(INDEX(Projects!$B$5:$B$104,MATCH(B41,Projects!$A$5:$A$104,0)),"?"))</f>
        <v>Haul Truck Mid-life Rebuilds</v>
      </c>
      <c r="D41" s="73">
        <v>300000</v>
      </c>
      <c r="E41" s="73">
        <v>290500</v>
      </c>
      <c r="F41" s="73">
        <v>285800</v>
      </c>
      <c r="G41" s="73">
        <v>302400</v>
      </c>
      <c r="H41" s="75">
        <f t="shared" si="0"/>
        <v>-4700</v>
      </c>
      <c r="I41" s="75">
        <f t="shared" si="1"/>
        <v>-16600</v>
      </c>
      <c r="J41" s="77">
        <f t="shared" si="2"/>
        <v>0.98382099827882963</v>
      </c>
      <c r="K41" s="77">
        <f t="shared" si="3"/>
        <v>0.94510582010582012</v>
      </c>
      <c r="L41" s="78">
        <f t="shared" si="4"/>
        <v>1.008</v>
      </c>
      <c r="M41" s="69"/>
    </row>
    <row r="42" spans="1:13" x14ac:dyDescent="0.3">
      <c r="A42" s="76">
        <v>46204</v>
      </c>
      <c r="B42" s="69" t="s">
        <v>282</v>
      </c>
      <c r="C42" s="67" t="str">
        <f>IF(B42="","",IFERROR(INDEX(Projects!$B$5:$B$104,MATCH(B42,Projects!$A$5:$A$104,0)),"?"))</f>
        <v>Workshop Extension</v>
      </c>
      <c r="D42" s="73">
        <v>178000</v>
      </c>
      <c r="E42" s="73">
        <v>175200</v>
      </c>
      <c r="F42" s="73">
        <v>166600</v>
      </c>
      <c r="G42" s="73">
        <v>179500</v>
      </c>
      <c r="H42" s="75">
        <f t="shared" si="0"/>
        <v>-8600</v>
      </c>
      <c r="I42" s="75">
        <f t="shared" si="1"/>
        <v>-12900</v>
      </c>
      <c r="J42" s="77">
        <f t="shared" si="2"/>
        <v>0.95091324200913241</v>
      </c>
      <c r="K42" s="77">
        <f t="shared" si="3"/>
        <v>0.92813370473537604</v>
      </c>
      <c r="L42" s="78">
        <f t="shared" si="4"/>
        <v>1.0084269662921348</v>
      </c>
      <c r="M42" s="69"/>
    </row>
    <row r="43" spans="1:13" x14ac:dyDescent="0.3">
      <c r="A43" s="76">
        <v>46204</v>
      </c>
      <c r="B43" s="69" t="s">
        <v>341</v>
      </c>
      <c r="C43" s="67" t="str">
        <f>IF(B43="","",IFERROR(INDEX(Projects!$B$5:$B$104,MATCH(B43,Projects!$A$5:$A$104,0)),"?"))</f>
        <v>ERP Maintenance Module Roll-out</v>
      </c>
      <c r="D43" s="73">
        <v>47000</v>
      </c>
      <c r="E43" s="73">
        <v>46200</v>
      </c>
      <c r="F43" s="73">
        <v>45000</v>
      </c>
      <c r="G43" s="73">
        <v>45200</v>
      </c>
      <c r="H43" s="75">
        <f t="shared" si="0"/>
        <v>-1200</v>
      </c>
      <c r="I43" s="75">
        <f t="shared" si="1"/>
        <v>-200</v>
      </c>
      <c r="J43" s="77">
        <f t="shared" si="2"/>
        <v>0.97402597402597402</v>
      </c>
      <c r="K43" s="77">
        <f t="shared" si="3"/>
        <v>0.99557522123893805</v>
      </c>
      <c r="L43" s="78">
        <f t="shared" si="4"/>
        <v>0.96170212765957441</v>
      </c>
      <c r="M43" s="69"/>
    </row>
    <row r="44" spans="1:13" x14ac:dyDescent="0.3">
      <c r="A44" s="76">
        <v>46204</v>
      </c>
      <c r="B44" s="69" t="s">
        <v>292</v>
      </c>
      <c r="C44" s="67" t="str">
        <f>IF(B44="","",IFERROR(INDEX(Projects!$B$5:$B$104,MATCH(B44,Projects!$A$5:$A$104,0)),"?"))</f>
        <v>Pit Dewatering System Upgrade</v>
      </c>
      <c r="D44" s="73">
        <v>150000</v>
      </c>
      <c r="E44" s="73">
        <v>148300</v>
      </c>
      <c r="F44" s="73">
        <v>142500</v>
      </c>
      <c r="G44" s="73">
        <v>153700</v>
      </c>
      <c r="H44" s="75">
        <f t="shared" si="0"/>
        <v>-5800</v>
      </c>
      <c r="I44" s="75">
        <f t="shared" si="1"/>
        <v>-11200</v>
      </c>
      <c r="J44" s="77">
        <f t="shared" si="2"/>
        <v>0.96089008766014838</v>
      </c>
      <c r="K44" s="77">
        <f t="shared" si="3"/>
        <v>0.9271307742355237</v>
      </c>
      <c r="L44" s="78">
        <f t="shared" si="4"/>
        <v>1.0246666666666666</v>
      </c>
      <c r="M44" s="69"/>
    </row>
    <row r="45" spans="1:13" x14ac:dyDescent="0.3">
      <c r="A45" s="76">
        <v>46204</v>
      </c>
      <c r="B45" s="69" t="s">
        <v>345</v>
      </c>
      <c r="C45" s="67" t="str">
        <f>IF(B45="","",IFERROR(INDEX(Projects!$B$5:$B$104,MATCH(B45,Projects!$A$5:$A$104,0)),"?"))</f>
        <v>Camp Accommodation Expansion</v>
      </c>
      <c r="D45" s="73">
        <v>238000</v>
      </c>
      <c r="E45" s="73">
        <v>230800</v>
      </c>
      <c r="F45" s="73">
        <v>229400</v>
      </c>
      <c r="G45" s="73">
        <v>221700</v>
      </c>
      <c r="H45" s="75">
        <f t="shared" si="0"/>
        <v>-1400</v>
      </c>
      <c r="I45" s="75">
        <f t="shared" si="1"/>
        <v>7700</v>
      </c>
      <c r="J45" s="77">
        <f t="shared" si="2"/>
        <v>0.9939341421143848</v>
      </c>
      <c r="K45" s="77">
        <f t="shared" si="3"/>
        <v>1.0347316193053677</v>
      </c>
      <c r="L45" s="78">
        <f t="shared" si="4"/>
        <v>0.93151260504201683</v>
      </c>
      <c r="M45" s="69"/>
    </row>
    <row r="46" spans="1:13" x14ac:dyDescent="0.3">
      <c r="A46" s="76">
        <v>46235</v>
      </c>
      <c r="B46" s="69" t="s">
        <v>332</v>
      </c>
      <c r="C46" s="67" t="str">
        <f>IF(B46="","",IFERROR(INDEX(Projects!$B$5:$B$104,MATCH(B46,Projects!$A$5:$A$104,0)),"?"))</f>
        <v>Haul Truck Mid-life Rebuilds</v>
      </c>
      <c r="D46" s="73">
        <v>300000</v>
      </c>
      <c r="E46" s="73">
        <v>294500</v>
      </c>
      <c r="F46" s="73">
        <v>281000</v>
      </c>
      <c r="G46" s="73">
        <v>281900</v>
      </c>
      <c r="H46" s="75">
        <f t="shared" si="0"/>
        <v>-13500</v>
      </c>
      <c r="I46" s="75">
        <f t="shared" si="1"/>
        <v>-900</v>
      </c>
      <c r="J46" s="77">
        <f t="shared" si="2"/>
        <v>0.95415959252971139</v>
      </c>
      <c r="K46" s="77">
        <f t="shared" si="3"/>
        <v>0.99680737850301526</v>
      </c>
      <c r="L46" s="78">
        <f t="shared" si="4"/>
        <v>0.93966666666666665</v>
      </c>
      <c r="M46" s="69"/>
    </row>
    <row r="47" spans="1:13" x14ac:dyDescent="0.3">
      <c r="A47" s="76">
        <v>46235</v>
      </c>
      <c r="B47" s="69" t="s">
        <v>282</v>
      </c>
      <c r="C47" s="67" t="str">
        <f>IF(B47="","",IFERROR(INDEX(Projects!$B$5:$B$104,MATCH(B47,Projects!$A$5:$A$104,0)),"?"))</f>
        <v>Workshop Extension</v>
      </c>
      <c r="D47" s="73">
        <v>178000</v>
      </c>
      <c r="E47" s="73">
        <v>171000</v>
      </c>
      <c r="F47" s="73">
        <v>159200</v>
      </c>
      <c r="G47" s="73">
        <v>168700</v>
      </c>
      <c r="H47" s="75">
        <f t="shared" si="0"/>
        <v>-11800</v>
      </c>
      <c r="I47" s="75">
        <f t="shared" si="1"/>
        <v>-9500</v>
      </c>
      <c r="J47" s="77">
        <f t="shared" si="2"/>
        <v>0.9309941520467836</v>
      </c>
      <c r="K47" s="77">
        <f t="shared" si="3"/>
        <v>0.94368701837581503</v>
      </c>
      <c r="L47" s="78">
        <f t="shared" si="4"/>
        <v>0.94775280898876402</v>
      </c>
      <c r="M47" s="69"/>
    </row>
    <row r="48" spans="1:13" x14ac:dyDescent="0.3">
      <c r="A48" s="76">
        <v>46235</v>
      </c>
      <c r="B48" s="69" t="s">
        <v>341</v>
      </c>
      <c r="C48" s="67" t="str">
        <f>IF(B48="","",IFERROR(INDEX(Projects!$B$5:$B$104,MATCH(B48,Projects!$A$5:$A$104,0)),"?"))</f>
        <v>ERP Maintenance Module Roll-out</v>
      </c>
      <c r="D48" s="73">
        <v>47000</v>
      </c>
      <c r="E48" s="73">
        <v>44800</v>
      </c>
      <c r="F48" s="73">
        <v>43500</v>
      </c>
      <c r="G48" s="73">
        <v>41700</v>
      </c>
      <c r="H48" s="75">
        <f t="shared" si="0"/>
        <v>-1300</v>
      </c>
      <c r="I48" s="75">
        <f t="shared" si="1"/>
        <v>1800</v>
      </c>
      <c r="J48" s="77">
        <f t="shared" si="2"/>
        <v>0.9709821428571429</v>
      </c>
      <c r="K48" s="77">
        <f t="shared" si="3"/>
        <v>1.0431654676258992</v>
      </c>
      <c r="L48" s="78">
        <f t="shared" si="4"/>
        <v>0.88723404255319149</v>
      </c>
      <c r="M48" s="69"/>
    </row>
    <row r="49" spans="1:13" x14ac:dyDescent="0.3">
      <c r="A49" s="76">
        <v>46235</v>
      </c>
      <c r="B49" s="69" t="s">
        <v>292</v>
      </c>
      <c r="C49" s="67" t="str">
        <f>IF(B49="","",IFERROR(INDEX(Projects!$B$5:$B$104,MATCH(B49,Projects!$A$5:$A$104,0)),"?"))</f>
        <v>Pit Dewatering System Upgrade</v>
      </c>
      <c r="D49" s="73">
        <v>150000</v>
      </c>
      <c r="E49" s="73">
        <v>143300</v>
      </c>
      <c r="F49" s="73">
        <v>133600</v>
      </c>
      <c r="G49" s="73">
        <v>137600</v>
      </c>
      <c r="H49" s="75">
        <f t="shared" si="0"/>
        <v>-9700</v>
      </c>
      <c r="I49" s="75">
        <f t="shared" si="1"/>
        <v>-4000</v>
      </c>
      <c r="J49" s="77">
        <f t="shared" si="2"/>
        <v>0.93230983949755752</v>
      </c>
      <c r="K49" s="77">
        <f t="shared" si="3"/>
        <v>0.97093023255813948</v>
      </c>
      <c r="L49" s="78">
        <f t="shared" si="4"/>
        <v>0.91733333333333333</v>
      </c>
      <c r="M49" s="69"/>
    </row>
    <row r="50" spans="1:13" x14ac:dyDescent="0.3">
      <c r="A50" s="76">
        <v>46235</v>
      </c>
      <c r="B50" s="69" t="s">
        <v>345</v>
      </c>
      <c r="C50" s="67" t="str">
        <f>IF(B50="","",IFERROR(INDEX(Projects!$B$5:$B$104,MATCH(B50,Projects!$A$5:$A$104,0)),"?"))</f>
        <v>Camp Accommodation Expansion</v>
      </c>
      <c r="D50" s="73">
        <v>238000</v>
      </c>
      <c r="E50" s="73">
        <v>236500</v>
      </c>
      <c r="F50" s="73">
        <v>238100</v>
      </c>
      <c r="G50" s="73">
        <v>230700</v>
      </c>
      <c r="H50" s="75">
        <f t="shared" si="0"/>
        <v>1600</v>
      </c>
      <c r="I50" s="75">
        <f t="shared" si="1"/>
        <v>7400</v>
      </c>
      <c r="J50" s="77">
        <f t="shared" si="2"/>
        <v>1.0067653276955602</v>
      </c>
      <c r="K50" s="77">
        <f t="shared" si="3"/>
        <v>1.0320762895535327</v>
      </c>
      <c r="L50" s="78">
        <f t="shared" si="4"/>
        <v>0.96932773109243697</v>
      </c>
      <c r="M50" s="69"/>
    </row>
    <row r="51" spans="1:13" x14ac:dyDescent="0.3">
      <c r="A51" s="76">
        <v>46266</v>
      </c>
      <c r="B51" s="69" t="s">
        <v>282</v>
      </c>
      <c r="C51" s="67" t="str">
        <f>IF(B51="","",IFERROR(INDEX(Projects!$B$5:$B$104,MATCH(B51,Projects!$A$5:$A$104,0)),"?"))</f>
        <v>Workshop Extension</v>
      </c>
      <c r="D51" s="73">
        <v>178000</v>
      </c>
      <c r="E51" s="73">
        <v>171300</v>
      </c>
      <c r="F51" s="73">
        <v>161200</v>
      </c>
      <c r="G51" s="73">
        <v>171100</v>
      </c>
      <c r="H51" s="75">
        <f t="shared" si="0"/>
        <v>-10100</v>
      </c>
      <c r="I51" s="75">
        <f t="shared" si="1"/>
        <v>-9900</v>
      </c>
      <c r="J51" s="77">
        <f t="shared" si="2"/>
        <v>0.94103911266783424</v>
      </c>
      <c r="K51" s="77">
        <f t="shared" si="3"/>
        <v>0.94213909994155465</v>
      </c>
      <c r="L51" s="78">
        <f t="shared" si="4"/>
        <v>0.96123595505617976</v>
      </c>
      <c r="M51" s="69"/>
    </row>
    <row r="52" spans="1:13" x14ac:dyDescent="0.3">
      <c r="A52" s="76">
        <v>46266</v>
      </c>
      <c r="B52" s="69" t="s">
        <v>341</v>
      </c>
      <c r="C52" s="67" t="str">
        <f>IF(B52="","",IFERROR(INDEX(Projects!$B$5:$B$104,MATCH(B52,Projects!$A$5:$A$104,0)),"?"))</f>
        <v>ERP Maintenance Module Roll-out</v>
      </c>
      <c r="D52" s="73">
        <v>47000</v>
      </c>
      <c r="E52" s="73">
        <v>44900</v>
      </c>
      <c r="F52" s="73">
        <v>45800</v>
      </c>
      <c r="G52" s="73">
        <v>46200</v>
      </c>
      <c r="H52" s="75">
        <f t="shared" si="0"/>
        <v>900</v>
      </c>
      <c r="I52" s="75">
        <f t="shared" si="1"/>
        <v>-400</v>
      </c>
      <c r="J52" s="77">
        <f t="shared" si="2"/>
        <v>1.0200445434298442</v>
      </c>
      <c r="K52" s="77">
        <f t="shared" si="3"/>
        <v>0.9913419913419913</v>
      </c>
      <c r="L52" s="78">
        <f t="shared" si="4"/>
        <v>0.98297872340425529</v>
      </c>
      <c r="M52" s="69"/>
    </row>
    <row r="53" spans="1:13" x14ac:dyDescent="0.3">
      <c r="A53" s="76">
        <v>46266</v>
      </c>
      <c r="B53" s="69" t="s">
        <v>292</v>
      </c>
      <c r="C53" s="67" t="str">
        <f>IF(B53="","",IFERROR(INDEX(Projects!$B$5:$B$104,MATCH(B53,Projects!$A$5:$A$104,0)),"?"))</f>
        <v>Pit Dewatering System Upgrade</v>
      </c>
      <c r="D53" s="73">
        <v>150000</v>
      </c>
      <c r="E53" s="73">
        <v>146000</v>
      </c>
      <c r="F53" s="73">
        <v>137100</v>
      </c>
      <c r="G53" s="73">
        <v>141700</v>
      </c>
      <c r="H53" s="75">
        <f t="shared" si="0"/>
        <v>-8900</v>
      </c>
      <c r="I53" s="75">
        <f t="shared" si="1"/>
        <v>-4600</v>
      </c>
      <c r="J53" s="77">
        <f t="shared" si="2"/>
        <v>0.93904109589041096</v>
      </c>
      <c r="K53" s="77">
        <f t="shared" si="3"/>
        <v>0.96753705010585744</v>
      </c>
      <c r="L53" s="78">
        <f t="shared" si="4"/>
        <v>0.94466666666666665</v>
      </c>
      <c r="M53" s="69"/>
    </row>
    <row r="54" spans="1:13" x14ac:dyDescent="0.3">
      <c r="A54" s="76">
        <v>46266</v>
      </c>
      <c r="B54" s="69" t="s">
        <v>345</v>
      </c>
      <c r="C54" s="67" t="str">
        <f>IF(B54="","",IFERROR(INDEX(Projects!$B$5:$B$104,MATCH(B54,Projects!$A$5:$A$104,0)),"?"))</f>
        <v>Camp Accommodation Expansion</v>
      </c>
      <c r="D54" s="73">
        <v>238000</v>
      </c>
      <c r="E54" s="73">
        <v>227300</v>
      </c>
      <c r="F54" s="73">
        <v>225200</v>
      </c>
      <c r="G54" s="73">
        <v>219800</v>
      </c>
      <c r="H54" s="75">
        <f t="shared" si="0"/>
        <v>-2100</v>
      </c>
      <c r="I54" s="75">
        <f t="shared" si="1"/>
        <v>5400</v>
      </c>
      <c r="J54" s="77">
        <f t="shared" si="2"/>
        <v>0.99076110866695999</v>
      </c>
      <c r="K54" s="77">
        <f t="shared" si="3"/>
        <v>1.024567788898999</v>
      </c>
      <c r="L54" s="78">
        <f t="shared" si="4"/>
        <v>0.92352941176470593</v>
      </c>
      <c r="M54" s="69"/>
    </row>
    <row r="55" spans="1:13" x14ac:dyDescent="0.3">
      <c r="A55" s="76">
        <v>46296</v>
      </c>
      <c r="B55" s="69" t="s">
        <v>282</v>
      </c>
      <c r="C55" s="67" t="str">
        <f>IF(B55="","",IFERROR(INDEX(Projects!$B$5:$B$104,MATCH(B55,Projects!$A$5:$A$104,0)),"?"))</f>
        <v>Workshop Extension</v>
      </c>
      <c r="D55" s="73">
        <v>178000</v>
      </c>
      <c r="E55" s="73">
        <v>176500</v>
      </c>
      <c r="F55" s="73">
        <v>164300</v>
      </c>
      <c r="G55" s="73">
        <v>170800</v>
      </c>
      <c r="H55" s="75">
        <f t="shared" si="0"/>
        <v>-12200</v>
      </c>
      <c r="I55" s="75">
        <f t="shared" si="1"/>
        <v>-6500</v>
      </c>
      <c r="J55" s="77">
        <f t="shared" si="2"/>
        <v>0.93087818696883851</v>
      </c>
      <c r="K55" s="77">
        <f t="shared" si="3"/>
        <v>0.96194379391100704</v>
      </c>
      <c r="L55" s="78">
        <f t="shared" si="4"/>
        <v>0.95955056179775278</v>
      </c>
      <c r="M55" s="69"/>
    </row>
    <row r="56" spans="1:13" x14ac:dyDescent="0.3">
      <c r="A56" s="76">
        <v>46296</v>
      </c>
      <c r="B56" s="69" t="s">
        <v>341</v>
      </c>
      <c r="C56" s="67" t="str">
        <f>IF(B56="","",IFERROR(INDEX(Projects!$B$5:$B$104,MATCH(B56,Projects!$A$5:$A$104,0)),"?"))</f>
        <v>ERP Maintenance Module Roll-out</v>
      </c>
      <c r="D56" s="73">
        <v>47000</v>
      </c>
      <c r="E56" s="73">
        <v>46900</v>
      </c>
      <c r="F56" s="73">
        <v>47000</v>
      </c>
      <c r="G56" s="73">
        <v>45100</v>
      </c>
      <c r="H56" s="75">
        <f t="shared" si="0"/>
        <v>100</v>
      </c>
      <c r="I56" s="75">
        <f t="shared" si="1"/>
        <v>1900</v>
      </c>
      <c r="J56" s="77">
        <f t="shared" si="2"/>
        <v>1.0021321961620469</v>
      </c>
      <c r="K56" s="77">
        <f t="shared" si="3"/>
        <v>1.042128603104213</v>
      </c>
      <c r="L56" s="78">
        <f t="shared" si="4"/>
        <v>0.95957446808510638</v>
      </c>
      <c r="M56" s="69"/>
    </row>
    <row r="57" spans="1:13" x14ac:dyDescent="0.3">
      <c r="A57" s="76">
        <v>46296</v>
      </c>
      <c r="B57" s="69" t="s">
        <v>292</v>
      </c>
      <c r="C57" s="67" t="str">
        <f>IF(B57="","",IFERROR(INDEX(Projects!$B$5:$B$104,MATCH(B57,Projects!$A$5:$A$104,0)),"?"))</f>
        <v>Pit Dewatering System Upgrade</v>
      </c>
      <c r="D57" s="73">
        <v>150000</v>
      </c>
      <c r="E57" s="73">
        <v>146600</v>
      </c>
      <c r="F57" s="73">
        <v>133900</v>
      </c>
      <c r="G57" s="73">
        <v>142200</v>
      </c>
      <c r="H57" s="75">
        <f t="shared" si="0"/>
        <v>-12700</v>
      </c>
      <c r="I57" s="75">
        <f t="shared" si="1"/>
        <v>-8300</v>
      </c>
      <c r="J57" s="77">
        <f t="shared" si="2"/>
        <v>0.91336971350613916</v>
      </c>
      <c r="K57" s="77">
        <f t="shared" si="3"/>
        <v>0.94163150492264414</v>
      </c>
      <c r="L57" s="78">
        <f t="shared" si="4"/>
        <v>0.94799999999999995</v>
      </c>
      <c r="M57" s="69"/>
    </row>
    <row r="58" spans="1:13" x14ac:dyDescent="0.3">
      <c r="A58" s="76"/>
      <c r="B58" s="69"/>
      <c r="C58" s="67" t="str">
        <f>IF(B58="","",IFERROR(INDEX(Projects!$B$5:$B$104,MATCH(B58,Projects!$A$5:$A$104,0)),"?"))</f>
        <v/>
      </c>
      <c r="D58" s="73"/>
      <c r="E58" s="73"/>
      <c r="F58" s="73"/>
      <c r="G58" s="73"/>
      <c r="H58" s="75" t="str">
        <f t="shared" si="0"/>
        <v/>
      </c>
      <c r="I58" s="75" t="str">
        <f t="shared" si="1"/>
        <v/>
      </c>
      <c r="J58" s="77" t="str">
        <f t="shared" si="2"/>
        <v/>
      </c>
      <c r="K58" s="77" t="str">
        <f t="shared" si="3"/>
        <v/>
      </c>
      <c r="L58" s="78" t="str">
        <f t="shared" si="4"/>
        <v/>
      </c>
      <c r="M58" s="69"/>
    </row>
    <row r="59" spans="1:13" x14ac:dyDescent="0.3">
      <c r="A59" s="76"/>
      <c r="B59" s="69"/>
      <c r="C59" s="67" t="str">
        <f>IF(B59="","",IFERROR(INDEX(Projects!$B$5:$B$104,MATCH(B59,Projects!$A$5:$A$104,0)),"?"))</f>
        <v/>
      </c>
      <c r="D59" s="73"/>
      <c r="E59" s="73"/>
      <c r="F59" s="73"/>
      <c r="G59" s="73"/>
      <c r="H59" s="75" t="str">
        <f t="shared" si="0"/>
        <v/>
      </c>
      <c r="I59" s="75" t="str">
        <f t="shared" si="1"/>
        <v/>
      </c>
      <c r="J59" s="77" t="str">
        <f t="shared" si="2"/>
        <v/>
      </c>
      <c r="K59" s="77" t="str">
        <f t="shared" si="3"/>
        <v/>
      </c>
      <c r="L59" s="78" t="str">
        <f t="shared" si="4"/>
        <v/>
      </c>
      <c r="M59" s="69"/>
    </row>
    <row r="60" spans="1:13" x14ac:dyDescent="0.3">
      <c r="A60" s="76"/>
      <c r="B60" s="69"/>
      <c r="C60" s="67" t="str">
        <f>IF(B60="","",IFERROR(INDEX(Projects!$B$5:$B$104,MATCH(B60,Projects!$A$5:$A$104,0)),"?"))</f>
        <v/>
      </c>
      <c r="D60" s="73"/>
      <c r="E60" s="73"/>
      <c r="F60" s="73"/>
      <c r="G60" s="73"/>
      <c r="H60" s="75" t="str">
        <f t="shared" si="0"/>
        <v/>
      </c>
      <c r="I60" s="75" t="str">
        <f t="shared" si="1"/>
        <v/>
      </c>
      <c r="J60" s="77" t="str">
        <f t="shared" si="2"/>
        <v/>
      </c>
      <c r="K60" s="77" t="str">
        <f t="shared" si="3"/>
        <v/>
      </c>
      <c r="L60" s="78" t="str">
        <f t="shared" si="4"/>
        <v/>
      </c>
      <c r="M60" s="69"/>
    </row>
    <row r="61" spans="1:13" x14ac:dyDescent="0.3">
      <c r="A61" s="76"/>
      <c r="B61" s="69"/>
      <c r="C61" s="67" t="str">
        <f>IF(B61="","",IFERROR(INDEX(Projects!$B$5:$B$104,MATCH(B61,Projects!$A$5:$A$104,0)),"?"))</f>
        <v/>
      </c>
      <c r="D61" s="73"/>
      <c r="E61" s="73"/>
      <c r="F61" s="73"/>
      <c r="G61" s="73"/>
      <c r="H61" s="75" t="str">
        <f t="shared" si="0"/>
        <v/>
      </c>
      <c r="I61" s="75" t="str">
        <f t="shared" si="1"/>
        <v/>
      </c>
      <c r="J61" s="77" t="str">
        <f t="shared" si="2"/>
        <v/>
      </c>
      <c r="K61" s="77" t="str">
        <f t="shared" si="3"/>
        <v/>
      </c>
      <c r="L61" s="78" t="str">
        <f t="shared" si="4"/>
        <v/>
      </c>
      <c r="M61" s="69"/>
    </row>
    <row r="62" spans="1:13" x14ac:dyDescent="0.3">
      <c r="A62" s="76"/>
      <c r="B62" s="69"/>
      <c r="C62" s="67" t="str">
        <f>IF(B62="","",IFERROR(INDEX(Projects!$B$5:$B$104,MATCH(B62,Projects!$A$5:$A$104,0)),"?"))</f>
        <v/>
      </c>
      <c r="D62" s="73"/>
      <c r="E62" s="73"/>
      <c r="F62" s="73"/>
      <c r="G62" s="73"/>
      <c r="H62" s="75" t="str">
        <f t="shared" si="0"/>
        <v/>
      </c>
      <c r="I62" s="75" t="str">
        <f t="shared" si="1"/>
        <v/>
      </c>
      <c r="J62" s="77" t="str">
        <f t="shared" si="2"/>
        <v/>
      </c>
      <c r="K62" s="77" t="str">
        <f t="shared" si="3"/>
        <v/>
      </c>
      <c r="L62" s="78" t="str">
        <f t="shared" si="4"/>
        <v/>
      </c>
      <c r="M62" s="69"/>
    </row>
    <row r="63" spans="1:13" x14ac:dyDescent="0.3">
      <c r="A63" s="76"/>
      <c r="B63" s="69"/>
      <c r="C63" s="67" t="str">
        <f>IF(B63="","",IFERROR(INDEX(Projects!$B$5:$B$104,MATCH(B63,Projects!$A$5:$A$104,0)),"?"))</f>
        <v/>
      </c>
      <c r="D63" s="73"/>
      <c r="E63" s="73"/>
      <c r="F63" s="73"/>
      <c r="G63" s="73"/>
      <c r="H63" s="75" t="str">
        <f t="shared" si="0"/>
        <v/>
      </c>
      <c r="I63" s="75" t="str">
        <f t="shared" si="1"/>
        <v/>
      </c>
      <c r="J63" s="77" t="str">
        <f t="shared" si="2"/>
        <v/>
      </c>
      <c r="K63" s="77" t="str">
        <f t="shared" si="3"/>
        <v/>
      </c>
      <c r="L63" s="78" t="str">
        <f t="shared" si="4"/>
        <v/>
      </c>
      <c r="M63" s="69"/>
    </row>
    <row r="64" spans="1:13" x14ac:dyDescent="0.3">
      <c r="A64" s="76"/>
      <c r="B64" s="69"/>
      <c r="C64" s="67" t="str">
        <f>IF(B64="","",IFERROR(INDEX(Projects!$B$5:$B$104,MATCH(B64,Projects!$A$5:$A$104,0)),"?"))</f>
        <v/>
      </c>
      <c r="D64" s="73"/>
      <c r="E64" s="73"/>
      <c r="F64" s="73"/>
      <c r="G64" s="73"/>
      <c r="H64" s="75" t="str">
        <f t="shared" si="0"/>
        <v/>
      </c>
      <c r="I64" s="75" t="str">
        <f t="shared" si="1"/>
        <v/>
      </c>
      <c r="J64" s="77" t="str">
        <f t="shared" si="2"/>
        <v/>
      </c>
      <c r="K64" s="77" t="str">
        <f t="shared" si="3"/>
        <v/>
      </c>
      <c r="L64" s="78" t="str">
        <f t="shared" si="4"/>
        <v/>
      </c>
      <c r="M64" s="69"/>
    </row>
    <row r="65" spans="1:13" x14ac:dyDescent="0.3">
      <c r="A65" s="76"/>
      <c r="B65" s="69"/>
      <c r="C65" s="67" t="str">
        <f>IF(B65="","",IFERROR(INDEX(Projects!$B$5:$B$104,MATCH(B65,Projects!$A$5:$A$104,0)),"?"))</f>
        <v/>
      </c>
      <c r="D65" s="73"/>
      <c r="E65" s="73"/>
      <c r="F65" s="73"/>
      <c r="G65" s="73"/>
      <c r="H65" s="75" t="str">
        <f t="shared" si="0"/>
        <v/>
      </c>
      <c r="I65" s="75" t="str">
        <f t="shared" si="1"/>
        <v/>
      </c>
      <c r="J65" s="77" t="str">
        <f t="shared" si="2"/>
        <v/>
      </c>
      <c r="K65" s="77" t="str">
        <f t="shared" si="3"/>
        <v/>
      </c>
      <c r="L65" s="78" t="str">
        <f t="shared" si="4"/>
        <v/>
      </c>
      <c r="M65" s="69"/>
    </row>
    <row r="66" spans="1:13" x14ac:dyDescent="0.3">
      <c r="A66" s="76"/>
      <c r="B66" s="69"/>
      <c r="C66" s="67" t="str">
        <f>IF(B66="","",IFERROR(INDEX(Projects!$B$5:$B$104,MATCH(B66,Projects!$A$5:$A$104,0)),"?"))</f>
        <v/>
      </c>
      <c r="D66" s="73"/>
      <c r="E66" s="73"/>
      <c r="F66" s="73"/>
      <c r="G66" s="73"/>
      <c r="H66" s="75" t="str">
        <f t="shared" si="0"/>
        <v/>
      </c>
      <c r="I66" s="75" t="str">
        <f t="shared" si="1"/>
        <v/>
      </c>
      <c r="J66" s="77" t="str">
        <f t="shared" si="2"/>
        <v/>
      </c>
      <c r="K66" s="77" t="str">
        <f t="shared" si="3"/>
        <v/>
      </c>
      <c r="L66" s="78" t="str">
        <f t="shared" si="4"/>
        <v/>
      </c>
      <c r="M66" s="69"/>
    </row>
    <row r="67" spans="1:13" x14ac:dyDescent="0.3">
      <c r="A67" s="76"/>
      <c r="B67" s="69"/>
      <c r="C67" s="67" t="str">
        <f>IF(B67="","",IFERROR(INDEX(Projects!$B$5:$B$104,MATCH(B67,Projects!$A$5:$A$104,0)),"?"))</f>
        <v/>
      </c>
      <c r="D67" s="73"/>
      <c r="E67" s="73"/>
      <c r="F67" s="73"/>
      <c r="G67" s="73"/>
      <c r="H67" s="75" t="str">
        <f t="shared" si="0"/>
        <v/>
      </c>
      <c r="I67" s="75" t="str">
        <f t="shared" si="1"/>
        <v/>
      </c>
      <c r="J67" s="77" t="str">
        <f t="shared" si="2"/>
        <v/>
      </c>
      <c r="K67" s="77" t="str">
        <f t="shared" si="3"/>
        <v/>
      </c>
      <c r="L67" s="78" t="str">
        <f t="shared" si="4"/>
        <v/>
      </c>
      <c r="M67" s="69"/>
    </row>
    <row r="68" spans="1:13" x14ac:dyDescent="0.3">
      <c r="A68" s="76"/>
      <c r="B68" s="69"/>
      <c r="C68" s="67" t="str">
        <f>IF(B68="","",IFERROR(INDEX(Projects!$B$5:$B$104,MATCH(B68,Projects!$A$5:$A$104,0)),"?"))</f>
        <v/>
      </c>
      <c r="D68" s="73"/>
      <c r="E68" s="73"/>
      <c r="F68" s="73"/>
      <c r="G68" s="73"/>
      <c r="H68" s="75" t="str">
        <f t="shared" si="0"/>
        <v/>
      </c>
      <c r="I68" s="75" t="str">
        <f t="shared" si="1"/>
        <v/>
      </c>
      <c r="J68" s="77" t="str">
        <f t="shared" si="2"/>
        <v/>
      </c>
      <c r="K68" s="77" t="str">
        <f t="shared" si="3"/>
        <v/>
      </c>
      <c r="L68" s="78" t="str">
        <f t="shared" si="4"/>
        <v/>
      </c>
      <c r="M68" s="69"/>
    </row>
    <row r="69" spans="1:13" x14ac:dyDescent="0.3">
      <c r="A69" s="76"/>
      <c r="B69" s="69"/>
      <c r="C69" s="67" t="str">
        <f>IF(B69="","",IFERROR(INDEX(Projects!$B$5:$B$104,MATCH(B69,Projects!$A$5:$A$104,0)),"?"))</f>
        <v/>
      </c>
      <c r="D69" s="73"/>
      <c r="E69" s="73"/>
      <c r="F69" s="73"/>
      <c r="G69" s="73"/>
      <c r="H69" s="75" t="str">
        <f t="shared" ref="H69:H132" si="5">IF(OR(E69="",F69=""),"",F69-E69)</f>
        <v/>
      </c>
      <c r="I69" s="75" t="str">
        <f t="shared" ref="I69:I132" si="6">IF(OR(F69="",G69=""),"",F69-G69)</f>
        <v/>
      </c>
      <c r="J69" s="77" t="str">
        <f t="shared" ref="J69:J132" si="7">IF(OR(E69="",E69=0,F69=""),"",F69/E69)</f>
        <v/>
      </c>
      <c r="K69" s="77" t="str">
        <f t="shared" ref="K69:K132" si="8">IF(OR(G69="",G69=0,F69=""),"",F69/G69)</f>
        <v/>
      </c>
      <c r="L69" s="78" t="str">
        <f t="shared" ref="L69:L132" si="9">IF(OR(D69="",D69=0,G69=""),"",G69/D69)</f>
        <v/>
      </c>
      <c r="M69" s="69"/>
    </row>
    <row r="70" spans="1:13" x14ac:dyDescent="0.3">
      <c r="A70" s="76"/>
      <c r="B70" s="69"/>
      <c r="C70" s="67" t="str">
        <f>IF(B70="","",IFERROR(INDEX(Projects!$B$5:$B$104,MATCH(B70,Projects!$A$5:$A$104,0)),"?"))</f>
        <v/>
      </c>
      <c r="D70" s="73"/>
      <c r="E70" s="73"/>
      <c r="F70" s="73"/>
      <c r="G70" s="73"/>
      <c r="H70" s="75" t="str">
        <f t="shared" si="5"/>
        <v/>
      </c>
      <c r="I70" s="75" t="str">
        <f t="shared" si="6"/>
        <v/>
      </c>
      <c r="J70" s="77" t="str">
        <f t="shared" si="7"/>
        <v/>
      </c>
      <c r="K70" s="77" t="str">
        <f t="shared" si="8"/>
        <v/>
      </c>
      <c r="L70" s="78" t="str">
        <f t="shared" si="9"/>
        <v/>
      </c>
      <c r="M70" s="69"/>
    </row>
    <row r="71" spans="1:13" x14ac:dyDescent="0.3">
      <c r="A71" s="76"/>
      <c r="B71" s="69"/>
      <c r="C71" s="67" t="str">
        <f>IF(B71="","",IFERROR(INDEX(Projects!$B$5:$B$104,MATCH(B71,Projects!$A$5:$A$104,0)),"?"))</f>
        <v/>
      </c>
      <c r="D71" s="73"/>
      <c r="E71" s="73"/>
      <c r="F71" s="73"/>
      <c r="G71" s="73"/>
      <c r="H71" s="75" t="str">
        <f t="shared" si="5"/>
        <v/>
      </c>
      <c r="I71" s="75" t="str">
        <f t="shared" si="6"/>
        <v/>
      </c>
      <c r="J71" s="77" t="str">
        <f t="shared" si="7"/>
        <v/>
      </c>
      <c r="K71" s="77" t="str">
        <f t="shared" si="8"/>
        <v/>
      </c>
      <c r="L71" s="78" t="str">
        <f t="shared" si="9"/>
        <v/>
      </c>
      <c r="M71" s="69"/>
    </row>
    <row r="72" spans="1:13" x14ac:dyDescent="0.3">
      <c r="A72" s="76"/>
      <c r="B72" s="69"/>
      <c r="C72" s="67" t="str">
        <f>IF(B72="","",IFERROR(INDEX(Projects!$B$5:$B$104,MATCH(B72,Projects!$A$5:$A$104,0)),"?"))</f>
        <v/>
      </c>
      <c r="D72" s="73"/>
      <c r="E72" s="73"/>
      <c r="F72" s="73"/>
      <c r="G72" s="73"/>
      <c r="H72" s="75" t="str">
        <f t="shared" si="5"/>
        <v/>
      </c>
      <c r="I72" s="75" t="str">
        <f t="shared" si="6"/>
        <v/>
      </c>
      <c r="J72" s="77" t="str">
        <f t="shared" si="7"/>
        <v/>
      </c>
      <c r="K72" s="77" t="str">
        <f t="shared" si="8"/>
        <v/>
      </c>
      <c r="L72" s="78" t="str">
        <f t="shared" si="9"/>
        <v/>
      </c>
      <c r="M72" s="69"/>
    </row>
    <row r="73" spans="1:13" x14ac:dyDescent="0.3">
      <c r="A73" s="76"/>
      <c r="B73" s="69"/>
      <c r="C73" s="67" t="str">
        <f>IF(B73="","",IFERROR(INDEX(Projects!$B$5:$B$104,MATCH(B73,Projects!$A$5:$A$104,0)),"?"))</f>
        <v/>
      </c>
      <c r="D73" s="73"/>
      <c r="E73" s="73"/>
      <c r="F73" s="73"/>
      <c r="G73" s="73"/>
      <c r="H73" s="75" t="str">
        <f t="shared" si="5"/>
        <v/>
      </c>
      <c r="I73" s="75" t="str">
        <f t="shared" si="6"/>
        <v/>
      </c>
      <c r="J73" s="77" t="str">
        <f t="shared" si="7"/>
        <v/>
      </c>
      <c r="K73" s="77" t="str">
        <f t="shared" si="8"/>
        <v/>
      </c>
      <c r="L73" s="78" t="str">
        <f t="shared" si="9"/>
        <v/>
      </c>
      <c r="M73" s="69"/>
    </row>
    <row r="74" spans="1:13" x14ac:dyDescent="0.3">
      <c r="A74" s="76"/>
      <c r="B74" s="69"/>
      <c r="C74" s="67" t="str">
        <f>IF(B74="","",IFERROR(INDEX(Projects!$B$5:$B$104,MATCH(B74,Projects!$A$5:$A$104,0)),"?"))</f>
        <v/>
      </c>
      <c r="D74" s="73"/>
      <c r="E74" s="73"/>
      <c r="F74" s="73"/>
      <c r="G74" s="73"/>
      <c r="H74" s="75" t="str">
        <f t="shared" si="5"/>
        <v/>
      </c>
      <c r="I74" s="75" t="str">
        <f t="shared" si="6"/>
        <v/>
      </c>
      <c r="J74" s="77" t="str">
        <f t="shared" si="7"/>
        <v/>
      </c>
      <c r="K74" s="77" t="str">
        <f t="shared" si="8"/>
        <v/>
      </c>
      <c r="L74" s="78" t="str">
        <f t="shared" si="9"/>
        <v/>
      </c>
      <c r="M74" s="69"/>
    </row>
    <row r="75" spans="1:13" x14ac:dyDescent="0.3">
      <c r="A75" s="76"/>
      <c r="B75" s="69"/>
      <c r="C75" s="67" t="str">
        <f>IF(B75="","",IFERROR(INDEX(Projects!$B$5:$B$104,MATCH(B75,Projects!$A$5:$A$104,0)),"?"))</f>
        <v/>
      </c>
      <c r="D75" s="73"/>
      <c r="E75" s="73"/>
      <c r="F75" s="73"/>
      <c r="G75" s="73"/>
      <c r="H75" s="75" t="str">
        <f t="shared" si="5"/>
        <v/>
      </c>
      <c r="I75" s="75" t="str">
        <f t="shared" si="6"/>
        <v/>
      </c>
      <c r="J75" s="77" t="str">
        <f t="shared" si="7"/>
        <v/>
      </c>
      <c r="K75" s="77" t="str">
        <f t="shared" si="8"/>
        <v/>
      </c>
      <c r="L75" s="78" t="str">
        <f t="shared" si="9"/>
        <v/>
      </c>
      <c r="M75" s="69"/>
    </row>
    <row r="76" spans="1:13" x14ac:dyDescent="0.3">
      <c r="A76" s="76"/>
      <c r="B76" s="69"/>
      <c r="C76" s="67" t="str">
        <f>IF(B76="","",IFERROR(INDEX(Projects!$B$5:$B$104,MATCH(B76,Projects!$A$5:$A$104,0)),"?"))</f>
        <v/>
      </c>
      <c r="D76" s="73"/>
      <c r="E76" s="73"/>
      <c r="F76" s="73"/>
      <c r="G76" s="73"/>
      <c r="H76" s="75" t="str">
        <f t="shared" si="5"/>
        <v/>
      </c>
      <c r="I76" s="75" t="str">
        <f t="shared" si="6"/>
        <v/>
      </c>
      <c r="J76" s="77" t="str">
        <f t="shared" si="7"/>
        <v/>
      </c>
      <c r="K76" s="77" t="str">
        <f t="shared" si="8"/>
        <v/>
      </c>
      <c r="L76" s="78" t="str">
        <f t="shared" si="9"/>
        <v/>
      </c>
      <c r="M76" s="69"/>
    </row>
    <row r="77" spans="1:13" x14ac:dyDescent="0.3">
      <c r="A77" s="76"/>
      <c r="B77" s="69"/>
      <c r="C77" s="67" t="str">
        <f>IF(B77="","",IFERROR(INDEX(Projects!$B$5:$B$104,MATCH(B77,Projects!$A$5:$A$104,0)),"?"))</f>
        <v/>
      </c>
      <c r="D77" s="73"/>
      <c r="E77" s="73"/>
      <c r="F77" s="73"/>
      <c r="G77" s="73"/>
      <c r="H77" s="75" t="str">
        <f t="shared" si="5"/>
        <v/>
      </c>
      <c r="I77" s="75" t="str">
        <f t="shared" si="6"/>
        <v/>
      </c>
      <c r="J77" s="77" t="str">
        <f t="shared" si="7"/>
        <v/>
      </c>
      <c r="K77" s="77" t="str">
        <f t="shared" si="8"/>
        <v/>
      </c>
      <c r="L77" s="78" t="str">
        <f t="shared" si="9"/>
        <v/>
      </c>
      <c r="M77" s="69"/>
    </row>
    <row r="78" spans="1:13" x14ac:dyDescent="0.3">
      <c r="A78" s="76"/>
      <c r="B78" s="69"/>
      <c r="C78" s="67" t="str">
        <f>IF(B78="","",IFERROR(INDEX(Projects!$B$5:$B$104,MATCH(B78,Projects!$A$5:$A$104,0)),"?"))</f>
        <v/>
      </c>
      <c r="D78" s="73"/>
      <c r="E78" s="73"/>
      <c r="F78" s="73"/>
      <c r="G78" s="73"/>
      <c r="H78" s="75" t="str">
        <f t="shared" si="5"/>
        <v/>
      </c>
      <c r="I78" s="75" t="str">
        <f t="shared" si="6"/>
        <v/>
      </c>
      <c r="J78" s="77" t="str">
        <f t="shared" si="7"/>
        <v/>
      </c>
      <c r="K78" s="77" t="str">
        <f t="shared" si="8"/>
        <v/>
      </c>
      <c r="L78" s="78" t="str">
        <f t="shared" si="9"/>
        <v/>
      </c>
      <c r="M78" s="69"/>
    </row>
    <row r="79" spans="1:13" x14ac:dyDescent="0.3">
      <c r="A79" s="76"/>
      <c r="B79" s="69"/>
      <c r="C79" s="67" t="str">
        <f>IF(B79="","",IFERROR(INDEX(Projects!$B$5:$B$104,MATCH(B79,Projects!$A$5:$A$104,0)),"?"))</f>
        <v/>
      </c>
      <c r="D79" s="73"/>
      <c r="E79" s="73"/>
      <c r="F79" s="73"/>
      <c r="G79" s="73"/>
      <c r="H79" s="75" t="str">
        <f t="shared" si="5"/>
        <v/>
      </c>
      <c r="I79" s="75" t="str">
        <f t="shared" si="6"/>
        <v/>
      </c>
      <c r="J79" s="77" t="str">
        <f t="shared" si="7"/>
        <v/>
      </c>
      <c r="K79" s="77" t="str">
        <f t="shared" si="8"/>
        <v/>
      </c>
      <c r="L79" s="78" t="str">
        <f t="shared" si="9"/>
        <v/>
      </c>
      <c r="M79" s="69"/>
    </row>
    <row r="80" spans="1:13" x14ac:dyDescent="0.3">
      <c r="A80" s="76"/>
      <c r="B80" s="69"/>
      <c r="C80" s="67" t="str">
        <f>IF(B80="","",IFERROR(INDEX(Projects!$B$5:$B$104,MATCH(B80,Projects!$A$5:$A$104,0)),"?"))</f>
        <v/>
      </c>
      <c r="D80" s="73"/>
      <c r="E80" s="73"/>
      <c r="F80" s="73"/>
      <c r="G80" s="73"/>
      <c r="H80" s="75" t="str">
        <f t="shared" si="5"/>
        <v/>
      </c>
      <c r="I80" s="75" t="str">
        <f t="shared" si="6"/>
        <v/>
      </c>
      <c r="J80" s="77" t="str">
        <f t="shared" si="7"/>
        <v/>
      </c>
      <c r="K80" s="77" t="str">
        <f t="shared" si="8"/>
        <v/>
      </c>
      <c r="L80" s="78" t="str">
        <f t="shared" si="9"/>
        <v/>
      </c>
      <c r="M80" s="69"/>
    </row>
    <row r="81" spans="1:13" x14ac:dyDescent="0.3">
      <c r="A81" s="76"/>
      <c r="B81" s="69"/>
      <c r="C81" s="67" t="str">
        <f>IF(B81="","",IFERROR(INDEX(Projects!$B$5:$B$104,MATCH(B81,Projects!$A$5:$A$104,0)),"?"))</f>
        <v/>
      </c>
      <c r="D81" s="73"/>
      <c r="E81" s="73"/>
      <c r="F81" s="73"/>
      <c r="G81" s="73"/>
      <c r="H81" s="75" t="str">
        <f t="shared" si="5"/>
        <v/>
      </c>
      <c r="I81" s="75" t="str">
        <f t="shared" si="6"/>
        <v/>
      </c>
      <c r="J81" s="77" t="str">
        <f t="shared" si="7"/>
        <v/>
      </c>
      <c r="K81" s="77" t="str">
        <f t="shared" si="8"/>
        <v/>
      </c>
      <c r="L81" s="78" t="str">
        <f t="shared" si="9"/>
        <v/>
      </c>
      <c r="M81" s="69"/>
    </row>
    <row r="82" spans="1:13" x14ac:dyDescent="0.3">
      <c r="A82" s="76"/>
      <c r="B82" s="69"/>
      <c r="C82" s="67" t="str">
        <f>IF(B82="","",IFERROR(INDEX(Projects!$B$5:$B$104,MATCH(B82,Projects!$A$5:$A$104,0)),"?"))</f>
        <v/>
      </c>
      <c r="D82" s="73"/>
      <c r="E82" s="73"/>
      <c r="F82" s="73"/>
      <c r="G82" s="73"/>
      <c r="H82" s="75" t="str">
        <f t="shared" si="5"/>
        <v/>
      </c>
      <c r="I82" s="75" t="str">
        <f t="shared" si="6"/>
        <v/>
      </c>
      <c r="J82" s="77" t="str">
        <f t="shared" si="7"/>
        <v/>
      </c>
      <c r="K82" s="77" t="str">
        <f t="shared" si="8"/>
        <v/>
      </c>
      <c r="L82" s="78" t="str">
        <f t="shared" si="9"/>
        <v/>
      </c>
      <c r="M82" s="69"/>
    </row>
    <row r="83" spans="1:13" x14ac:dyDescent="0.3">
      <c r="A83" s="76"/>
      <c r="B83" s="69"/>
      <c r="C83" s="67" t="str">
        <f>IF(B83="","",IFERROR(INDEX(Projects!$B$5:$B$104,MATCH(B83,Projects!$A$5:$A$104,0)),"?"))</f>
        <v/>
      </c>
      <c r="D83" s="73"/>
      <c r="E83" s="73"/>
      <c r="F83" s="73"/>
      <c r="G83" s="73"/>
      <c r="H83" s="75" t="str">
        <f t="shared" si="5"/>
        <v/>
      </c>
      <c r="I83" s="75" t="str">
        <f t="shared" si="6"/>
        <v/>
      </c>
      <c r="J83" s="77" t="str">
        <f t="shared" si="7"/>
        <v/>
      </c>
      <c r="K83" s="77" t="str">
        <f t="shared" si="8"/>
        <v/>
      </c>
      <c r="L83" s="78" t="str">
        <f t="shared" si="9"/>
        <v/>
      </c>
      <c r="M83" s="69"/>
    </row>
    <row r="84" spans="1:13" x14ac:dyDescent="0.3">
      <c r="A84" s="76"/>
      <c r="B84" s="69"/>
      <c r="C84" s="67" t="str">
        <f>IF(B84="","",IFERROR(INDEX(Projects!$B$5:$B$104,MATCH(B84,Projects!$A$5:$A$104,0)),"?"))</f>
        <v/>
      </c>
      <c r="D84" s="73"/>
      <c r="E84" s="73"/>
      <c r="F84" s="73"/>
      <c r="G84" s="73"/>
      <c r="H84" s="75" t="str">
        <f t="shared" si="5"/>
        <v/>
      </c>
      <c r="I84" s="75" t="str">
        <f t="shared" si="6"/>
        <v/>
      </c>
      <c r="J84" s="77" t="str">
        <f t="shared" si="7"/>
        <v/>
      </c>
      <c r="K84" s="77" t="str">
        <f t="shared" si="8"/>
        <v/>
      </c>
      <c r="L84" s="78" t="str">
        <f t="shared" si="9"/>
        <v/>
      </c>
      <c r="M84" s="69"/>
    </row>
    <row r="85" spans="1:13" x14ac:dyDescent="0.3">
      <c r="A85" s="76"/>
      <c r="B85" s="69"/>
      <c r="C85" s="67" t="str">
        <f>IF(B85="","",IFERROR(INDEX(Projects!$B$5:$B$104,MATCH(B85,Projects!$A$5:$A$104,0)),"?"))</f>
        <v/>
      </c>
      <c r="D85" s="73"/>
      <c r="E85" s="73"/>
      <c r="F85" s="73"/>
      <c r="G85" s="73"/>
      <c r="H85" s="75" t="str">
        <f t="shared" si="5"/>
        <v/>
      </c>
      <c r="I85" s="75" t="str">
        <f t="shared" si="6"/>
        <v/>
      </c>
      <c r="J85" s="77" t="str">
        <f t="shared" si="7"/>
        <v/>
      </c>
      <c r="K85" s="77" t="str">
        <f t="shared" si="8"/>
        <v/>
      </c>
      <c r="L85" s="78" t="str">
        <f t="shared" si="9"/>
        <v/>
      </c>
      <c r="M85" s="69"/>
    </row>
    <row r="86" spans="1:13" x14ac:dyDescent="0.3">
      <c r="A86" s="76"/>
      <c r="B86" s="69"/>
      <c r="C86" s="67" t="str">
        <f>IF(B86="","",IFERROR(INDEX(Projects!$B$5:$B$104,MATCH(B86,Projects!$A$5:$A$104,0)),"?"))</f>
        <v/>
      </c>
      <c r="D86" s="73"/>
      <c r="E86" s="73"/>
      <c r="F86" s="73"/>
      <c r="G86" s="73"/>
      <c r="H86" s="75" t="str">
        <f t="shared" si="5"/>
        <v/>
      </c>
      <c r="I86" s="75" t="str">
        <f t="shared" si="6"/>
        <v/>
      </c>
      <c r="J86" s="77" t="str">
        <f t="shared" si="7"/>
        <v/>
      </c>
      <c r="K86" s="77" t="str">
        <f t="shared" si="8"/>
        <v/>
      </c>
      <c r="L86" s="78" t="str">
        <f t="shared" si="9"/>
        <v/>
      </c>
      <c r="M86" s="69"/>
    </row>
    <row r="87" spans="1:13" x14ac:dyDescent="0.3">
      <c r="A87" s="76"/>
      <c r="B87" s="69"/>
      <c r="C87" s="67" t="str">
        <f>IF(B87="","",IFERROR(INDEX(Projects!$B$5:$B$104,MATCH(B87,Projects!$A$5:$A$104,0)),"?"))</f>
        <v/>
      </c>
      <c r="D87" s="73"/>
      <c r="E87" s="73"/>
      <c r="F87" s="73"/>
      <c r="G87" s="73"/>
      <c r="H87" s="75" t="str">
        <f t="shared" si="5"/>
        <v/>
      </c>
      <c r="I87" s="75" t="str">
        <f t="shared" si="6"/>
        <v/>
      </c>
      <c r="J87" s="77" t="str">
        <f t="shared" si="7"/>
        <v/>
      </c>
      <c r="K87" s="77" t="str">
        <f t="shared" si="8"/>
        <v/>
      </c>
      <c r="L87" s="78" t="str">
        <f t="shared" si="9"/>
        <v/>
      </c>
      <c r="M87" s="69"/>
    </row>
    <row r="88" spans="1:13" x14ac:dyDescent="0.3">
      <c r="A88" s="76"/>
      <c r="B88" s="69"/>
      <c r="C88" s="67" t="str">
        <f>IF(B88="","",IFERROR(INDEX(Projects!$B$5:$B$104,MATCH(B88,Projects!$A$5:$A$104,0)),"?"))</f>
        <v/>
      </c>
      <c r="D88" s="73"/>
      <c r="E88" s="73"/>
      <c r="F88" s="73"/>
      <c r="G88" s="73"/>
      <c r="H88" s="75" t="str">
        <f t="shared" si="5"/>
        <v/>
      </c>
      <c r="I88" s="75" t="str">
        <f t="shared" si="6"/>
        <v/>
      </c>
      <c r="J88" s="77" t="str">
        <f t="shared" si="7"/>
        <v/>
      </c>
      <c r="K88" s="77" t="str">
        <f t="shared" si="8"/>
        <v/>
      </c>
      <c r="L88" s="78" t="str">
        <f t="shared" si="9"/>
        <v/>
      </c>
      <c r="M88" s="69"/>
    </row>
    <row r="89" spans="1:13" x14ac:dyDescent="0.3">
      <c r="A89" s="76"/>
      <c r="B89" s="69"/>
      <c r="C89" s="67" t="str">
        <f>IF(B89="","",IFERROR(INDEX(Projects!$B$5:$B$104,MATCH(B89,Projects!$A$5:$A$104,0)),"?"))</f>
        <v/>
      </c>
      <c r="D89" s="73"/>
      <c r="E89" s="73"/>
      <c r="F89" s="73"/>
      <c r="G89" s="73"/>
      <c r="H89" s="75" t="str">
        <f t="shared" si="5"/>
        <v/>
      </c>
      <c r="I89" s="75" t="str">
        <f t="shared" si="6"/>
        <v/>
      </c>
      <c r="J89" s="77" t="str">
        <f t="shared" si="7"/>
        <v/>
      </c>
      <c r="K89" s="77" t="str">
        <f t="shared" si="8"/>
        <v/>
      </c>
      <c r="L89" s="78" t="str">
        <f t="shared" si="9"/>
        <v/>
      </c>
      <c r="M89" s="69"/>
    </row>
    <row r="90" spans="1:13" x14ac:dyDescent="0.3">
      <c r="A90" s="76"/>
      <c r="B90" s="69"/>
      <c r="C90" s="67" t="str">
        <f>IF(B90="","",IFERROR(INDEX(Projects!$B$5:$B$104,MATCH(B90,Projects!$A$5:$A$104,0)),"?"))</f>
        <v/>
      </c>
      <c r="D90" s="73"/>
      <c r="E90" s="73"/>
      <c r="F90" s="73"/>
      <c r="G90" s="73"/>
      <c r="H90" s="75" t="str">
        <f t="shared" si="5"/>
        <v/>
      </c>
      <c r="I90" s="75" t="str">
        <f t="shared" si="6"/>
        <v/>
      </c>
      <c r="J90" s="77" t="str">
        <f t="shared" si="7"/>
        <v/>
      </c>
      <c r="K90" s="77" t="str">
        <f t="shared" si="8"/>
        <v/>
      </c>
      <c r="L90" s="78" t="str">
        <f t="shared" si="9"/>
        <v/>
      </c>
      <c r="M90" s="69"/>
    </row>
    <row r="91" spans="1:13" x14ac:dyDescent="0.3">
      <c r="A91" s="76"/>
      <c r="B91" s="69"/>
      <c r="C91" s="67" t="str">
        <f>IF(B91="","",IFERROR(INDEX(Projects!$B$5:$B$104,MATCH(B91,Projects!$A$5:$A$104,0)),"?"))</f>
        <v/>
      </c>
      <c r="D91" s="73"/>
      <c r="E91" s="73"/>
      <c r="F91" s="73"/>
      <c r="G91" s="73"/>
      <c r="H91" s="75" t="str">
        <f t="shared" si="5"/>
        <v/>
      </c>
      <c r="I91" s="75" t="str">
        <f t="shared" si="6"/>
        <v/>
      </c>
      <c r="J91" s="77" t="str">
        <f t="shared" si="7"/>
        <v/>
      </c>
      <c r="K91" s="77" t="str">
        <f t="shared" si="8"/>
        <v/>
      </c>
      <c r="L91" s="78" t="str">
        <f t="shared" si="9"/>
        <v/>
      </c>
      <c r="M91" s="69"/>
    </row>
    <row r="92" spans="1:13" x14ac:dyDescent="0.3">
      <c r="A92" s="76"/>
      <c r="B92" s="69"/>
      <c r="C92" s="67" t="str">
        <f>IF(B92="","",IFERROR(INDEX(Projects!$B$5:$B$104,MATCH(B92,Projects!$A$5:$A$104,0)),"?"))</f>
        <v/>
      </c>
      <c r="D92" s="73"/>
      <c r="E92" s="73"/>
      <c r="F92" s="73"/>
      <c r="G92" s="73"/>
      <c r="H92" s="75" t="str">
        <f t="shared" si="5"/>
        <v/>
      </c>
      <c r="I92" s="75" t="str">
        <f t="shared" si="6"/>
        <v/>
      </c>
      <c r="J92" s="77" t="str">
        <f t="shared" si="7"/>
        <v/>
      </c>
      <c r="K92" s="77" t="str">
        <f t="shared" si="8"/>
        <v/>
      </c>
      <c r="L92" s="78" t="str">
        <f t="shared" si="9"/>
        <v/>
      </c>
      <c r="M92" s="69"/>
    </row>
    <row r="93" spans="1:13" x14ac:dyDescent="0.3">
      <c r="A93" s="76"/>
      <c r="B93" s="69"/>
      <c r="C93" s="67" t="str">
        <f>IF(B93="","",IFERROR(INDEX(Projects!$B$5:$B$104,MATCH(B93,Projects!$A$5:$A$104,0)),"?"))</f>
        <v/>
      </c>
      <c r="D93" s="73"/>
      <c r="E93" s="73"/>
      <c r="F93" s="73"/>
      <c r="G93" s="73"/>
      <c r="H93" s="75" t="str">
        <f t="shared" si="5"/>
        <v/>
      </c>
      <c r="I93" s="75" t="str">
        <f t="shared" si="6"/>
        <v/>
      </c>
      <c r="J93" s="77" t="str">
        <f t="shared" si="7"/>
        <v/>
      </c>
      <c r="K93" s="77" t="str">
        <f t="shared" si="8"/>
        <v/>
      </c>
      <c r="L93" s="78" t="str">
        <f t="shared" si="9"/>
        <v/>
      </c>
      <c r="M93" s="69"/>
    </row>
    <row r="94" spans="1:13" x14ac:dyDescent="0.3">
      <c r="A94" s="76"/>
      <c r="B94" s="69"/>
      <c r="C94" s="67" t="str">
        <f>IF(B94="","",IFERROR(INDEX(Projects!$B$5:$B$104,MATCH(B94,Projects!$A$5:$A$104,0)),"?"))</f>
        <v/>
      </c>
      <c r="D94" s="73"/>
      <c r="E94" s="73"/>
      <c r="F94" s="73"/>
      <c r="G94" s="73"/>
      <c r="H94" s="75" t="str">
        <f t="shared" si="5"/>
        <v/>
      </c>
      <c r="I94" s="75" t="str">
        <f t="shared" si="6"/>
        <v/>
      </c>
      <c r="J94" s="77" t="str">
        <f t="shared" si="7"/>
        <v/>
      </c>
      <c r="K94" s="77" t="str">
        <f t="shared" si="8"/>
        <v/>
      </c>
      <c r="L94" s="78" t="str">
        <f t="shared" si="9"/>
        <v/>
      </c>
      <c r="M94" s="69"/>
    </row>
    <row r="95" spans="1:13" x14ac:dyDescent="0.3">
      <c r="A95" s="76"/>
      <c r="B95" s="69"/>
      <c r="C95" s="67" t="str">
        <f>IF(B95="","",IFERROR(INDEX(Projects!$B$5:$B$104,MATCH(B95,Projects!$A$5:$A$104,0)),"?"))</f>
        <v/>
      </c>
      <c r="D95" s="73"/>
      <c r="E95" s="73"/>
      <c r="F95" s="73"/>
      <c r="G95" s="73"/>
      <c r="H95" s="75" t="str">
        <f t="shared" si="5"/>
        <v/>
      </c>
      <c r="I95" s="75" t="str">
        <f t="shared" si="6"/>
        <v/>
      </c>
      <c r="J95" s="77" t="str">
        <f t="shared" si="7"/>
        <v/>
      </c>
      <c r="K95" s="77" t="str">
        <f t="shared" si="8"/>
        <v/>
      </c>
      <c r="L95" s="78" t="str">
        <f t="shared" si="9"/>
        <v/>
      </c>
      <c r="M95" s="69"/>
    </row>
    <row r="96" spans="1:13" x14ac:dyDescent="0.3">
      <c r="A96" s="76"/>
      <c r="B96" s="69"/>
      <c r="C96" s="67" t="str">
        <f>IF(B96="","",IFERROR(INDEX(Projects!$B$5:$B$104,MATCH(B96,Projects!$A$5:$A$104,0)),"?"))</f>
        <v/>
      </c>
      <c r="D96" s="73"/>
      <c r="E96" s="73"/>
      <c r="F96" s="73"/>
      <c r="G96" s="73"/>
      <c r="H96" s="75" t="str">
        <f t="shared" si="5"/>
        <v/>
      </c>
      <c r="I96" s="75" t="str">
        <f t="shared" si="6"/>
        <v/>
      </c>
      <c r="J96" s="77" t="str">
        <f t="shared" si="7"/>
        <v/>
      </c>
      <c r="K96" s="77" t="str">
        <f t="shared" si="8"/>
        <v/>
      </c>
      <c r="L96" s="78" t="str">
        <f t="shared" si="9"/>
        <v/>
      </c>
      <c r="M96" s="69"/>
    </row>
    <row r="97" spans="1:13" x14ac:dyDescent="0.3">
      <c r="A97" s="76"/>
      <c r="B97" s="69"/>
      <c r="C97" s="67" t="str">
        <f>IF(B97="","",IFERROR(INDEX(Projects!$B$5:$B$104,MATCH(B97,Projects!$A$5:$A$104,0)),"?"))</f>
        <v/>
      </c>
      <c r="D97" s="73"/>
      <c r="E97" s="73"/>
      <c r="F97" s="73"/>
      <c r="G97" s="73"/>
      <c r="H97" s="75" t="str">
        <f t="shared" si="5"/>
        <v/>
      </c>
      <c r="I97" s="75" t="str">
        <f t="shared" si="6"/>
        <v/>
      </c>
      <c r="J97" s="77" t="str">
        <f t="shared" si="7"/>
        <v/>
      </c>
      <c r="K97" s="77" t="str">
        <f t="shared" si="8"/>
        <v/>
      </c>
      <c r="L97" s="78" t="str">
        <f t="shared" si="9"/>
        <v/>
      </c>
      <c r="M97" s="69"/>
    </row>
    <row r="98" spans="1:13" x14ac:dyDescent="0.3">
      <c r="A98" s="76"/>
      <c r="B98" s="69"/>
      <c r="C98" s="67" t="str">
        <f>IF(B98="","",IFERROR(INDEX(Projects!$B$5:$B$104,MATCH(B98,Projects!$A$5:$A$104,0)),"?"))</f>
        <v/>
      </c>
      <c r="D98" s="73"/>
      <c r="E98" s="73"/>
      <c r="F98" s="73"/>
      <c r="G98" s="73"/>
      <c r="H98" s="75" t="str">
        <f t="shared" si="5"/>
        <v/>
      </c>
      <c r="I98" s="75" t="str">
        <f t="shared" si="6"/>
        <v/>
      </c>
      <c r="J98" s="77" t="str">
        <f t="shared" si="7"/>
        <v/>
      </c>
      <c r="K98" s="77" t="str">
        <f t="shared" si="8"/>
        <v/>
      </c>
      <c r="L98" s="78" t="str">
        <f t="shared" si="9"/>
        <v/>
      </c>
      <c r="M98" s="69"/>
    </row>
    <row r="99" spans="1:13" x14ac:dyDescent="0.3">
      <c r="A99" s="76"/>
      <c r="B99" s="69"/>
      <c r="C99" s="67" t="str">
        <f>IF(B99="","",IFERROR(INDEX(Projects!$B$5:$B$104,MATCH(B99,Projects!$A$5:$A$104,0)),"?"))</f>
        <v/>
      </c>
      <c r="D99" s="73"/>
      <c r="E99" s="73"/>
      <c r="F99" s="73"/>
      <c r="G99" s="73"/>
      <c r="H99" s="75" t="str">
        <f t="shared" si="5"/>
        <v/>
      </c>
      <c r="I99" s="75" t="str">
        <f t="shared" si="6"/>
        <v/>
      </c>
      <c r="J99" s="77" t="str">
        <f t="shared" si="7"/>
        <v/>
      </c>
      <c r="K99" s="77" t="str">
        <f t="shared" si="8"/>
        <v/>
      </c>
      <c r="L99" s="78" t="str">
        <f t="shared" si="9"/>
        <v/>
      </c>
      <c r="M99" s="69"/>
    </row>
    <row r="100" spans="1:13" x14ac:dyDescent="0.3">
      <c r="A100" s="76"/>
      <c r="B100" s="69"/>
      <c r="C100" s="67" t="str">
        <f>IF(B100="","",IFERROR(INDEX(Projects!$B$5:$B$104,MATCH(B100,Projects!$A$5:$A$104,0)),"?"))</f>
        <v/>
      </c>
      <c r="D100" s="73"/>
      <c r="E100" s="73"/>
      <c r="F100" s="73"/>
      <c r="G100" s="73"/>
      <c r="H100" s="75" t="str">
        <f t="shared" si="5"/>
        <v/>
      </c>
      <c r="I100" s="75" t="str">
        <f t="shared" si="6"/>
        <v/>
      </c>
      <c r="J100" s="77" t="str">
        <f t="shared" si="7"/>
        <v/>
      </c>
      <c r="K100" s="77" t="str">
        <f t="shared" si="8"/>
        <v/>
      </c>
      <c r="L100" s="78" t="str">
        <f t="shared" si="9"/>
        <v/>
      </c>
      <c r="M100" s="69"/>
    </row>
    <row r="101" spans="1:13" x14ac:dyDescent="0.3">
      <c r="A101" s="76"/>
      <c r="B101" s="69"/>
      <c r="C101" s="67" t="str">
        <f>IF(B101="","",IFERROR(INDEX(Projects!$B$5:$B$104,MATCH(B101,Projects!$A$5:$A$104,0)),"?"))</f>
        <v/>
      </c>
      <c r="D101" s="73"/>
      <c r="E101" s="73"/>
      <c r="F101" s="73"/>
      <c r="G101" s="73"/>
      <c r="H101" s="75" t="str">
        <f t="shared" si="5"/>
        <v/>
      </c>
      <c r="I101" s="75" t="str">
        <f t="shared" si="6"/>
        <v/>
      </c>
      <c r="J101" s="77" t="str">
        <f t="shared" si="7"/>
        <v/>
      </c>
      <c r="K101" s="77" t="str">
        <f t="shared" si="8"/>
        <v/>
      </c>
      <c r="L101" s="78" t="str">
        <f t="shared" si="9"/>
        <v/>
      </c>
      <c r="M101" s="69"/>
    </row>
    <row r="102" spans="1:13" x14ac:dyDescent="0.3">
      <c r="A102" s="76"/>
      <c r="B102" s="69"/>
      <c r="C102" s="67" t="str">
        <f>IF(B102="","",IFERROR(INDEX(Projects!$B$5:$B$104,MATCH(B102,Projects!$A$5:$A$104,0)),"?"))</f>
        <v/>
      </c>
      <c r="D102" s="73"/>
      <c r="E102" s="73"/>
      <c r="F102" s="73"/>
      <c r="G102" s="73"/>
      <c r="H102" s="75" t="str">
        <f t="shared" si="5"/>
        <v/>
      </c>
      <c r="I102" s="75" t="str">
        <f t="shared" si="6"/>
        <v/>
      </c>
      <c r="J102" s="77" t="str">
        <f t="shared" si="7"/>
        <v/>
      </c>
      <c r="K102" s="77" t="str">
        <f t="shared" si="8"/>
        <v/>
      </c>
      <c r="L102" s="78" t="str">
        <f t="shared" si="9"/>
        <v/>
      </c>
      <c r="M102" s="69"/>
    </row>
    <row r="103" spans="1:13" x14ac:dyDescent="0.3">
      <c r="A103" s="76"/>
      <c r="B103" s="69"/>
      <c r="C103" s="67" t="str">
        <f>IF(B103="","",IFERROR(INDEX(Projects!$B$5:$B$104,MATCH(B103,Projects!$A$5:$A$104,0)),"?"))</f>
        <v/>
      </c>
      <c r="D103" s="73"/>
      <c r="E103" s="73"/>
      <c r="F103" s="73"/>
      <c r="G103" s="73"/>
      <c r="H103" s="75" t="str">
        <f t="shared" si="5"/>
        <v/>
      </c>
      <c r="I103" s="75" t="str">
        <f t="shared" si="6"/>
        <v/>
      </c>
      <c r="J103" s="77" t="str">
        <f t="shared" si="7"/>
        <v/>
      </c>
      <c r="K103" s="77" t="str">
        <f t="shared" si="8"/>
        <v/>
      </c>
      <c r="L103" s="78" t="str">
        <f t="shared" si="9"/>
        <v/>
      </c>
      <c r="M103" s="69"/>
    </row>
    <row r="104" spans="1:13" x14ac:dyDescent="0.3">
      <c r="A104" s="76"/>
      <c r="B104" s="69"/>
      <c r="C104" s="67" t="str">
        <f>IF(B104="","",IFERROR(INDEX(Projects!$B$5:$B$104,MATCH(B104,Projects!$A$5:$A$104,0)),"?"))</f>
        <v/>
      </c>
      <c r="D104" s="73"/>
      <c r="E104" s="73"/>
      <c r="F104" s="73"/>
      <c r="G104" s="73"/>
      <c r="H104" s="75" t="str">
        <f t="shared" si="5"/>
        <v/>
      </c>
      <c r="I104" s="75" t="str">
        <f t="shared" si="6"/>
        <v/>
      </c>
      <c r="J104" s="77" t="str">
        <f t="shared" si="7"/>
        <v/>
      </c>
      <c r="K104" s="77" t="str">
        <f t="shared" si="8"/>
        <v/>
      </c>
      <c r="L104" s="78" t="str">
        <f t="shared" si="9"/>
        <v/>
      </c>
      <c r="M104" s="69"/>
    </row>
    <row r="105" spans="1:13" x14ac:dyDescent="0.3">
      <c r="A105" s="76"/>
      <c r="B105" s="69"/>
      <c r="C105" s="67" t="str">
        <f>IF(B105="","",IFERROR(INDEX(Projects!$B$5:$B$104,MATCH(B105,Projects!$A$5:$A$104,0)),"?"))</f>
        <v/>
      </c>
      <c r="D105" s="73"/>
      <c r="E105" s="73"/>
      <c r="F105" s="73"/>
      <c r="G105" s="73"/>
      <c r="H105" s="75" t="str">
        <f t="shared" si="5"/>
        <v/>
      </c>
      <c r="I105" s="75" t="str">
        <f t="shared" si="6"/>
        <v/>
      </c>
      <c r="J105" s="77" t="str">
        <f t="shared" si="7"/>
        <v/>
      </c>
      <c r="K105" s="77" t="str">
        <f t="shared" si="8"/>
        <v/>
      </c>
      <c r="L105" s="78" t="str">
        <f t="shared" si="9"/>
        <v/>
      </c>
      <c r="M105" s="69"/>
    </row>
    <row r="106" spans="1:13" x14ac:dyDescent="0.3">
      <c r="A106" s="76"/>
      <c r="B106" s="69"/>
      <c r="C106" s="67" t="str">
        <f>IF(B106="","",IFERROR(INDEX(Projects!$B$5:$B$104,MATCH(B106,Projects!$A$5:$A$104,0)),"?"))</f>
        <v/>
      </c>
      <c r="D106" s="73"/>
      <c r="E106" s="73"/>
      <c r="F106" s="73"/>
      <c r="G106" s="73"/>
      <c r="H106" s="75" t="str">
        <f t="shared" si="5"/>
        <v/>
      </c>
      <c r="I106" s="75" t="str">
        <f t="shared" si="6"/>
        <v/>
      </c>
      <c r="J106" s="77" t="str">
        <f t="shared" si="7"/>
        <v/>
      </c>
      <c r="K106" s="77" t="str">
        <f t="shared" si="8"/>
        <v/>
      </c>
      <c r="L106" s="78" t="str">
        <f t="shared" si="9"/>
        <v/>
      </c>
      <c r="M106" s="69"/>
    </row>
    <row r="107" spans="1:13" x14ac:dyDescent="0.3">
      <c r="A107" s="76"/>
      <c r="B107" s="69"/>
      <c r="C107" s="67" t="str">
        <f>IF(B107="","",IFERROR(INDEX(Projects!$B$5:$B$104,MATCH(B107,Projects!$A$5:$A$104,0)),"?"))</f>
        <v/>
      </c>
      <c r="D107" s="73"/>
      <c r="E107" s="73"/>
      <c r="F107" s="73"/>
      <c r="G107" s="73"/>
      <c r="H107" s="75" t="str">
        <f t="shared" si="5"/>
        <v/>
      </c>
      <c r="I107" s="75" t="str">
        <f t="shared" si="6"/>
        <v/>
      </c>
      <c r="J107" s="77" t="str">
        <f t="shared" si="7"/>
        <v/>
      </c>
      <c r="K107" s="77" t="str">
        <f t="shared" si="8"/>
        <v/>
      </c>
      <c r="L107" s="78" t="str">
        <f t="shared" si="9"/>
        <v/>
      </c>
      <c r="M107" s="69"/>
    </row>
    <row r="108" spans="1:13" x14ac:dyDescent="0.3">
      <c r="A108" s="76"/>
      <c r="B108" s="69"/>
      <c r="C108" s="67" t="str">
        <f>IF(B108="","",IFERROR(INDEX(Projects!$B$5:$B$104,MATCH(B108,Projects!$A$5:$A$104,0)),"?"))</f>
        <v/>
      </c>
      <c r="D108" s="73"/>
      <c r="E108" s="73"/>
      <c r="F108" s="73"/>
      <c r="G108" s="73"/>
      <c r="H108" s="75" t="str">
        <f t="shared" si="5"/>
        <v/>
      </c>
      <c r="I108" s="75" t="str">
        <f t="shared" si="6"/>
        <v/>
      </c>
      <c r="J108" s="77" t="str">
        <f t="shared" si="7"/>
        <v/>
      </c>
      <c r="K108" s="77" t="str">
        <f t="shared" si="8"/>
        <v/>
      </c>
      <c r="L108" s="78" t="str">
        <f t="shared" si="9"/>
        <v/>
      </c>
      <c r="M108" s="69"/>
    </row>
    <row r="109" spans="1:13" x14ac:dyDescent="0.3">
      <c r="A109" s="76"/>
      <c r="B109" s="69"/>
      <c r="C109" s="67" t="str">
        <f>IF(B109="","",IFERROR(INDEX(Projects!$B$5:$B$104,MATCH(B109,Projects!$A$5:$A$104,0)),"?"))</f>
        <v/>
      </c>
      <c r="D109" s="73"/>
      <c r="E109" s="73"/>
      <c r="F109" s="73"/>
      <c r="G109" s="73"/>
      <c r="H109" s="75" t="str">
        <f t="shared" si="5"/>
        <v/>
      </c>
      <c r="I109" s="75" t="str">
        <f t="shared" si="6"/>
        <v/>
      </c>
      <c r="J109" s="77" t="str">
        <f t="shared" si="7"/>
        <v/>
      </c>
      <c r="K109" s="77" t="str">
        <f t="shared" si="8"/>
        <v/>
      </c>
      <c r="L109" s="78" t="str">
        <f t="shared" si="9"/>
        <v/>
      </c>
      <c r="M109" s="69"/>
    </row>
    <row r="110" spans="1:13" x14ac:dyDescent="0.3">
      <c r="A110" s="76"/>
      <c r="B110" s="69"/>
      <c r="C110" s="67" t="str">
        <f>IF(B110="","",IFERROR(INDEX(Projects!$B$5:$B$104,MATCH(B110,Projects!$A$5:$A$104,0)),"?"))</f>
        <v/>
      </c>
      <c r="D110" s="73"/>
      <c r="E110" s="73"/>
      <c r="F110" s="73"/>
      <c r="G110" s="73"/>
      <c r="H110" s="75" t="str">
        <f t="shared" si="5"/>
        <v/>
      </c>
      <c r="I110" s="75" t="str">
        <f t="shared" si="6"/>
        <v/>
      </c>
      <c r="J110" s="77" t="str">
        <f t="shared" si="7"/>
        <v/>
      </c>
      <c r="K110" s="77" t="str">
        <f t="shared" si="8"/>
        <v/>
      </c>
      <c r="L110" s="78" t="str">
        <f t="shared" si="9"/>
        <v/>
      </c>
      <c r="M110" s="69"/>
    </row>
    <row r="111" spans="1:13" x14ac:dyDescent="0.3">
      <c r="A111" s="76"/>
      <c r="B111" s="69"/>
      <c r="C111" s="67" t="str">
        <f>IF(B111="","",IFERROR(INDEX(Projects!$B$5:$B$104,MATCH(B111,Projects!$A$5:$A$104,0)),"?"))</f>
        <v/>
      </c>
      <c r="D111" s="73"/>
      <c r="E111" s="73"/>
      <c r="F111" s="73"/>
      <c r="G111" s="73"/>
      <c r="H111" s="75" t="str">
        <f t="shared" si="5"/>
        <v/>
      </c>
      <c r="I111" s="75" t="str">
        <f t="shared" si="6"/>
        <v/>
      </c>
      <c r="J111" s="77" t="str">
        <f t="shared" si="7"/>
        <v/>
      </c>
      <c r="K111" s="77" t="str">
        <f t="shared" si="8"/>
        <v/>
      </c>
      <c r="L111" s="78" t="str">
        <f t="shared" si="9"/>
        <v/>
      </c>
      <c r="M111" s="69"/>
    </row>
    <row r="112" spans="1:13" x14ac:dyDescent="0.3">
      <c r="A112" s="76"/>
      <c r="B112" s="69"/>
      <c r="C112" s="67" t="str">
        <f>IF(B112="","",IFERROR(INDEX(Projects!$B$5:$B$104,MATCH(B112,Projects!$A$5:$A$104,0)),"?"))</f>
        <v/>
      </c>
      <c r="D112" s="73"/>
      <c r="E112" s="73"/>
      <c r="F112" s="73"/>
      <c r="G112" s="73"/>
      <c r="H112" s="75" t="str">
        <f t="shared" si="5"/>
        <v/>
      </c>
      <c r="I112" s="75" t="str">
        <f t="shared" si="6"/>
        <v/>
      </c>
      <c r="J112" s="77" t="str">
        <f t="shared" si="7"/>
        <v/>
      </c>
      <c r="K112" s="77" t="str">
        <f t="shared" si="8"/>
        <v/>
      </c>
      <c r="L112" s="78" t="str">
        <f t="shared" si="9"/>
        <v/>
      </c>
      <c r="M112" s="69"/>
    </row>
    <row r="113" spans="1:13" x14ac:dyDescent="0.3">
      <c r="A113" s="76"/>
      <c r="B113" s="69"/>
      <c r="C113" s="67" t="str">
        <f>IF(B113="","",IFERROR(INDEX(Projects!$B$5:$B$104,MATCH(B113,Projects!$A$5:$A$104,0)),"?"))</f>
        <v/>
      </c>
      <c r="D113" s="73"/>
      <c r="E113" s="73"/>
      <c r="F113" s="73"/>
      <c r="G113" s="73"/>
      <c r="H113" s="75" t="str">
        <f t="shared" si="5"/>
        <v/>
      </c>
      <c r="I113" s="75" t="str">
        <f t="shared" si="6"/>
        <v/>
      </c>
      <c r="J113" s="77" t="str">
        <f t="shared" si="7"/>
        <v/>
      </c>
      <c r="K113" s="77" t="str">
        <f t="shared" si="8"/>
        <v/>
      </c>
      <c r="L113" s="78" t="str">
        <f t="shared" si="9"/>
        <v/>
      </c>
      <c r="M113" s="69"/>
    </row>
    <row r="114" spans="1:13" x14ac:dyDescent="0.3">
      <c r="A114" s="76"/>
      <c r="B114" s="69"/>
      <c r="C114" s="67" t="str">
        <f>IF(B114="","",IFERROR(INDEX(Projects!$B$5:$B$104,MATCH(B114,Projects!$A$5:$A$104,0)),"?"))</f>
        <v/>
      </c>
      <c r="D114" s="73"/>
      <c r="E114" s="73"/>
      <c r="F114" s="73"/>
      <c r="G114" s="73"/>
      <c r="H114" s="75" t="str">
        <f t="shared" si="5"/>
        <v/>
      </c>
      <c r="I114" s="75" t="str">
        <f t="shared" si="6"/>
        <v/>
      </c>
      <c r="J114" s="77" t="str">
        <f t="shared" si="7"/>
        <v/>
      </c>
      <c r="K114" s="77" t="str">
        <f t="shared" si="8"/>
        <v/>
      </c>
      <c r="L114" s="78" t="str">
        <f t="shared" si="9"/>
        <v/>
      </c>
      <c r="M114" s="69"/>
    </row>
    <row r="115" spans="1:13" x14ac:dyDescent="0.3">
      <c r="A115" s="76"/>
      <c r="B115" s="69"/>
      <c r="C115" s="67" t="str">
        <f>IF(B115="","",IFERROR(INDEX(Projects!$B$5:$B$104,MATCH(B115,Projects!$A$5:$A$104,0)),"?"))</f>
        <v/>
      </c>
      <c r="D115" s="73"/>
      <c r="E115" s="73"/>
      <c r="F115" s="73"/>
      <c r="G115" s="73"/>
      <c r="H115" s="75" t="str">
        <f t="shared" si="5"/>
        <v/>
      </c>
      <c r="I115" s="75" t="str">
        <f t="shared" si="6"/>
        <v/>
      </c>
      <c r="J115" s="77" t="str">
        <f t="shared" si="7"/>
        <v/>
      </c>
      <c r="K115" s="77" t="str">
        <f t="shared" si="8"/>
        <v/>
      </c>
      <c r="L115" s="78" t="str">
        <f t="shared" si="9"/>
        <v/>
      </c>
      <c r="M115" s="69"/>
    </row>
    <row r="116" spans="1:13" x14ac:dyDescent="0.3">
      <c r="A116" s="76"/>
      <c r="B116" s="69"/>
      <c r="C116" s="67" t="str">
        <f>IF(B116="","",IFERROR(INDEX(Projects!$B$5:$B$104,MATCH(B116,Projects!$A$5:$A$104,0)),"?"))</f>
        <v/>
      </c>
      <c r="D116" s="73"/>
      <c r="E116" s="73"/>
      <c r="F116" s="73"/>
      <c r="G116" s="73"/>
      <c r="H116" s="75" t="str">
        <f t="shared" si="5"/>
        <v/>
      </c>
      <c r="I116" s="75" t="str">
        <f t="shared" si="6"/>
        <v/>
      </c>
      <c r="J116" s="77" t="str">
        <f t="shared" si="7"/>
        <v/>
      </c>
      <c r="K116" s="77" t="str">
        <f t="shared" si="8"/>
        <v/>
      </c>
      <c r="L116" s="78" t="str">
        <f t="shared" si="9"/>
        <v/>
      </c>
      <c r="M116" s="69"/>
    </row>
    <row r="117" spans="1:13" x14ac:dyDescent="0.3">
      <c r="A117" s="76"/>
      <c r="B117" s="69"/>
      <c r="C117" s="67" t="str">
        <f>IF(B117="","",IFERROR(INDEX(Projects!$B$5:$B$104,MATCH(B117,Projects!$A$5:$A$104,0)),"?"))</f>
        <v/>
      </c>
      <c r="D117" s="73"/>
      <c r="E117" s="73"/>
      <c r="F117" s="73"/>
      <c r="G117" s="73"/>
      <c r="H117" s="75" t="str">
        <f t="shared" si="5"/>
        <v/>
      </c>
      <c r="I117" s="75" t="str">
        <f t="shared" si="6"/>
        <v/>
      </c>
      <c r="J117" s="77" t="str">
        <f t="shared" si="7"/>
        <v/>
      </c>
      <c r="K117" s="77" t="str">
        <f t="shared" si="8"/>
        <v/>
      </c>
      <c r="L117" s="78" t="str">
        <f t="shared" si="9"/>
        <v/>
      </c>
      <c r="M117" s="69"/>
    </row>
    <row r="118" spans="1:13" x14ac:dyDescent="0.3">
      <c r="A118" s="76"/>
      <c r="B118" s="69"/>
      <c r="C118" s="67" t="str">
        <f>IF(B118="","",IFERROR(INDEX(Projects!$B$5:$B$104,MATCH(B118,Projects!$A$5:$A$104,0)),"?"))</f>
        <v/>
      </c>
      <c r="D118" s="73"/>
      <c r="E118" s="73"/>
      <c r="F118" s="73"/>
      <c r="G118" s="73"/>
      <c r="H118" s="75" t="str">
        <f t="shared" si="5"/>
        <v/>
      </c>
      <c r="I118" s="75" t="str">
        <f t="shared" si="6"/>
        <v/>
      </c>
      <c r="J118" s="77" t="str">
        <f t="shared" si="7"/>
        <v/>
      </c>
      <c r="K118" s="77" t="str">
        <f t="shared" si="8"/>
        <v/>
      </c>
      <c r="L118" s="78" t="str">
        <f t="shared" si="9"/>
        <v/>
      </c>
      <c r="M118" s="69"/>
    </row>
    <row r="119" spans="1:13" x14ac:dyDescent="0.3">
      <c r="A119" s="76"/>
      <c r="B119" s="69"/>
      <c r="C119" s="67" t="str">
        <f>IF(B119="","",IFERROR(INDEX(Projects!$B$5:$B$104,MATCH(B119,Projects!$A$5:$A$104,0)),"?"))</f>
        <v/>
      </c>
      <c r="D119" s="73"/>
      <c r="E119" s="73"/>
      <c r="F119" s="73"/>
      <c r="G119" s="73"/>
      <c r="H119" s="75" t="str">
        <f t="shared" si="5"/>
        <v/>
      </c>
      <c r="I119" s="75" t="str">
        <f t="shared" si="6"/>
        <v/>
      </c>
      <c r="J119" s="77" t="str">
        <f t="shared" si="7"/>
        <v/>
      </c>
      <c r="K119" s="77" t="str">
        <f t="shared" si="8"/>
        <v/>
      </c>
      <c r="L119" s="78" t="str">
        <f t="shared" si="9"/>
        <v/>
      </c>
      <c r="M119" s="69"/>
    </row>
    <row r="120" spans="1:13" x14ac:dyDescent="0.3">
      <c r="A120" s="76"/>
      <c r="B120" s="69"/>
      <c r="C120" s="67" t="str">
        <f>IF(B120="","",IFERROR(INDEX(Projects!$B$5:$B$104,MATCH(B120,Projects!$A$5:$A$104,0)),"?"))</f>
        <v/>
      </c>
      <c r="D120" s="73"/>
      <c r="E120" s="73"/>
      <c r="F120" s="73"/>
      <c r="G120" s="73"/>
      <c r="H120" s="75" t="str">
        <f t="shared" si="5"/>
        <v/>
      </c>
      <c r="I120" s="75" t="str">
        <f t="shared" si="6"/>
        <v/>
      </c>
      <c r="J120" s="77" t="str">
        <f t="shared" si="7"/>
        <v/>
      </c>
      <c r="K120" s="77" t="str">
        <f t="shared" si="8"/>
        <v/>
      </c>
      <c r="L120" s="78" t="str">
        <f t="shared" si="9"/>
        <v/>
      </c>
      <c r="M120" s="69"/>
    </row>
    <row r="121" spans="1:13" x14ac:dyDescent="0.3">
      <c r="A121" s="76"/>
      <c r="B121" s="69"/>
      <c r="C121" s="67" t="str">
        <f>IF(B121="","",IFERROR(INDEX(Projects!$B$5:$B$104,MATCH(B121,Projects!$A$5:$A$104,0)),"?"))</f>
        <v/>
      </c>
      <c r="D121" s="73"/>
      <c r="E121" s="73"/>
      <c r="F121" s="73"/>
      <c r="G121" s="73"/>
      <c r="H121" s="75" t="str">
        <f t="shared" si="5"/>
        <v/>
      </c>
      <c r="I121" s="75" t="str">
        <f t="shared" si="6"/>
        <v/>
      </c>
      <c r="J121" s="77" t="str">
        <f t="shared" si="7"/>
        <v/>
      </c>
      <c r="K121" s="77" t="str">
        <f t="shared" si="8"/>
        <v/>
      </c>
      <c r="L121" s="78" t="str">
        <f t="shared" si="9"/>
        <v/>
      </c>
      <c r="M121" s="69"/>
    </row>
    <row r="122" spans="1:13" x14ac:dyDescent="0.3">
      <c r="A122" s="76"/>
      <c r="B122" s="69"/>
      <c r="C122" s="67" t="str">
        <f>IF(B122="","",IFERROR(INDEX(Projects!$B$5:$B$104,MATCH(B122,Projects!$A$5:$A$104,0)),"?"))</f>
        <v/>
      </c>
      <c r="D122" s="73"/>
      <c r="E122" s="73"/>
      <c r="F122" s="73"/>
      <c r="G122" s="73"/>
      <c r="H122" s="75" t="str">
        <f t="shared" si="5"/>
        <v/>
      </c>
      <c r="I122" s="75" t="str">
        <f t="shared" si="6"/>
        <v/>
      </c>
      <c r="J122" s="77" t="str">
        <f t="shared" si="7"/>
        <v/>
      </c>
      <c r="K122" s="77" t="str">
        <f t="shared" si="8"/>
        <v/>
      </c>
      <c r="L122" s="78" t="str">
        <f t="shared" si="9"/>
        <v/>
      </c>
      <c r="M122" s="69"/>
    </row>
    <row r="123" spans="1:13" x14ac:dyDescent="0.3">
      <c r="A123" s="76"/>
      <c r="B123" s="69"/>
      <c r="C123" s="67" t="str">
        <f>IF(B123="","",IFERROR(INDEX(Projects!$B$5:$B$104,MATCH(B123,Projects!$A$5:$A$104,0)),"?"))</f>
        <v/>
      </c>
      <c r="D123" s="73"/>
      <c r="E123" s="73"/>
      <c r="F123" s="73"/>
      <c r="G123" s="73"/>
      <c r="H123" s="75" t="str">
        <f t="shared" si="5"/>
        <v/>
      </c>
      <c r="I123" s="75" t="str">
        <f t="shared" si="6"/>
        <v/>
      </c>
      <c r="J123" s="77" t="str">
        <f t="shared" si="7"/>
        <v/>
      </c>
      <c r="K123" s="77" t="str">
        <f t="shared" si="8"/>
        <v/>
      </c>
      <c r="L123" s="78" t="str">
        <f t="shared" si="9"/>
        <v/>
      </c>
      <c r="M123" s="69"/>
    </row>
    <row r="124" spans="1:13" x14ac:dyDescent="0.3">
      <c r="A124" s="76"/>
      <c r="B124" s="69"/>
      <c r="C124" s="67" t="str">
        <f>IF(B124="","",IFERROR(INDEX(Projects!$B$5:$B$104,MATCH(B124,Projects!$A$5:$A$104,0)),"?"))</f>
        <v/>
      </c>
      <c r="D124" s="73"/>
      <c r="E124" s="73"/>
      <c r="F124" s="73"/>
      <c r="G124" s="73"/>
      <c r="H124" s="75" t="str">
        <f t="shared" si="5"/>
        <v/>
      </c>
      <c r="I124" s="75" t="str">
        <f t="shared" si="6"/>
        <v/>
      </c>
      <c r="J124" s="77" t="str">
        <f t="shared" si="7"/>
        <v/>
      </c>
      <c r="K124" s="77" t="str">
        <f t="shared" si="8"/>
        <v/>
      </c>
      <c r="L124" s="78" t="str">
        <f t="shared" si="9"/>
        <v/>
      </c>
      <c r="M124" s="69"/>
    </row>
    <row r="125" spans="1:13" x14ac:dyDescent="0.3">
      <c r="A125" s="76"/>
      <c r="B125" s="69"/>
      <c r="C125" s="67" t="str">
        <f>IF(B125="","",IFERROR(INDEX(Projects!$B$5:$B$104,MATCH(B125,Projects!$A$5:$A$104,0)),"?"))</f>
        <v/>
      </c>
      <c r="D125" s="73"/>
      <c r="E125" s="73"/>
      <c r="F125" s="73"/>
      <c r="G125" s="73"/>
      <c r="H125" s="75" t="str">
        <f t="shared" si="5"/>
        <v/>
      </c>
      <c r="I125" s="75" t="str">
        <f t="shared" si="6"/>
        <v/>
      </c>
      <c r="J125" s="77" t="str">
        <f t="shared" si="7"/>
        <v/>
      </c>
      <c r="K125" s="77" t="str">
        <f t="shared" si="8"/>
        <v/>
      </c>
      <c r="L125" s="78" t="str">
        <f t="shared" si="9"/>
        <v/>
      </c>
      <c r="M125" s="69"/>
    </row>
    <row r="126" spans="1:13" x14ac:dyDescent="0.3">
      <c r="A126" s="76"/>
      <c r="B126" s="69"/>
      <c r="C126" s="67" t="str">
        <f>IF(B126="","",IFERROR(INDEX(Projects!$B$5:$B$104,MATCH(B126,Projects!$A$5:$A$104,0)),"?"))</f>
        <v/>
      </c>
      <c r="D126" s="73"/>
      <c r="E126" s="73"/>
      <c r="F126" s="73"/>
      <c r="G126" s="73"/>
      <c r="H126" s="75" t="str">
        <f t="shared" si="5"/>
        <v/>
      </c>
      <c r="I126" s="75" t="str">
        <f t="shared" si="6"/>
        <v/>
      </c>
      <c r="J126" s="77" t="str">
        <f t="shared" si="7"/>
        <v/>
      </c>
      <c r="K126" s="77" t="str">
        <f t="shared" si="8"/>
        <v/>
      </c>
      <c r="L126" s="78" t="str">
        <f t="shared" si="9"/>
        <v/>
      </c>
      <c r="M126" s="69"/>
    </row>
    <row r="127" spans="1:13" x14ac:dyDescent="0.3">
      <c r="A127" s="76"/>
      <c r="B127" s="69"/>
      <c r="C127" s="67" t="str">
        <f>IF(B127="","",IFERROR(INDEX(Projects!$B$5:$B$104,MATCH(B127,Projects!$A$5:$A$104,0)),"?"))</f>
        <v/>
      </c>
      <c r="D127" s="73"/>
      <c r="E127" s="73"/>
      <c r="F127" s="73"/>
      <c r="G127" s="73"/>
      <c r="H127" s="75" t="str">
        <f t="shared" si="5"/>
        <v/>
      </c>
      <c r="I127" s="75" t="str">
        <f t="shared" si="6"/>
        <v/>
      </c>
      <c r="J127" s="77" t="str">
        <f t="shared" si="7"/>
        <v/>
      </c>
      <c r="K127" s="77" t="str">
        <f t="shared" si="8"/>
        <v/>
      </c>
      <c r="L127" s="78" t="str">
        <f t="shared" si="9"/>
        <v/>
      </c>
      <c r="M127" s="69"/>
    </row>
    <row r="128" spans="1:13" x14ac:dyDescent="0.3">
      <c r="A128" s="76"/>
      <c r="B128" s="69"/>
      <c r="C128" s="67" t="str">
        <f>IF(B128="","",IFERROR(INDEX(Projects!$B$5:$B$104,MATCH(B128,Projects!$A$5:$A$104,0)),"?"))</f>
        <v/>
      </c>
      <c r="D128" s="73"/>
      <c r="E128" s="73"/>
      <c r="F128" s="73"/>
      <c r="G128" s="73"/>
      <c r="H128" s="75" t="str">
        <f t="shared" si="5"/>
        <v/>
      </c>
      <c r="I128" s="75" t="str">
        <f t="shared" si="6"/>
        <v/>
      </c>
      <c r="J128" s="77" t="str">
        <f t="shared" si="7"/>
        <v/>
      </c>
      <c r="K128" s="77" t="str">
        <f t="shared" si="8"/>
        <v/>
      </c>
      <c r="L128" s="78" t="str">
        <f t="shared" si="9"/>
        <v/>
      </c>
      <c r="M128" s="69"/>
    </row>
    <row r="129" spans="1:13" x14ac:dyDescent="0.3">
      <c r="A129" s="76"/>
      <c r="B129" s="69"/>
      <c r="C129" s="67" t="str">
        <f>IF(B129="","",IFERROR(INDEX(Projects!$B$5:$B$104,MATCH(B129,Projects!$A$5:$A$104,0)),"?"))</f>
        <v/>
      </c>
      <c r="D129" s="73"/>
      <c r="E129" s="73"/>
      <c r="F129" s="73"/>
      <c r="G129" s="73"/>
      <c r="H129" s="75" t="str">
        <f t="shared" si="5"/>
        <v/>
      </c>
      <c r="I129" s="75" t="str">
        <f t="shared" si="6"/>
        <v/>
      </c>
      <c r="J129" s="77" t="str">
        <f t="shared" si="7"/>
        <v/>
      </c>
      <c r="K129" s="77" t="str">
        <f t="shared" si="8"/>
        <v/>
      </c>
      <c r="L129" s="78" t="str">
        <f t="shared" si="9"/>
        <v/>
      </c>
      <c r="M129" s="69"/>
    </row>
    <row r="130" spans="1:13" x14ac:dyDescent="0.3">
      <c r="A130" s="76"/>
      <c r="B130" s="69"/>
      <c r="C130" s="67" t="str">
        <f>IF(B130="","",IFERROR(INDEX(Projects!$B$5:$B$104,MATCH(B130,Projects!$A$5:$A$104,0)),"?"))</f>
        <v/>
      </c>
      <c r="D130" s="73"/>
      <c r="E130" s="73"/>
      <c r="F130" s="73"/>
      <c r="G130" s="73"/>
      <c r="H130" s="75" t="str">
        <f t="shared" si="5"/>
        <v/>
      </c>
      <c r="I130" s="75" t="str">
        <f t="shared" si="6"/>
        <v/>
      </c>
      <c r="J130" s="77" t="str">
        <f t="shared" si="7"/>
        <v/>
      </c>
      <c r="K130" s="77" t="str">
        <f t="shared" si="8"/>
        <v/>
      </c>
      <c r="L130" s="78" t="str">
        <f t="shared" si="9"/>
        <v/>
      </c>
      <c r="M130" s="69"/>
    </row>
    <row r="131" spans="1:13" x14ac:dyDescent="0.3">
      <c r="A131" s="76"/>
      <c r="B131" s="69"/>
      <c r="C131" s="67" t="str">
        <f>IF(B131="","",IFERROR(INDEX(Projects!$B$5:$B$104,MATCH(B131,Projects!$A$5:$A$104,0)),"?"))</f>
        <v/>
      </c>
      <c r="D131" s="73"/>
      <c r="E131" s="73"/>
      <c r="F131" s="73"/>
      <c r="G131" s="73"/>
      <c r="H131" s="75" t="str">
        <f t="shared" si="5"/>
        <v/>
      </c>
      <c r="I131" s="75" t="str">
        <f t="shared" si="6"/>
        <v/>
      </c>
      <c r="J131" s="77" t="str">
        <f t="shared" si="7"/>
        <v/>
      </c>
      <c r="K131" s="77" t="str">
        <f t="shared" si="8"/>
        <v/>
      </c>
      <c r="L131" s="78" t="str">
        <f t="shared" si="9"/>
        <v/>
      </c>
      <c r="M131" s="69"/>
    </row>
    <row r="132" spans="1:13" x14ac:dyDescent="0.3">
      <c r="A132" s="76"/>
      <c r="B132" s="69"/>
      <c r="C132" s="67" t="str">
        <f>IF(B132="","",IFERROR(INDEX(Projects!$B$5:$B$104,MATCH(B132,Projects!$A$5:$A$104,0)),"?"))</f>
        <v/>
      </c>
      <c r="D132" s="73"/>
      <c r="E132" s="73"/>
      <c r="F132" s="73"/>
      <c r="G132" s="73"/>
      <c r="H132" s="75" t="str">
        <f t="shared" si="5"/>
        <v/>
      </c>
      <c r="I132" s="75" t="str">
        <f t="shared" si="6"/>
        <v/>
      </c>
      <c r="J132" s="77" t="str">
        <f t="shared" si="7"/>
        <v/>
      </c>
      <c r="K132" s="77" t="str">
        <f t="shared" si="8"/>
        <v/>
      </c>
      <c r="L132" s="78" t="str">
        <f t="shared" si="9"/>
        <v/>
      </c>
      <c r="M132" s="69"/>
    </row>
    <row r="133" spans="1:13" x14ac:dyDescent="0.3">
      <c r="A133" s="76"/>
      <c r="B133" s="69"/>
      <c r="C133" s="67" t="str">
        <f>IF(B133="","",IFERROR(INDEX(Projects!$B$5:$B$104,MATCH(B133,Projects!$A$5:$A$104,0)),"?"))</f>
        <v/>
      </c>
      <c r="D133" s="73"/>
      <c r="E133" s="73"/>
      <c r="F133" s="73"/>
      <c r="G133" s="73"/>
      <c r="H133" s="75" t="str">
        <f t="shared" ref="H133:H196" si="10">IF(OR(E133="",F133=""),"",F133-E133)</f>
        <v/>
      </c>
      <c r="I133" s="75" t="str">
        <f t="shared" ref="I133:I196" si="11">IF(OR(F133="",G133=""),"",F133-G133)</f>
        <v/>
      </c>
      <c r="J133" s="77" t="str">
        <f t="shared" ref="J133:J196" si="12">IF(OR(E133="",E133=0,F133=""),"",F133/E133)</f>
        <v/>
      </c>
      <c r="K133" s="77" t="str">
        <f t="shared" ref="K133:K196" si="13">IF(OR(G133="",G133=0,F133=""),"",F133/G133)</f>
        <v/>
      </c>
      <c r="L133" s="78" t="str">
        <f t="shared" ref="L133:L196" si="14">IF(OR(D133="",D133=0,G133=""),"",G133/D133)</f>
        <v/>
      </c>
      <c r="M133" s="69"/>
    </row>
    <row r="134" spans="1:13" x14ac:dyDescent="0.3">
      <c r="A134" s="76"/>
      <c r="B134" s="69"/>
      <c r="C134" s="67" t="str">
        <f>IF(B134="","",IFERROR(INDEX(Projects!$B$5:$B$104,MATCH(B134,Projects!$A$5:$A$104,0)),"?"))</f>
        <v/>
      </c>
      <c r="D134" s="73"/>
      <c r="E134" s="73"/>
      <c r="F134" s="73"/>
      <c r="G134" s="73"/>
      <c r="H134" s="75" t="str">
        <f t="shared" si="10"/>
        <v/>
      </c>
      <c r="I134" s="75" t="str">
        <f t="shared" si="11"/>
        <v/>
      </c>
      <c r="J134" s="77" t="str">
        <f t="shared" si="12"/>
        <v/>
      </c>
      <c r="K134" s="77" t="str">
        <f t="shared" si="13"/>
        <v/>
      </c>
      <c r="L134" s="78" t="str">
        <f t="shared" si="14"/>
        <v/>
      </c>
      <c r="M134" s="69"/>
    </row>
    <row r="135" spans="1:13" x14ac:dyDescent="0.3">
      <c r="A135" s="76"/>
      <c r="B135" s="69"/>
      <c r="C135" s="67" t="str">
        <f>IF(B135="","",IFERROR(INDEX(Projects!$B$5:$B$104,MATCH(B135,Projects!$A$5:$A$104,0)),"?"))</f>
        <v/>
      </c>
      <c r="D135" s="73"/>
      <c r="E135" s="73"/>
      <c r="F135" s="73"/>
      <c r="G135" s="73"/>
      <c r="H135" s="75" t="str">
        <f t="shared" si="10"/>
        <v/>
      </c>
      <c r="I135" s="75" t="str">
        <f t="shared" si="11"/>
        <v/>
      </c>
      <c r="J135" s="77" t="str">
        <f t="shared" si="12"/>
        <v/>
      </c>
      <c r="K135" s="77" t="str">
        <f t="shared" si="13"/>
        <v/>
      </c>
      <c r="L135" s="78" t="str">
        <f t="shared" si="14"/>
        <v/>
      </c>
      <c r="M135" s="69"/>
    </row>
    <row r="136" spans="1:13" x14ac:dyDescent="0.3">
      <c r="A136" s="76"/>
      <c r="B136" s="69"/>
      <c r="C136" s="67" t="str">
        <f>IF(B136="","",IFERROR(INDEX(Projects!$B$5:$B$104,MATCH(B136,Projects!$A$5:$A$104,0)),"?"))</f>
        <v/>
      </c>
      <c r="D136" s="73"/>
      <c r="E136" s="73"/>
      <c r="F136" s="73"/>
      <c r="G136" s="73"/>
      <c r="H136" s="75" t="str">
        <f t="shared" si="10"/>
        <v/>
      </c>
      <c r="I136" s="75" t="str">
        <f t="shared" si="11"/>
        <v/>
      </c>
      <c r="J136" s="77" t="str">
        <f t="shared" si="12"/>
        <v/>
      </c>
      <c r="K136" s="77" t="str">
        <f t="shared" si="13"/>
        <v/>
      </c>
      <c r="L136" s="78" t="str">
        <f t="shared" si="14"/>
        <v/>
      </c>
      <c r="M136" s="69"/>
    </row>
    <row r="137" spans="1:13" x14ac:dyDescent="0.3">
      <c r="A137" s="76"/>
      <c r="B137" s="69"/>
      <c r="C137" s="67" t="str">
        <f>IF(B137="","",IFERROR(INDEX(Projects!$B$5:$B$104,MATCH(B137,Projects!$A$5:$A$104,0)),"?"))</f>
        <v/>
      </c>
      <c r="D137" s="73"/>
      <c r="E137" s="73"/>
      <c r="F137" s="73"/>
      <c r="G137" s="73"/>
      <c r="H137" s="75" t="str">
        <f t="shared" si="10"/>
        <v/>
      </c>
      <c r="I137" s="75" t="str">
        <f t="shared" si="11"/>
        <v/>
      </c>
      <c r="J137" s="77" t="str">
        <f t="shared" si="12"/>
        <v/>
      </c>
      <c r="K137" s="77" t="str">
        <f t="shared" si="13"/>
        <v/>
      </c>
      <c r="L137" s="78" t="str">
        <f t="shared" si="14"/>
        <v/>
      </c>
      <c r="M137" s="69"/>
    </row>
    <row r="138" spans="1:13" x14ac:dyDescent="0.3">
      <c r="A138" s="76"/>
      <c r="B138" s="69"/>
      <c r="C138" s="67" t="str">
        <f>IF(B138="","",IFERROR(INDEX(Projects!$B$5:$B$104,MATCH(B138,Projects!$A$5:$A$104,0)),"?"))</f>
        <v/>
      </c>
      <c r="D138" s="73"/>
      <c r="E138" s="73"/>
      <c r="F138" s="73"/>
      <c r="G138" s="73"/>
      <c r="H138" s="75" t="str">
        <f t="shared" si="10"/>
        <v/>
      </c>
      <c r="I138" s="75" t="str">
        <f t="shared" si="11"/>
        <v/>
      </c>
      <c r="J138" s="77" t="str">
        <f t="shared" si="12"/>
        <v/>
      </c>
      <c r="K138" s="77" t="str">
        <f t="shared" si="13"/>
        <v/>
      </c>
      <c r="L138" s="78" t="str">
        <f t="shared" si="14"/>
        <v/>
      </c>
      <c r="M138" s="69"/>
    </row>
    <row r="139" spans="1:13" x14ac:dyDescent="0.3">
      <c r="A139" s="76"/>
      <c r="B139" s="69"/>
      <c r="C139" s="67" t="str">
        <f>IF(B139="","",IFERROR(INDEX(Projects!$B$5:$B$104,MATCH(B139,Projects!$A$5:$A$104,0)),"?"))</f>
        <v/>
      </c>
      <c r="D139" s="73"/>
      <c r="E139" s="73"/>
      <c r="F139" s="73"/>
      <c r="G139" s="73"/>
      <c r="H139" s="75" t="str">
        <f t="shared" si="10"/>
        <v/>
      </c>
      <c r="I139" s="75" t="str">
        <f t="shared" si="11"/>
        <v/>
      </c>
      <c r="J139" s="77" t="str">
        <f t="shared" si="12"/>
        <v/>
      </c>
      <c r="K139" s="77" t="str">
        <f t="shared" si="13"/>
        <v/>
      </c>
      <c r="L139" s="78" t="str">
        <f t="shared" si="14"/>
        <v/>
      </c>
      <c r="M139" s="69"/>
    </row>
    <row r="140" spans="1:13" x14ac:dyDescent="0.3">
      <c r="A140" s="76"/>
      <c r="B140" s="69"/>
      <c r="C140" s="67" t="str">
        <f>IF(B140="","",IFERROR(INDEX(Projects!$B$5:$B$104,MATCH(B140,Projects!$A$5:$A$104,0)),"?"))</f>
        <v/>
      </c>
      <c r="D140" s="73"/>
      <c r="E140" s="73"/>
      <c r="F140" s="73"/>
      <c r="G140" s="73"/>
      <c r="H140" s="75" t="str">
        <f t="shared" si="10"/>
        <v/>
      </c>
      <c r="I140" s="75" t="str">
        <f t="shared" si="11"/>
        <v/>
      </c>
      <c r="J140" s="77" t="str">
        <f t="shared" si="12"/>
        <v/>
      </c>
      <c r="K140" s="77" t="str">
        <f t="shared" si="13"/>
        <v/>
      </c>
      <c r="L140" s="78" t="str">
        <f t="shared" si="14"/>
        <v/>
      </c>
      <c r="M140" s="69"/>
    </row>
    <row r="141" spans="1:13" x14ac:dyDescent="0.3">
      <c r="A141" s="76"/>
      <c r="B141" s="69"/>
      <c r="C141" s="67" t="str">
        <f>IF(B141="","",IFERROR(INDEX(Projects!$B$5:$B$104,MATCH(B141,Projects!$A$5:$A$104,0)),"?"))</f>
        <v/>
      </c>
      <c r="D141" s="73"/>
      <c r="E141" s="73"/>
      <c r="F141" s="73"/>
      <c r="G141" s="73"/>
      <c r="H141" s="75" t="str">
        <f t="shared" si="10"/>
        <v/>
      </c>
      <c r="I141" s="75" t="str">
        <f t="shared" si="11"/>
        <v/>
      </c>
      <c r="J141" s="77" t="str">
        <f t="shared" si="12"/>
        <v/>
      </c>
      <c r="K141" s="77" t="str">
        <f t="shared" si="13"/>
        <v/>
      </c>
      <c r="L141" s="78" t="str">
        <f t="shared" si="14"/>
        <v/>
      </c>
      <c r="M141" s="69"/>
    </row>
    <row r="142" spans="1:13" x14ac:dyDescent="0.3">
      <c r="A142" s="76"/>
      <c r="B142" s="69"/>
      <c r="C142" s="67" t="str">
        <f>IF(B142="","",IFERROR(INDEX(Projects!$B$5:$B$104,MATCH(B142,Projects!$A$5:$A$104,0)),"?"))</f>
        <v/>
      </c>
      <c r="D142" s="73"/>
      <c r="E142" s="73"/>
      <c r="F142" s="73"/>
      <c r="G142" s="73"/>
      <c r="H142" s="75" t="str">
        <f t="shared" si="10"/>
        <v/>
      </c>
      <c r="I142" s="75" t="str">
        <f t="shared" si="11"/>
        <v/>
      </c>
      <c r="J142" s="77" t="str">
        <f t="shared" si="12"/>
        <v/>
      </c>
      <c r="K142" s="77" t="str">
        <f t="shared" si="13"/>
        <v/>
      </c>
      <c r="L142" s="78" t="str">
        <f t="shared" si="14"/>
        <v/>
      </c>
      <c r="M142" s="69"/>
    </row>
    <row r="143" spans="1:13" x14ac:dyDescent="0.3">
      <c r="A143" s="76"/>
      <c r="B143" s="69"/>
      <c r="C143" s="67" t="str">
        <f>IF(B143="","",IFERROR(INDEX(Projects!$B$5:$B$104,MATCH(B143,Projects!$A$5:$A$104,0)),"?"))</f>
        <v/>
      </c>
      <c r="D143" s="73"/>
      <c r="E143" s="73"/>
      <c r="F143" s="73"/>
      <c r="G143" s="73"/>
      <c r="H143" s="75" t="str">
        <f t="shared" si="10"/>
        <v/>
      </c>
      <c r="I143" s="75" t="str">
        <f t="shared" si="11"/>
        <v/>
      </c>
      <c r="J143" s="77" t="str">
        <f t="shared" si="12"/>
        <v/>
      </c>
      <c r="K143" s="77" t="str">
        <f t="shared" si="13"/>
        <v/>
      </c>
      <c r="L143" s="78" t="str">
        <f t="shared" si="14"/>
        <v/>
      </c>
      <c r="M143" s="69"/>
    </row>
    <row r="144" spans="1:13" x14ac:dyDescent="0.3">
      <c r="A144" s="76"/>
      <c r="B144" s="69"/>
      <c r="C144" s="67" t="str">
        <f>IF(B144="","",IFERROR(INDEX(Projects!$B$5:$B$104,MATCH(B144,Projects!$A$5:$A$104,0)),"?"))</f>
        <v/>
      </c>
      <c r="D144" s="73"/>
      <c r="E144" s="73"/>
      <c r="F144" s="73"/>
      <c r="G144" s="73"/>
      <c r="H144" s="75" t="str">
        <f t="shared" si="10"/>
        <v/>
      </c>
      <c r="I144" s="75" t="str">
        <f t="shared" si="11"/>
        <v/>
      </c>
      <c r="J144" s="77" t="str">
        <f t="shared" si="12"/>
        <v/>
      </c>
      <c r="K144" s="77" t="str">
        <f t="shared" si="13"/>
        <v/>
      </c>
      <c r="L144" s="78" t="str">
        <f t="shared" si="14"/>
        <v/>
      </c>
      <c r="M144" s="69"/>
    </row>
    <row r="145" spans="1:13" x14ac:dyDescent="0.3">
      <c r="A145" s="76"/>
      <c r="B145" s="69"/>
      <c r="C145" s="67" t="str">
        <f>IF(B145="","",IFERROR(INDEX(Projects!$B$5:$B$104,MATCH(B145,Projects!$A$5:$A$104,0)),"?"))</f>
        <v/>
      </c>
      <c r="D145" s="73"/>
      <c r="E145" s="73"/>
      <c r="F145" s="73"/>
      <c r="G145" s="73"/>
      <c r="H145" s="75" t="str">
        <f t="shared" si="10"/>
        <v/>
      </c>
      <c r="I145" s="75" t="str">
        <f t="shared" si="11"/>
        <v/>
      </c>
      <c r="J145" s="77" t="str">
        <f t="shared" si="12"/>
        <v/>
      </c>
      <c r="K145" s="77" t="str">
        <f t="shared" si="13"/>
        <v/>
      </c>
      <c r="L145" s="78" t="str">
        <f t="shared" si="14"/>
        <v/>
      </c>
      <c r="M145" s="69"/>
    </row>
    <row r="146" spans="1:13" x14ac:dyDescent="0.3">
      <c r="A146" s="76"/>
      <c r="B146" s="69"/>
      <c r="C146" s="67" t="str">
        <f>IF(B146="","",IFERROR(INDEX(Projects!$B$5:$B$104,MATCH(B146,Projects!$A$5:$A$104,0)),"?"))</f>
        <v/>
      </c>
      <c r="D146" s="73"/>
      <c r="E146" s="73"/>
      <c r="F146" s="73"/>
      <c r="G146" s="73"/>
      <c r="H146" s="75" t="str">
        <f t="shared" si="10"/>
        <v/>
      </c>
      <c r="I146" s="75" t="str">
        <f t="shared" si="11"/>
        <v/>
      </c>
      <c r="J146" s="77" t="str">
        <f t="shared" si="12"/>
        <v/>
      </c>
      <c r="K146" s="77" t="str">
        <f t="shared" si="13"/>
        <v/>
      </c>
      <c r="L146" s="78" t="str">
        <f t="shared" si="14"/>
        <v/>
      </c>
      <c r="M146" s="69"/>
    </row>
    <row r="147" spans="1:13" x14ac:dyDescent="0.3">
      <c r="A147" s="76"/>
      <c r="B147" s="69"/>
      <c r="C147" s="67" t="str">
        <f>IF(B147="","",IFERROR(INDEX(Projects!$B$5:$B$104,MATCH(B147,Projects!$A$5:$A$104,0)),"?"))</f>
        <v/>
      </c>
      <c r="D147" s="73"/>
      <c r="E147" s="73"/>
      <c r="F147" s="73"/>
      <c r="G147" s="73"/>
      <c r="H147" s="75" t="str">
        <f t="shared" si="10"/>
        <v/>
      </c>
      <c r="I147" s="75" t="str">
        <f t="shared" si="11"/>
        <v/>
      </c>
      <c r="J147" s="77" t="str">
        <f t="shared" si="12"/>
        <v/>
      </c>
      <c r="K147" s="77" t="str">
        <f t="shared" si="13"/>
        <v/>
      </c>
      <c r="L147" s="78" t="str">
        <f t="shared" si="14"/>
        <v/>
      </c>
      <c r="M147" s="69"/>
    </row>
    <row r="148" spans="1:13" x14ac:dyDescent="0.3">
      <c r="A148" s="76"/>
      <c r="B148" s="69"/>
      <c r="C148" s="67" t="str">
        <f>IF(B148="","",IFERROR(INDEX(Projects!$B$5:$B$104,MATCH(B148,Projects!$A$5:$A$104,0)),"?"))</f>
        <v/>
      </c>
      <c r="D148" s="73"/>
      <c r="E148" s="73"/>
      <c r="F148" s="73"/>
      <c r="G148" s="73"/>
      <c r="H148" s="75" t="str">
        <f t="shared" si="10"/>
        <v/>
      </c>
      <c r="I148" s="75" t="str">
        <f t="shared" si="11"/>
        <v/>
      </c>
      <c r="J148" s="77" t="str">
        <f t="shared" si="12"/>
        <v/>
      </c>
      <c r="K148" s="77" t="str">
        <f t="shared" si="13"/>
        <v/>
      </c>
      <c r="L148" s="78" t="str">
        <f t="shared" si="14"/>
        <v/>
      </c>
      <c r="M148" s="69"/>
    </row>
    <row r="149" spans="1:13" x14ac:dyDescent="0.3">
      <c r="A149" s="76"/>
      <c r="B149" s="69"/>
      <c r="C149" s="67" t="str">
        <f>IF(B149="","",IFERROR(INDEX(Projects!$B$5:$B$104,MATCH(B149,Projects!$A$5:$A$104,0)),"?"))</f>
        <v/>
      </c>
      <c r="D149" s="73"/>
      <c r="E149" s="73"/>
      <c r="F149" s="73"/>
      <c r="G149" s="73"/>
      <c r="H149" s="75" t="str">
        <f t="shared" si="10"/>
        <v/>
      </c>
      <c r="I149" s="75" t="str">
        <f t="shared" si="11"/>
        <v/>
      </c>
      <c r="J149" s="77" t="str">
        <f t="shared" si="12"/>
        <v/>
      </c>
      <c r="K149" s="77" t="str">
        <f t="shared" si="13"/>
        <v/>
      </c>
      <c r="L149" s="78" t="str">
        <f t="shared" si="14"/>
        <v/>
      </c>
      <c r="M149" s="69"/>
    </row>
    <row r="150" spans="1:13" x14ac:dyDescent="0.3">
      <c r="A150" s="76"/>
      <c r="B150" s="69"/>
      <c r="C150" s="67" t="str">
        <f>IF(B150="","",IFERROR(INDEX(Projects!$B$5:$B$104,MATCH(B150,Projects!$A$5:$A$104,0)),"?"))</f>
        <v/>
      </c>
      <c r="D150" s="73"/>
      <c r="E150" s="73"/>
      <c r="F150" s="73"/>
      <c r="G150" s="73"/>
      <c r="H150" s="75" t="str">
        <f t="shared" si="10"/>
        <v/>
      </c>
      <c r="I150" s="75" t="str">
        <f t="shared" si="11"/>
        <v/>
      </c>
      <c r="J150" s="77" t="str">
        <f t="shared" si="12"/>
        <v/>
      </c>
      <c r="K150" s="77" t="str">
        <f t="shared" si="13"/>
        <v/>
      </c>
      <c r="L150" s="78" t="str">
        <f t="shared" si="14"/>
        <v/>
      </c>
      <c r="M150" s="69"/>
    </row>
    <row r="151" spans="1:13" x14ac:dyDescent="0.3">
      <c r="A151" s="76"/>
      <c r="B151" s="69"/>
      <c r="C151" s="67" t="str">
        <f>IF(B151="","",IFERROR(INDEX(Projects!$B$5:$B$104,MATCH(B151,Projects!$A$5:$A$104,0)),"?"))</f>
        <v/>
      </c>
      <c r="D151" s="73"/>
      <c r="E151" s="73"/>
      <c r="F151" s="73"/>
      <c r="G151" s="73"/>
      <c r="H151" s="75" t="str">
        <f t="shared" si="10"/>
        <v/>
      </c>
      <c r="I151" s="75" t="str">
        <f t="shared" si="11"/>
        <v/>
      </c>
      <c r="J151" s="77" t="str">
        <f t="shared" si="12"/>
        <v/>
      </c>
      <c r="K151" s="77" t="str">
        <f t="shared" si="13"/>
        <v/>
      </c>
      <c r="L151" s="78" t="str">
        <f t="shared" si="14"/>
        <v/>
      </c>
      <c r="M151" s="69"/>
    </row>
    <row r="152" spans="1:13" x14ac:dyDescent="0.3">
      <c r="A152" s="76"/>
      <c r="B152" s="69"/>
      <c r="C152" s="67" t="str">
        <f>IF(B152="","",IFERROR(INDEX(Projects!$B$5:$B$104,MATCH(B152,Projects!$A$5:$A$104,0)),"?"))</f>
        <v/>
      </c>
      <c r="D152" s="73"/>
      <c r="E152" s="73"/>
      <c r="F152" s="73"/>
      <c r="G152" s="73"/>
      <c r="H152" s="75" t="str">
        <f t="shared" si="10"/>
        <v/>
      </c>
      <c r="I152" s="75" t="str">
        <f t="shared" si="11"/>
        <v/>
      </c>
      <c r="J152" s="77" t="str">
        <f t="shared" si="12"/>
        <v/>
      </c>
      <c r="K152" s="77" t="str">
        <f t="shared" si="13"/>
        <v/>
      </c>
      <c r="L152" s="78" t="str">
        <f t="shared" si="14"/>
        <v/>
      </c>
      <c r="M152" s="69"/>
    </row>
    <row r="153" spans="1:13" x14ac:dyDescent="0.3">
      <c r="A153" s="76"/>
      <c r="B153" s="69"/>
      <c r="C153" s="67" t="str">
        <f>IF(B153="","",IFERROR(INDEX(Projects!$B$5:$B$104,MATCH(B153,Projects!$A$5:$A$104,0)),"?"))</f>
        <v/>
      </c>
      <c r="D153" s="73"/>
      <c r="E153" s="73"/>
      <c r="F153" s="73"/>
      <c r="G153" s="73"/>
      <c r="H153" s="75" t="str">
        <f t="shared" si="10"/>
        <v/>
      </c>
      <c r="I153" s="75" t="str">
        <f t="shared" si="11"/>
        <v/>
      </c>
      <c r="J153" s="77" t="str">
        <f t="shared" si="12"/>
        <v/>
      </c>
      <c r="K153" s="77" t="str">
        <f t="shared" si="13"/>
        <v/>
      </c>
      <c r="L153" s="78" t="str">
        <f t="shared" si="14"/>
        <v/>
      </c>
      <c r="M153" s="69"/>
    </row>
    <row r="154" spans="1:13" x14ac:dyDescent="0.3">
      <c r="A154" s="76"/>
      <c r="B154" s="69"/>
      <c r="C154" s="67" t="str">
        <f>IF(B154="","",IFERROR(INDEX(Projects!$B$5:$B$104,MATCH(B154,Projects!$A$5:$A$104,0)),"?"))</f>
        <v/>
      </c>
      <c r="D154" s="73"/>
      <c r="E154" s="73"/>
      <c r="F154" s="73"/>
      <c r="G154" s="73"/>
      <c r="H154" s="75" t="str">
        <f t="shared" si="10"/>
        <v/>
      </c>
      <c r="I154" s="75" t="str">
        <f t="shared" si="11"/>
        <v/>
      </c>
      <c r="J154" s="77" t="str">
        <f t="shared" si="12"/>
        <v/>
      </c>
      <c r="K154" s="77" t="str">
        <f t="shared" si="13"/>
        <v/>
      </c>
      <c r="L154" s="78" t="str">
        <f t="shared" si="14"/>
        <v/>
      </c>
      <c r="M154" s="69"/>
    </row>
    <row r="155" spans="1:13" x14ac:dyDescent="0.3">
      <c r="A155" s="76"/>
      <c r="B155" s="69"/>
      <c r="C155" s="67" t="str">
        <f>IF(B155="","",IFERROR(INDEX(Projects!$B$5:$B$104,MATCH(B155,Projects!$A$5:$A$104,0)),"?"))</f>
        <v/>
      </c>
      <c r="D155" s="73"/>
      <c r="E155" s="73"/>
      <c r="F155" s="73"/>
      <c r="G155" s="73"/>
      <c r="H155" s="75" t="str">
        <f t="shared" si="10"/>
        <v/>
      </c>
      <c r="I155" s="75" t="str">
        <f t="shared" si="11"/>
        <v/>
      </c>
      <c r="J155" s="77" t="str">
        <f t="shared" si="12"/>
        <v/>
      </c>
      <c r="K155" s="77" t="str">
        <f t="shared" si="13"/>
        <v/>
      </c>
      <c r="L155" s="78" t="str">
        <f t="shared" si="14"/>
        <v/>
      </c>
      <c r="M155" s="69"/>
    </row>
    <row r="156" spans="1:13" x14ac:dyDescent="0.3">
      <c r="A156" s="76"/>
      <c r="B156" s="69"/>
      <c r="C156" s="67" t="str">
        <f>IF(B156="","",IFERROR(INDEX(Projects!$B$5:$B$104,MATCH(B156,Projects!$A$5:$A$104,0)),"?"))</f>
        <v/>
      </c>
      <c r="D156" s="73"/>
      <c r="E156" s="73"/>
      <c r="F156" s="73"/>
      <c r="G156" s="73"/>
      <c r="H156" s="75" t="str">
        <f t="shared" si="10"/>
        <v/>
      </c>
      <c r="I156" s="75" t="str">
        <f t="shared" si="11"/>
        <v/>
      </c>
      <c r="J156" s="77" t="str">
        <f t="shared" si="12"/>
        <v/>
      </c>
      <c r="K156" s="77" t="str">
        <f t="shared" si="13"/>
        <v/>
      </c>
      <c r="L156" s="78" t="str">
        <f t="shared" si="14"/>
        <v/>
      </c>
      <c r="M156" s="69"/>
    </row>
    <row r="157" spans="1:13" x14ac:dyDescent="0.3">
      <c r="A157" s="76"/>
      <c r="B157" s="69"/>
      <c r="C157" s="67" t="str">
        <f>IF(B157="","",IFERROR(INDEX(Projects!$B$5:$B$104,MATCH(B157,Projects!$A$5:$A$104,0)),"?"))</f>
        <v/>
      </c>
      <c r="D157" s="73"/>
      <c r="E157" s="73"/>
      <c r="F157" s="73"/>
      <c r="G157" s="73"/>
      <c r="H157" s="75" t="str">
        <f t="shared" si="10"/>
        <v/>
      </c>
      <c r="I157" s="75" t="str">
        <f t="shared" si="11"/>
        <v/>
      </c>
      <c r="J157" s="77" t="str">
        <f t="shared" si="12"/>
        <v/>
      </c>
      <c r="K157" s="77" t="str">
        <f t="shared" si="13"/>
        <v/>
      </c>
      <c r="L157" s="78" t="str">
        <f t="shared" si="14"/>
        <v/>
      </c>
      <c r="M157" s="69"/>
    </row>
    <row r="158" spans="1:13" x14ac:dyDescent="0.3">
      <c r="A158" s="76"/>
      <c r="B158" s="69"/>
      <c r="C158" s="67" t="str">
        <f>IF(B158="","",IFERROR(INDEX(Projects!$B$5:$B$104,MATCH(B158,Projects!$A$5:$A$104,0)),"?"))</f>
        <v/>
      </c>
      <c r="D158" s="73"/>
      <c r="E158" s="73"/>
      <c r="F158" s="73"/>
      <c r="G158" s="73"/>
      <c r="H158" s="75" t="str">
        <f t="shared" si="10"/>
        <v/>
      </c>
      <c r="I158" s="75" t="str">
        <f t="shared" si="11"/>
        <v/>
      </c>
      <c r="J158" s="77" t="str">
        <f t="shared" si="12"/>
        <v/>
      </c>
      <c r="K158" s="77" t="str">
        <f t="shared" si="13"/>
        <v/>
      </c>
      <c r="L158" s="78" t="str">
        <f t="shared" si="14"/>
        <v/>
      </c>
      <c r="M158" s="69"/>
    </row>
    <row r="159" spans="1:13" x14ac:dyDescent="0.3">
      <c r="A159" s="76"/>
      <c r="B159" s="69"/>
      <c r="C159" s="67" t="str">
        <f>IF(B159="","",IFERROR(INDEX(Projects!$B$5:$B$104,MATCH(B159,Projects!$A$5:$A$104,0)),"?"))</f>
        <v/>
      </c>
      <c r="D159" s="73"/>
      <c r="E159" s="73"/>
      <c r="F159" s="73"/>
      <c r="G159" s="73"/>
      <c r="H159" s="75" t="str">
        <f t="shared" si="10"/>
        <v/>
      </c>
      <c r="I159" s="75" t="str">
        <f t="shared" si="11"/>
        <v/>
      </c>
      <c r="J159" s="77" t="str">
        <f t="shared" si="12"/>
        <v/>
      </c>
      <c r="K159" s="77" t="str">
        <f t="shared" si="13"/>
        <v/>
      </c>
      <c r="L159" s="78" t="str">
        <f t="shared" si="14"/>
        <v/>
      </c>
      <c r="M159" s="69"/>
    </row>
    <row r="160" spans="1:13" x14ac:dyDescent="0.3">
      <c r="A160" s="76"/>
      <c r="B160" s="69"/>
      <c r="C160" s="67" t="str">
        <f>IF(B160="","",IFERROR(INDEX(Projects!$B$5:$B$104,MATCH(B160,Projects!$A$5:$A$104,0)),"?"))</f>
        <v/>
      </c>
      <c r="D160" s="73"/>
      <c r="E160" s="73"/>
      <c r="F160" s="73"/>
      <c r="G160" s="73"/>
      <c r="H160" s="75" t="str">
        <f t="shared" si="10"/>
        <v/>
      </c>
      <c r="I160" s="75" t="str">
        <f t="shared" si="11"/>
        <v/>
      </c>
      <c r="J160" s="77" t="str">
        <f t="shared" si="12"/>
        <v/>
      </c>
      <c r="K160" s="77" t="str">
        <f t="shared" si="13"/>
        <v/>
      </c>
      <c r="L160" s="78" t="str">
        <f t="shared" si="14"/>
        <v/>
      </c>
      <c r="M160" s="69"/>
    </row>
    <row r="161" spans="1:13" x14ac:dyDescent="0.3">
      <c r="A161" s="76"/>
      <c r="B161" s="69"/>
      <c r="C161" s="67" t="str">
        <f>IF(B161="","",IFERROR(INDEX(Projects!$B$5:$B$104,MATCH(B161,Projects!$A$5:$A$104,0)),"?"))</f>
        <v/>
      </c>
      <c r="D161" s="73"/>
      <c r="E161" s="73"/>
      <c r="F161" s="73"/>
      <c r="G161" s="73"/>
      <c r="H161" s="75" t="str">
        <f t="shared" si="10"/>
        <v/>
      </c>
      <c r="I161" s="75" t="str">
        <f t="shared" si="11"/>
        <v/>
      </c>
      <c r="J161" s="77" t="str">
        <f t="shared" si="12"/>
        <v/>
      </c>
      <c r="K161" s="77" t="str">
        <f t="shared" si="13"/>
        <v/>
      </c>
      <c r="L161" s="78" t="str">
        <f t="shared" si="14"/>
        <v/>
      </c>
      <c r="M161" s="69"/>
    </row>
    <row r="162" spans="1:13" x14ac:dyDescent="0.3">
      <c r="A162" s="76"/>
      <c r="B162" s="69"/>
      <c r="C162" s="67" t="str">
        <f>IF(B162="","",IFERROR(INDEX(Projects!$B$5:$B$104,MATCH(B162,Projects!$A$5:$A$104,0)),"?"))</f>
        <v/>
      </c>
      <c r="D162" s="73"/>
      <c r="E162" s="73"/>
      <c r="F162" s="73"/>
      <c r="G162" s="73"/>
      <c r="H162" s="75" t="str">
        <f t="shared" si="10"/>
        <v/>
      </c>
      <c r="I162" s="75" t="str">
        <f t="shared" si="11"/>
        <v/>
      </c>
      <c r="J162" s="77" t="str">
        <f t="shared" si="12"/>
        <v/>
      </c>
      <c r="K162" s="77" t="str">
        <f t="shared" si="13"/>
        <v/>
      </c>
      <c r="L162" s="78" t="str">
        <f t="shared" si="14"/>
        <v/>
      </c>
      <c r="M162" s="69"/>
    </row>
    <row r="163" spans="1:13" x14ac:dyDescent="0.3">
      <c r="A163" s="76"/>
      <c r="B163" s="69"/>
      <c r="C163" s="67" t="str">
        <f>IF(B163="","",IFERROR(INDEX(Projects!$B$5:$B$104,MATCH(B163,Projects!$A$5:$A$104,0)),"?"))</f>
        <v/>
      </c>
      <c r="D163" s="73"/>
      <c r="E163" s="73"/>
      <c r="F163" s="73"/>
      <c r="G163" s="73"/>
      <c r="H163" s="75" t="str">
        <f t="shared" si="10"/>
        <v/>
      </c>
      <c r="I163" s="75" t="str">
        <f t="shared" si="11"/>
        <v/>
      </c>
      <c r="J163" s="77" t="str">
        <f t="shared" si="12"/>
        <v/>
      </c>
      <c r="K163" s="77" t="str">
        <f t="shared" si="13"/>
        <v/>
      </c>
      <c r="L163" s="78" t="str">
        <f t="shared" si="14"/>
        <v/>
      </c>
      <c r="M163" s="69"/>
    </row>
    <row r="164" spans="1:13" x14ac:dyDescent="0.3">
      <c r="A164" s="76"/>
      <c r="B164" s="69"/>
      <c r="C164" s="67" t="str">
        <f>IF(B164="","",IFERROR(INDEX(Projects!$B$5:$B$104,MATCH(B164,Projects!$A$5:$A$104,0)),"?"))</f>
        <v/>
      </c>
      <c r="D164" s="73"/>
      <c r="E164" s="73"/>
      <c r="F164" s="73"/>
      <c r="G164" s="73"/>
      <c r="H164" s="75" t="str">
        <f t="shared" si="10"/>
        <v/>
      </c>
      <c r="I164" s="75" t="str">
        <f t="shared" si="11"/>
        <v/>
      </c>
      <c r="J164" s="77" t="str">
        <f t="shared" si="12"/>
        <v/>
      </c>
      <c r="K164" s="77" t="str">
        <f t="shared" si="13"/>
        <v/>
      </c>
      <c r="L164" s="78" t="str">
        <f t="shared" si="14"/>
        <v/>
      </c>
      <c r="M164" s="69"/>
    </row>
    <row r="165" spans="1:13" x14ac:dyDescent="0.3">
      <c r="A165" s="76"/>
      <c r="B165" s="69"/>
      <c r="C165" s="67" t="str">
        <f>IF(B165="","",IFERROR(INDEX(Projects!$B$5:$B$104,MATCH(B165,Projects!$A$5:$A$104,0)),"?"))</f>
        <v/>
      </c>
      <c r="D165" s="73"/>
      <c r="E165" s="73"/>
      <c r="F165" s="73"/>
      <c r="G165" s="73"/>
      <c r="H165" s="75" t="str">
        <f t="shared" si="10"/>
        <v/>
      </c>
      <c r="I165" s="75" t="str">
        <f t="shared" si="11"/>
        <v/>
      </c>
      <c r="J165" s="77" t="str">
        <f t="shared" si="12"/>
        <v/>
      </c>
      <c r="K165" s="77" t="str">
        <f t="shared" si="13"/>
        <v/>
      </c>
      <c r="L165" s="78" t="str">
        <f t="shared" si="14"/>
        <v/>
      </c>
      <c r="M165" s="69"/>
    </row>
    <row r="166" spans="1:13" x14ac:dyDescent="0.3">
      <c r="A166" s="76"/>
      <c r="B166" s="69"/>
      <c r="C166" s="67" t="str">
        <f>IF(B166="","",IFERROR(INDEX(Projects!$B$5:$B$104,MATCH(B166,Projects!$A$5:$A$104,0)),"?"))</f>
        <v/>
      </c>
      <c r="D166" s="73"/>
      <c r="E166" s="73"/>
      <c r="F166" s="73"/>
      <c r="G166" s="73"/>
      <c r="H166" s="75" t="str">
        <f t="shared" si="10"/>
        <v/>
      </c>
      <c r="I166" s="75" t="str">
        <f t="shared" si="11"/>
        <v/>
      </c>
      <c r="J166" s="77" t="str">
        <f t="shared" si="12"/>
        <v/>
      </c>
      <c r="K166" s="77" t="str">
        <f t="shared" si="13"/>
        <v/>
      </c>
      <c r="L166" s="78" t="str">
        <f t="shared" si="14"/>
        <v/>
      </c>
      <c r="M166" s="69"/>
    </row>
    <row r="167" spans="1:13" x14ac:dyDescent="0.3">
      <c r="A167" s="76"/>
      <c r="B167" s="69"/>
      <c r="C167" s="67" t="str">
        <f>IF(B167="","",IFERROR(INDEX(Projects!$B$5:$B$104,MATCH(B167,Projects!$A$5:$A$104,0)),"?"))</f>
        <v/>
      </c>
      <c r="D167" s="73"/>
      <c r="E167" s="73"/>
      <c r="F167" s="73"/>
      <c r="G167" s="73"/>
      <c r="H167" s="75" t="str">
        <f t="shared" si="10"/>
        <v/>
      </c>
      <c r="I167" s="75" t="str">
        <f t="shared" si="11"/>
        <v/>
      </c>
      <c r="J167" s="77" t="str">
        <f t="shared" si="12"/>
        <v/>
      </c>
      <c r="K167" s="77" t="str">
        <f t="shared" si="13"/>
        <v/>
      </c>
      <c r="L167" s="78" t="str">
        <f t="shared" si="14"/>
        <v/>
      </c>
      <c r="M167" s="69"/>
    </row>
    <row r="168" spans="1:13" x14ac:dyDescent="0.3">
      <c r="A168" s="76"/>
      <c r="B168" s="69"/>
      <c r="C168" s="67" t="str">
        <f>IF(B168="","",IFERROR(INDEX(Projects!$B$5:$B$104,MATCH(B168,Projects!$A$5:$A$104,0)),"?"))</f>
        <v/>
      </c>
      <c r="D168" s="73"/>
      <c r="E168" s="73"/>
      <c r="F168" s="73"/>
      <c r="G168" s="73"/>
      <c r="H168" s="75" t="str">
        <f t="shared" si="10"/>
        <v/>
      </c>
      <c r="I168" s="75" t="str">
        <f t="shared" si="11"/>
        <v/>
      </c>
      <c r="J168" s="77" t="str">
        <f t="shared" si="12"/>
        <v/>
      </c>
      <c r="K168" s="77" t="str">
        <f t="shared" si="13"/>
        <v/>
      </c>
      <c r="L168" s="78" t="str">
        <f t="shared" si="14"/>
        <v/>
      </c>
      <c r="M168" s="69"/>
    </row>
    <row r="169" spans="1:13" x14ac:dyDescent="0.3">
      <c r="A169" s="76"/>
      <c r="B169" s="69"/>
      <c r="C169" s="67" t="str">
        <f>IF(B169="","",IFERROR(INDEX(Projects!$B$5:$B$104,MATCH(B169,Projects!$A$5:$A$104,0)),"?"))</f>
        <v/>
      </c>
      <c r="D169" s="73"/>
      <c r="E169" s="73"/>
      <c r="F169" s="73"/>
      <c r="G169" s="73"/>
      <c r="H169" s="75" t="str">
        <f t="shared" si="10"/>
        <v/>
      </c>
      <c r="I169" s="75" t="str">
        <f t="shared" si="11"/>
        <v/>
      </c>
      <c r="J169" s="77" t="str">
        <f t="shared" si="12"/>
        <v/>
      </c>
      <c r="K169" s="77" t="str">
        <f t="shared" si="13"/>
        <v/>
      </c>
      <c r="L169" s="78" t="str">
        <f t="shared" si="14"/>
        <v/>
      </c>
      <c r="M169" s="69"/>
    </row>
    <row r="170" spans="1:13" x14ac:dyDescent="0.3">
      <c r="A170" s="76"/>
      <c r="B170" s="69"/>
      <c r="C170" s="67" t="str">
        <f>IF(B170="","",IFERROR(INDEX(Projects!$B$5:$B$104,MATCH(B170,Projects!$A$5:$A$104,0)),"?"))</f>
        <v/>
      </c>
      <c r="D170" s="73"/>
      <c r="E170" s="73"/>
      <c r="F170" s="73"/>
      <c r="G170" s="73"/>
      <c r="H170" s="75" t="str">
        <f t="shared" si="10"/>
        <v/>
      </c>
      <c r="I170" s="75" t="str">
        <f t="shared" si="11"/>
        <v/>
      </c>
      <c r="J170" s="77" t="str">
        <f t="shared" si="12"/>
        <v/>
      </c>
      <c r="K170" s="77" t="str">
        <f t="shared" si="13"/>
        <v/>
      </c>
      <c r="L170" s="78" t="str">
        <f t="shared" si="14"/>
        <v/>
      </c>
      <c r="M170" s="69"/>
    </row>
    <row r="171" spans="1:13" x14ac:dyDescent="0.3">
      <c r="A171" s="76"/>
      <c r="B171" s="69"/>
      <c r="C171" s="67" t="str">
        <f>IF(B171="","",IFERROR(INDEX(Projects!$B$5:$B$104,MATCH(B171,Projects!$A$5:$A$104,0)),"?"))</f>
        <v/>
      </c>
      <c r="D171" s="73"/>
      <c r="E171" s="73"/>
      <c r="F171" s="73"/>
      <c r="G171" s="73"/>
      <c r="H171" s="75" t="str">
        <f t="shared" si="10"/>
        <v/>
      </c>
      <c r="I171" s="75" t="str">
        <f t="shared" si="11"/>
        <v/>
      </c>
      <c r="J171" s="77" t="str">
        <f t="shared" si="12"/>
        <v/>
      </c>
      <c r="K171" s="77" t="str">
        <f t="shared" si="13"/>
        <v/>
      </c>
      <c r="L171" s="78" t="str">
        <f t="shared" si="14"/>
        <v/>
      </c>
      <c r="M171" s="69"/>
    </row>
    <row r="172" spans="1:13" x14ac:dyDescent="0.3">
      <c r="A172" s="76"/>
      <c r="B172" s="69"/>
      <c r="C172" s="67" t="str">
        <f>IF(B172="","",IFERROR(INDEX(Projects!$B$5:$B$104,MATCH(B172,Projects!$A$5:$A$104,0)),"?"))</f>
        <v/>
      </c>
      <c r="D172" s="73"/>
      <c r="E172" s="73"/>
      <c r="F172" s="73"/>
      <c r="G172" s="73"/>
      <c r="H172" s="75" t="str">
        <f t="shared" si="10"/>
        <v/>
      </c>
      <c r="I172" s="75" t="str">
        <f t="shared" si="11"/>
        <v/>
      </c>
      <c r="J172" s="77" t="str">
        <f t="shared" si="12"/>
        <v/>
      </c>
      <c r="K172" s="77" t="str">
        <f t="shared" si="13"/>
        <v/>
      </c>
      <c r="L172" s="78" t="str">
        <f t="shared" si="14"/>
        <v/>
      </c>
      <c r="M172" s="69"/>
    </row>
    <row r="173" spans="1:13" x14ac:dyDescent="0.3">
      <c r="A173" s="76"/>
      <c r="B173" s="69"/>
      <c r="C173" s="67" t="str">
        <f>IF(B173="","",IFERROR(INDEX(Projects!$B$5:$B$104,MATCH(B173,Projects!$A$5:$A$104,0)),"?"))</f>
        <v/>
      </c>
      <c r="D173" s="73"/>
      <c r="E173" s="73"/>
      <c r="F173" s="73"/>
      <c r="G173" s="73"/>
      <c r="H173" s="75" t="str">
        <f t="shared" si="10"/>
        <v/>
      </c>
      <c r="I173" s="75" t="str">
        <f t="shared" si="11"/>
        <v/>
      </c>
      <c r="J173" s="77" t="str">
        <f t="shared" si="12"/>
        <v/>
      </c>
      <c r="K173" s="77" t="str">
        <f t="shared" si="13"/>
        <v/>
      </c>
      <c r="L173" s="78" t="str">
        <f t="shared" si="14"/>
        <v/>
      </c>
      <c r="M173" s="69"/>
    </row>
    <row r="174" spans="1:13" x14ac:dyDescent="0.3">
      <c r="A174" s="76"/>
      <c r="B174" s="69"/>
      <c r="C174" s="67" t="str">
        <f>IF(B174="","",IFERROR(INDEX(Projects!$B$5:$B$104,MATCH(B174,Projects!$A$5:$A$104,0)),"?"))</f>
        <v/>
      </c>
      <c r="D174" s="73"/>
      <c r="E174" s="73"/>
      <c r="F174" s="73"/>
      <c r="G174" s="73"/>
      <c r="H174" s="75" t="str">
        <f t="shared" si="10"/>
        <v/>
      </c>
      <c r="I174" s="75" t="str">
        <f t="shared" si="11"/>
        <v/>
      </c>
      <c r="J174" s="77" t="str">
        <f t="shared" si="12"/>
        <v/>
      </c>
      <c r="K174" s="77" t="str">
        <f t="shared" si="13"/>
        <v/>
      </c>
      <c r="L174" s="78" t="str">
        <f t="shared" si="14"/>
        <v/>
      </c>
      <c r="M174" s="69"/>
    </row>
    <row r="175" spans="1:13" x14ac:dyDescent="0.3">
      <c r="A175" s="76"/>
      <c r="B175" s="69"/>
      <c r="C175" s="67" t="str">
        <f>IF(B175="","",IFERROR(INDEX(Projects!$B$5:$B$104,MATCH(B175,Projects!$A$5:$A$104,0)),"?"))</f>
        <v/>
      </c>
      <c r="D175" s="73"/>
      <c r="E175" s="73"/>
      <c r="F175" s="73"/>
      <c r="G175" s="73"/>
      <c r="H175" s="75" t="str">
        <f t="shared" si="10"/>
        <v/>
      </c>
      <c r="I175" s="75" t="str">
        <f t="shared" si="11"/>
        <v/>
      </c>
      <c r="J175" s="77" t="str">
        <f t="shared" si="12"/>
        <v/>
      </c>
      <c r="K175" s="77" t="str">
        <f t="shared" si="13"/>
        <v/>
      </c>
      <c r="L175" s="78" t="str">
        <f t="shared" si="14"/>
        <v/>
      </c>
      <c r="M175" s="69"/>
    </row>
    <row r="176" spans="1:13" x14ac:dyDescent="0.3">
      <c r="A176" s="76"/>
      <c r="B176" s="69"/>
      <c r="C176" s="67" t="str">
        <f>IF(B176="","",IFERROR(INDEX(Projects!$B$5:$B$104,MATCH(B176,Projects!$A$5:$A$104,0)),"?"))</f>
        <v/>
      </c>
      <c r="D176" s="73"/>
      <c r="E176" s="73"/>
      <c r="F176" s="73"/>
      <c r="G176" s="73"/>
      <c r="H176" s="75" t="str">
        <f t="shared" si="10"/>
        <v/>
      </c>
      <c r="I176" s="75" t="str">
        <f t="shared" si="11"/>
        <v/>
      </c>
      <c r="J176" s="77" t="str">
        <f t="shared" si="12"/>
        <v/>
      </c>
      <c r="K176" s="77" t="str">
        <f t="shared" si="13"/>
        <v/>
      </c>
      <c r="L176" s="78" t="str">
        <f t="shared" si="14"/>
        <v/>
      </c>
      <c r="M176" s="69"/>
    </row>
    <row r="177" spans="1:13" x14ac:dyDescent="0.3">
      <c r="A177" s="76"/>
      <c r="B177" s="69"/>
      <c r="C177" s="67" t="str">
        <f>IF(B177="","",IFERROR(INDEX(Projects!$B$5:$B$104,MATCH(B177,Projects!$A$5:$A$104,0)),"?"))</f>
        <v/>
      </c>
      <c r="D177" s="73"/>
      <c r="E177" s="73"/>
      <c r="F177" s="73"/>
      <c r="G177" s="73"/>
      <c r="H177" s="75" t="str">
        <f t="shared" si="10"/>
        <v/>
      </c>
      <c r="I177" s="75" t="str">
        <f t="shared" si="11"/>
        <v/>
      </c>
      <c r="J177" s="77" t="str">
        <f t="shared" si="12"/>
        <v/>
      </c>
      <c r="K177" s="77" t="str">
        <f t="shared" si="13"/>
        <v/>
      </c>
      <c r="L177" s="78" t="str">
        <f t="shared" si="14"/>
        <v/>
      </c>
      <c r="M177" s="69"/>
    </row>
    <row r="178" spans="1:13" x14ac:dyDescent="0.3">
      <c r="A178" s="76"/>
      <c r="B178" s="69"/>
      <c r="C178" s="67" t="str">
        <f>IF(B178="","",IFERROR(INDEX(Projects!$B$5:$B$104,MATCH(B178,Projects!$A$5:$A$104,0)),"?"))</f>
        <v/>
      </c>
      <c r="D178" s="73"/>
      <c r="E178" s="73"/>
      <c r="F178" s="73"/>
      <c r="G178" s="73"/>
      <c r="H178" s="75" t="str">
        <f t="shared" si="10"/>
        <v/>
      </c>
      <c r="I178" s="75" t="str">
        <f t="shared" si="11"/>
        <v/>
      </c>
      <c r="J178" s="77" t="str">
        <f t="shared" si="12"/>
        <v/>
      </c>
      <c r="K178" s="77" t="str">
        <f t="shared" si="13"/>
        <v/>
      </c>
      <c r="L178" s="78" t="str">
        <f t="shared" si="14"/>
        <v/>
      </c>
      <c r="M178" s="69"/>
    </row>
    <row r="179" spans="1:13" x14ac:dyDescent="0.3">
      <c r="A179" s="76"/>
      <c r="B179" s="69"/>
      <c r="C179" s="67" t="str">
        <f>IF(B179="","",IFERROR(INDEX(Projects!$B$5:$B$104,MATCH(B179,Projects!$A$5:$A$104,0)),"?"))</f>
        <v/>
      </c>
      <c r="D179" s="73"/>
      <c r="E179" s="73"/>
      <c r="F179" s="73"/>
      <c r="G179" s="73"/>
      <c r="H179" s="75" t="str">
        <f t="shared" si="10"/>
        <v/>
      </c>
      <c r="I179" s="75" t="str">
        <f t="shared" si="11"/>
        <v/>
      </c>
      <c r="J179" s="77" t="str">
        <f t="shared" si="12"/>
        <v/>
      </c>
      <c r="K179" s="77" t="str">
        <f t="shared" si="13"/>
        <v/>
      </c>
      <c r="L179" s="78" t="str">
        <f t="shared" si="14"/>
        <v/>
      </c>
      <c r="M179" s="69"/>
    </row>
    <row r="180" spans="1:13" x14ac:dyDescent="0.3">
      <c r="A180" s="76"/>
      <c r="B180" s="69"/>
      <c r="C180" s="67" t="str">
        <f>IF(B180="","",IFERROR(INDEX(Projects!$B$5:$B$104,MATCH(B180,Projects!$A$5:$A$104,0)),"?"))</f>
        <v/>
      </c>
      <c r="D180" s="73"/>
      <c r="E180" s="73"/>
      <c r="F180" s="73"/>
      <c r="G180" s="73"/>
      <c r="H180" s="75" t="str">
        <f t="shared" si="10"/>
        <v/>
      </c>
      <c r="I180" s="75" t="str">
        <f t="shared" si="11"/>
        <v/>
      </c>
      <c r="J180" s="77" t="str">
        <f t="shared" si="12"/>
        <v/>
      </c>
      <c r="K180" s="77" t="str">
        <f t="shared" si="13"/>
        <v/>
      </c>
      <c r="L180" s="78" t="str">
        <f t="shared" si="14"/>
        <v/>
      </c>
      <c r="M180" s="69"/>
    </row>
    <row r="181" spans="1:13" x14ac:dyDescent="0.3">
      <c r="A181" s="76"/>
      <c r="B181" s="69"/>
      <c r="C181" s="67" t="str">
        <f>IF(B181="","",IFERROR(INDEX(Projects!$B$5:$B$104,MATCH(B181,Projects!$A$5:$A$104,0)),"?"))</f>
        <v/>
      </c>
      <c r="D181" s="73"/>
      <c r="E181" s="73"/>
      <c r="F181" s="73"/>
      <c r="G181" s="73"/>
      <c r="H181" s="75" t="str">
        <f t="shared" si="10"/>
        <v/>
      </c>
      <c r="I181" s="75" t="str">
        <f t="shared" si="11"/>
        <v/>
      </c>
      <c r="J181" s="77" t="str">
        <f t="shared" si="12"/>
        <v/>
      </c>
      <c r="K181" s="77" t="str">
        <f t="shared" si="13"/>
        <v/>
      </c>
      <c r="L181" s="78" t="str">
        <f t="shared" si="14"/>
        <v/>
      </c>
      <c r="M181" s="69"/>
    </row>
    <row r="182" spans="1:13" x14ac:dyDescent="0.3">
      <c r="A182" s="76"/>
      <c r="B182" s="69"/>
      <c r="C182" s="67" t="str">
        <f>IF(B182="","",IFERROR(INDEX(Projects!$B$5:$B$104,MATCH(B182,Projects!$A$5:$A$104,0)),"?"))</f>
        <v/>
      </c>
      <c r="D182" s="73"/>
      <c r="E182" s="73"/>
      <c r="F182" s="73"/>
      <c r="G182" s="73"/>
      <c r="H182" s="75" t="str">
        <f t="shared" si="10"/>
        <v/>
      </c>
      <c r="I182" s="75" t="str">
        <f t="shared" si="11"/>
        <v/>
      </c>
      <c r="J182" s="77" t="str">
        <f t="shared" si="12"/>
        <v/>
      </c>
      <c r="K182" s="77" t="str">
        <f t="shared" si="13"/>
        <v/>
      </c>
      <c r="L182" s="78" t="str">
        <f t="shared" si="14"/>
        <v/>
      </c>
      <c r="M182" s="69"/>
    </row>
    <row r="183" spans="1:13" x14ac:dyDescent="0.3">
      <c r="A183" s="76"/>
      <c r="B183" s="69"/>
      <c r="C183" s="67" t="str">
        <f>IF(B183="","",IFERROR(INDEX(Projects!$B$5:$B$104,MATCH(B183,Projects!$A$5:$A$104,0)),"?"))</f>
        <v/>
      </c>
      <c r="D183" s="73"/>
      <c r="E183" s="73"/>
      <c r="F183" s="73"/>
      <c r="G183" s="73"/>
      <c r="H183" s="75" t="str">
        <f t="shared" si="10"/>
        <v/>
      </c>
      <c r="I183" s="75" t="str">
        <f t="shared" si="11"/>
        <v/>
      </c>
      <c r="J183" s="77" t="str">
        <f t="shared" si="12"/>
        <v/>
      </c>
      <c r="K183" s="77" t="str">
        <f t="shared" si="13"/>
        <v/>
      </c>
      <c r="L183" s="78" t="str">
        <f t="shared" si="14"/>
        <v/>
      </c>
      <c r="M183" s="69"/>
    </row>
    <row r="184" spans="1:13" x14ac:dyDescent="0.3">
      <c r="A184" s="76"/>
      <c r="B184" s="69"/>
      <c r="C184" s="67" t="str">
        <f>IF(B184="","",IFERROR(INDEX(Projects!$B$5:$B$104,MATCH(B184,Projects!$A$5:$A$104,0)),"?"))</f>
        <v/>
      </c>
      <c r="D184" s="73"/>
      <c r="E184" s="73"/>
      <c r="F184" s="73"/>
      <c r="G184" s="73"/>
      <c r="H184" s="75" t="str">
        <f t="shared" si="10"/>
        <v/>
      </c>
      <c r="I184" s="75" t="str">
        <f t="shared" si="11"/>
        <v/>
      </c>
      <c r="J184" s="77" t="str">
        <f t="shared" si="12"/>
        <v/>
      </c>
      <c r="K184" s="77" t="str">
        <f t="shared" si="13"/>
        <v/>
      </c>
      <c r="L184" s="78" t="str">
        <f t="shared" si="14"/>
        <v/>
      </c>
      <c r="M184" s="69"/>
    </row>
    <row r="185" spans="1:13" x14ac:dyDescent="0.3">
      <c r="A185" s="76"/>
      <c r="B185" s="69"/>
      <c r="C185" s="67" t="str">
        <f>IF(B185="","",IFERROR(INDEX(Projects!$B$5:$B$104,MATCH(B185,Projects!$A$5:$A$104,0)),"?"))</f>
        <v/>
      </c>
      <c r="D185" s="73"/>
      <c r="E185" s="73"/>
      <c r="F185" s="73"/>
      <c r="G185" s="73"/>
      <c r="H185" s="75" t="str">
        <f t="shared" si="10"/>
        <v/>
      </c>
      <c r="I185" s="75" t="str">
        <f t="shared" si="11"/>
        <v/>
      </c>
      <c r="J185" s="77" t="str">
        <f t="shared" si="12"/>
        <v/>
      </c>
      <c r="K185" s="77" t="str">
        <f t="shared" si="13"/>
        <v/>
      </c>
      <c r="L185" s="78" t="str">
        <f t="shared" si="14"/>
        <v/>
      </c>
      <c r="M185" s="69"/>
    </row>
    <row r="186" spans="1:13" x14ac:dyDescent="0.3">
      <c r="A186" s="76"/>
      <c r="B186" s="69"/>
      <c r="C186" s="67" t="str">
        <f>IF(B186="","",IFERROR(INDEX(Projects!$B$5:$B$104,MATCH(B186,Projects!$A$5:$A$104,0)),"?"))</f>
        <v/>
      </c>
      <c r="D186" s="73"/>
      <c r="E186" s="73"/>
      <c r="F186" s="73"/>
      <c r="G186" s="73"/>
      <c r="H186" s="75" t="str">
        <f t="shared" si="10"/>
        <v/>
      </c>
      <c r="I186" s="75" t="str">
        <f t="shared" si="11"/>
        <v/>
      </c>
      <c r="J186" s="77" t="str">
        <f t="shared" si="12"/>
        <v/>
      </c>
      <c r="K186" s="77" t="str">
        <f t="shared" si="13"/>
        <v/>
      </c>
      <c r="L186" s="78" t="str">
        <f t="shared" si="14"/>
        <v/>
      </c>
      <c r="M186" s="69"/>
    </row>
    <row r="187" spans="1:13" x14ac:dyDescent="0.3">
      <c r="A187" s="76"/>
      <c r="B187" s="69"/>
      <c r="C187" s="67" t="str">
        <f>IF(B187="","",IFERROR(INDEX(Projects!$B$5:$B$104,MATCH(B187,Projects!$A$5:$A$104,0)),"?"))</f>
        <v/>
      </c>
      <c r="D187" s="73"/>
      <c r="E187" s="73"/>
      <c r="F187" s="73"/>
      <c r="G187" s="73"/>
      <c r="H187" s="75" t="str">
        <f t="shared" si="10"/>
        <v/>
      </c>
      <c r="I187" s="75" t="str">
        <f t="shared" si="11"/>
        <v/>
      </c>
      <c r="J187" s="77" t="str">
        <f t="shared" si="12"/>
        <v/>
      </c>
      <c r="K187" s="77" t="str">
        <f t="shared" si="13"/>
        <v/>
      </c>
      <c r="L187" s="78" t="str">
        <f t="shared" si="14"/>
        <v/>
      </c>
      <c r="M187" s="69"/>
    </row>
    <row r="188" spans="1:13" x14ac:dyDescent="0.3">
      <c r="A188" s="76"/>
      <c r="B188" s="69"/>
      <c r="C188" s="67" t="str">
        <f>IF(B188="","",IFERROR(INDEX(Projects!$B$5:$B$104,MATCH(B188,Projects!$A$5:$A$104,0)),"?"))</f>
        <v/>
      </c>
      <c r="D188" s="73"/>
      <c r="E188" s="73"/>
      <c r="F188" s="73"/>
      <c r="G188" s="73"/>
      <c r="H188" s="75" t="str">
        <f t="shared" si="10"/>
        <v/>
      </c>
      <c r="I188" s="75" t="str">
        <f t="shared" si="11"/>
        <v/>
      </c>
      <c r="J188" s="77" t="str">
        <f t="shared" si="12"/>
        <v/>
      </c>
      <c r="K188" s="77" t="str">
        <f t="shared" si="13"/>
        <v/>
      </c>
      <c r="L188" s="78" t="str">
        <f t="shared" si="14"/>
        <v/>
      </c>
      <c r="M188" s="69"/>
    </row>
    <row r="189" spans="1:13" x14ac:dyDescent="0.3">
      <c r="A189" s="76"/>
      <c r="B189" s="69"/>
      <c r="C189" s="67" t="str">
        <f>IF(B189="","",IFERROR(INDEX(Projects!$B$5:$B$104,MATCH(B189,Projects!$A$5:$A$104,0)),"?"))</f>
        <v/>
      </c>
      <c r="D189" s="73"/>
      <c r="E189" s="73"/>
      <c r="F189" s="73"/>
      <c r="G189" s="73"/>
      <c r="H189" s="75" t="str">
        <f t="shared" si="10"/>
        <v/>
      </c>
      <c r="I189" s="75" t="str">
        <f t="shared" si="11"/>
        <v/>
      </c>
      <c r="J189" s="77" t="str">
        <f t="shared" si="12"/>
        <v/>
      </c>
      <c r="K189" s="77" t="str">
        <f t="shared" si="13"/>
        <v/>
      </c>
      <c r="L189" s="78" t="str">
        <f t="shared" si="14"/>
        <v/>
      </c>
      <c r="M189" s="69"/>
    </row>
    <row r="190" spans="1:13" x14ac:dyDescent="0.3">
      <c r="A190" s="76"/>
      <c r="B190" s="69"/>
      <c r="C190" s="67" t="str">
        <f>IF(B190="","",IFERROR(INDEX(Projects!$B$5:$B$104,MATCH(B190,Projects!$A$5:$A$104,0)),"?"))</f>
        <v/>
      </c>
      <c r="D190" s="73"/>
      <c r="E190" s="73"/>
      <c r="F190" s="73"/>
      <c r="G190" s="73"/>
      <c r="H190" s="75" t="str">
        <f t="shared" si="10"/>
        <v/>
      </c>
      <c r="I190" s="75" t="str">
        <f t="shared" si="11"/>
        <v/>
      </c>
      <c r="J190" s="77" t="str">
        <f t="shared" si="12"/>
        <v/>
      </c>
      <c r="K190" s="77" t="str">
        <f t="shared" si="13"/>
        <v/>
      </c>
      <c r="L190" s="78" t="str">
        <f t="shared" si="14"/>
        <v/>
      </c>
      <c r="M190" s="69"/>
    </row>
    <row r="191" spans="1:13" x14ac:dyDescent="0.3">
      <c r="A191" s="76"/>
      <c r="B191" s="69"/>
      <c r="C191" s="67" t="str">
        <f>IF(B191="","",IFERROR(INDEX(Projects!$B$5:$B$104,MATCH(B191,Projects!$A$5:$A$104,0)),"?"))</f>
        <v/>
      </c>
      <c r="D191" s="73"/>
      <c r="E191" s="73"/>
      <c r="F191" s="73"/>
      <c r="G191" s="73"/>
      <c r="H191" s="75" t="str">
        <f t="shared" si="10"/>
        <v/>
      </c>
      <c r="I191" s="75" t="str">
        <f t="shared" si="11"/>
        <v/>
      </c>
      <c r="J191" s="77" t="str">
        <f t="shared" si="12"/>
        <v/>
      </c>
      <c r="K191" s="77" t="str">
        <f t="shared" si="13"/>
        <v/>
      </c>
      <c r="L191" s="78" t="str">
        <f t="shared" si="14"/>
        <v/>
      </c>
      <c r="M191" s="69"/>
    </row>
    <row r="192" spans="1:13" x14ac:dyDescent="0.3">
      <c r="A192" s="76"/>
      <c r="B192" s="69"/>
      <c r="C192" s="67" t="str">
        <f>IF(B192="","",IFERROR(INDEX(Projects!$B$5:$B$104,MATCH(B192,Projects!$A$5:$A$104,0)),"?"))</f>
        <v/>
      </c>
      <c r="D192" s="73"/>
      <c r="E192" s="73"/>
      <c r="F192" s="73"/>
      <c r="G192" s="73"/>
      <c r="H192" s="75" t="str">
        <f t="shared" si="10"/>
        <v/>
      </c>
      <c r="I192" s="75" t="str">
        <f t="shared" si="11"/>
        <v/>
      </c>
      <c r="J192" s="77" t="str">
        <f t="shared" si="12"/>
        <v/>
      </c>
      <c r="K192" s="77" t="str">
        <f t="shared" si="13"/>
        <v/>
      </c>
      <c r="L192" s="78" t="str">
        <f t="shared" si="14"/>
        <v/>
      </c>
      <c r="M192" s="69"/>
    </row>
    <row r="193" spans="1:13" x14ac:dyDescent="0.3">
      <c r="A193" s="76"/>
      <c r="B193" s="69"/>
      <c r="C193" s="67" t="str">
        <f>IF(B193="","",IFERROR(INDEX(Projects!$B$5:$B$104,MATCH(B193,Projects!$A$5:$A$104,0)),"?"))</f>
        <v/>
      </c>
      <c r="D193" s="73"/>
      <c r="E193" s="73"/>
      <c r="F193" s="73"/>
      <c r="G193" s="73"/>
      <c r="H193" s="75" t="str">
        <f t="shared" si="10"/>
        <v/>
      </c>
      <c r="I193" s="75" t="str">
        <f t="shared" si="11"/>
        <v/>
      </c>
      <c r="J193" s="77" t="str">
        <f t="shared" si="12"/>
        <v/>
      </c>
      <c r="K193" s="77" t="str">
        <f t="shared" si="13"/>
        <v/>
      </c>
      <c r="L193" s="78" t="str">
        <f t="shared" si="14"/>
        <v/>
      </c>
      <c r="M193" s="69"/>
    </row>
    <row r="194" spans="1:13" x14ac:dyDescent="0.3">
      <c r="A194" s="76"/>
      <c r="B194" s="69"/>
      <c r="C194" s="67" t="str">
        <f>IF(B194="","",IFERROR(INDEX(Projects!$B$5:$B$104,MATCH(B194,Projects!$A$5:$A$104,0)),"?"))</f>
        <v/>
      </c>
      <c r="D194" s="73"/>
      <c r="E194" s="73"/>
      <c r="F194" s="73"/>
      <c r="G194" s="73"/>
      <c r="H194" s="75" t="str">
        <f t="shared" si="10"/>
        <v/>
      </c>
      <c r="I194" s="75" t="str">
        <f t="shared" si="11"/>
        <v/>
      </c>
      <c r="J194" s="77" t="str">
        <f t="shared" si="12"/>
        <v/>
      </c>
      <c r="K194" s="77" t="str">
        <f t="shared" si="13"/>
        <v/>
      </c>
      <c r="L194" s="78" t="str">
        <f t="shared" si="14"/>
        <v/>
      </c>
      <c r="M194" s="69"/>
    </row>
    <row r="195" spans="1:13" x14ac:dyDescent="0.3">
      <c r="A195" s="76"/>
      <c r="B195" s="69"/>
      <c r="C195" s="67" t="str">
        <f>IF(B195="","",IFERROR(INDEX(Projects!$B$5:$B$104,MATCH(B195,Projects!$A$5:$A$104,0)),"?"))</f>
        <v/>
      </c>
      <c r="D195" s="73"/>
      <c r="E195" s="73"/>
      <c r="F195" s="73"/>
      <c r="G195" s="73"/>
      <c r="H195" s="75" t="str">
        <f t="shared" si="10"/>
        <v/>
      </c>
      <c r="I195" s="75" t="str">
        <f t="shared" si="11"/>
        <v/>
      </c>
      <c r="J195" s="77" t="str">
        <f t="shared" si="12"/>
        <v/>
      </c>
      <c r="K195" s="77" t="str">
        <f t="shared" si="13"/>
        <v/>
      </c>
      <c r="L195" s="78" t="str">
        <f t="shared" si="14"/>
        <v/>
      </c>
      <c r="M195" s="69"/>
    </row>
    <row r="196" spans="1:13" x14ac:dyDescent="0.3">
      <c r="A196" s="76"/>
      <c r="B196" s="69"/>
      <c r="C196" s="67" t="str">
        <f>IF(B196="","",IFERROR(INDEX(Projects!$B$5:$B$104,MATCH(B196,Projects!$A$5:$A$104,0)),"?"))</f>
        <v/>
      </c>
      <c r="D196" s="73"/>
      <c r="E196" s="73"/>
      <c r="F196" s="73"/>
      <c r="G196" s="73"/>
      <c r="H196" s="75" t="str">
        <f t="shared" si="10"/>
        <v/>
      </c>
      <c r="I196" s="75" t="str">
        <f t="shared" si="11"/>
        <v/>
      </c>
      <c r="J196" s="77" t="str">
        <f t="shared" si="12"/>
        <v/>
      </c>
      <c r="K196" s="77" t="str">
        <f t="shared" si="13"/>
        <v/>
      </c>
      <c r="L196" s="78" t="str">
        <f t="shared" si="14"/>
        <v/>
      </c>
      <c r="M196" s="69"/>
    </row>
    <row r="197" spans="1:13" x14ac:dyDescent="0.3">
      <c r="A197" s="76"/>
      <c r="B197" s="69"/>
      <c r="C197" s="67" t="str">
        <f>IF(B197="","",IFERROR(INDEX(Projects!$B$5:$B$104,MATCH(B197,Projects!$A$5:$A$104,0)),"?"))</f>
        <v/>
      </c>
      <c r="D197" s="73"/>
      <c r="E197" s="73"/>
      <c r="F197" s="73"/>
      <c r="G197" s="73"/>
      <c r="H197" s="75" t="str">
        <f t="shared" ref="H197:H260" si="15">IF(OR(E197="",F197=""),"",F197-E197)</f>
        <v/>
      </c>
      <c r="I197" s="75" t="str">
        <f t="shared" ref="I197:I260" si="16">IF(OR(F197="",G197=""),"",F197-G197)</f>
        <v/>
      </c>
      <c r="J197" s="77" t="str">
        <f t="shared" ref="J197:J260" si="17">IF(OR(E197="",E197=0,F197=""),"",F197/E197)</f>
        <v/>
      </c>
      <c r="K197" s="77" t="str">
        <f t="shared" ref="K197:K260" si="18">IF(OR(G197="",G197=0,F197=""),"",F197/G197)</f>
        <v/>
      </c>
      <c r="L197" s="78" t="str">
        <f t="shared" ref="L197:L260" si="19">IF(OR(D197="",D197=0,G197=""),"",G197/D197)</f>
        <v/>
      </c>
      <c r="M197" s="69"/>
    </row>
    <row r="198" spans="1:13" x14ac:dyDescent="0.3">
      <c r="A198" s="76"/>
      <c r="B198" s="69"/>
      <c r="C198" s="67" t="str">
        <f>IF(B198="","",IFERROR(INDEX(Projects!$B$5:$B$104,MATCH(B198,Projects!$A$5:$A$104,0)),"?"))</f>
        <v/>
      </c>
      <c r="D198" s="73"/>
      <c r="E198" s="73"/>
      <c r="F198" s="73"/>
      <c r="G198" s="73"/>
      <c r="H198" s="75" t="str">
        <f t="shared" si="15"/>
        <v/>
      </c>
      <c r="I198" s="75" t="str">
        <f t="shared" si="16"/>
        <v/>
      </c>
      <c r="J198" s="77" t="str">
        <f t="shared" si="17"/>
        <v/>
      </c>
      <c r="K198" s="77" t="str">
        <f t="shared" si="18"/>
        <v/>
      </c>
      <c r="L198" s="78" t="str">
        <f t="shared" si="19"/>
        <v/>
      </c>
      <c r="M198" s="69"/>
    </row>
    <row r="199" spans="1:13" x14ac:dyDescent="0.3">
      <c r="A199" s="76"/>
      <c r="B199" s="69"/>
      <c r="C199" s="67" t="str">
        <f>IF(B199="","",IFERROR(INDEX(Projects!$B$5:$B$104,MATCH(B199,Projects!$A$5:$A$104,0)),"?"))</f>
        <v/>
      </c>
      <c r="D199" s="73"/>
      <c r="E199" s="73"/>
      <c r="F199" s="73"/>
      <c r="G199" s="73"/>
      <c r="H199" s="75" t="str">
        <f t="shared" si="15"/>
        <v/>
      </c>
      <c r="I199" s="75" t="str">
        <f t="shared" si="16"/>
        <v/>
      </c>
      <c r="J199" s="77" t="str">
        <f t="shared" si="17"/>
        <v/>
      </c>
      <c r="K199" s="77" t="str">
        <f t="shared" si="18"/>
        <v/>
      </c>
      <c r="L199" s="78" t="str">
        <f t="shared" si="19"/>
        <v/>
      </c>
      <c r="M199" s="69"/>
    </row>
    <row r="200" spans="1:13" x14ac:dyDescent="0.3">
      <c r="A200" s="76"/>
      <c r="B200" s="69"/>
      <c r="C200" s="67" t="str">
        <f>IF(B200="","",IFERROR(INDEX(Projects!$B$5:$B$104,MATCH(B200,Projects!$A$5:$A$104,0)),"?"))</f>
        <v/>
      </c>
      <c r="D200" s="73"/>
      <c r="E200" s="73"/>
      <c r="F200" s="73"/>
      <c r="G200" s="73"/>
      <c r="H200" s="75" t="str">
        <f t="shared" si="15"/>
        <v/>
      </c>
      <c r="I200" s="75" t="str">
        <f t="shared" si="16"/>
        <v/>
      </c>
      <c r="J200" s="77" t="str">
        <f t="shared" si="17"/>
        <v/>
      </c>
      <c r="K200" s="77" t="str">
        <f t="shared" si="18"/>
        <v/>
      </c>
      <c r="L200" s="78" t="str">
        <f t="shared" si="19"/>
        <v/>
      </c>
      <c r="M200" s="69"/>
    </row>
    <row r="201" spans="1:13" x14ac:dyDescent="0.3">
      <c r="A201" s="76"/>
      <c r="B201" s="69"/>
      <c r="C201" s="67" t="str">
        <f>IF(B201="","",IFERROR(INDEX(Projects!$B$5:$B$104,MATCH(B201,Projects!$A$5:$A$104,0)),"?"))</f>
        <v/>
      </c>
      <c r="D201" s="73"/>
      <c r="E201" s="73"/>
      <c r="F201" s="73"/>
      <c r="G201" s="73"/>
      <c r="H201" s="75" t="str">
        <f t="shared" si="15"/>
        <v/>
      </c>
      <c r="I201" s="75" t="str">
        <f t="shared" si="16"/>
        <v/>
      </c>
      <c r="J201" s="77" t="str">
        <f t="shared" si="17"/>
        <v/>
      </c>
      <c r="K201" s="77" t="str">
        <f t="shared" si="18"/>
        <v/>
      </c>
      <c r="L201" s="78" t="str">
        <f t="shared" si="19"/>
        <v/>
      </c>
      <c r="M201" s="69"/>
    </row>
    <row r="202" spans="1:13" x14ac:dyDescent="0.3">
      <c r="A202" s="76"/>
      <c r="B202" s="69"/>
      <c r="C202" s="67" t="str">
        <f>IF(B202="","",IFERROR(INDEX(Projects!$B$5:$B$104,MATCH(B202,Projects!$A$5:$A$104,0)),"?"))</f>
        <v/>
      </c>
      <c r="D202" s="73"/>
      <c r="E202" s="73"/>
      <c r="F202" s="73"/>
      <c r="G202" s="73"/>
      <c r="H202" s="75" t="str">
        <f t="shared" si="15"/>
        <v/>
      </c>
      <c r="I202" s="75" t="str">
        <f t="shared" si="16"/>
        <v/>
      </c>
      <c r="J202" s="77" t="str">
        <f t="shared" si="17"/>
        <v/>
      </c>
      <c r="K202" s="77" t="str">
        <f t="shared" si="18"/>
        <v/>
      </c>
      <c r="L202" s="78" t="str">
        <f t="shared" si="19"/>
        <v/>
      </c>
      <c r="M202" s="69"/>
    </row>
    <row r="203" spans="1:13" x14ac:dyDescent="0.3">
      <c r="A203" s="76"/>
      <c r="B203" s="69"/>
      <c r="C203" s="67" t="str">
        <f>IF(B203="","",IFERROR(INDEX(Projects!$B$5:$B$104,MATCH(B203,Projects!$A$5:$A$104,0)),"?"))</f>
        <v/>
      </c>
      <c r="D203" s="73"/>
      <c r="E203" s="73"/>
      <c r="F203" s="73"/>
      <c r="G203" s="73"/>
      <c r="H203" s="75" t="str">
        <f t="shared" si="15"/>
        <v/>
      </c>
      <c r="I203" s="75" t="str">
        <f t="shared" si="16"/>
        <v/>
      </c>
      <c r="J203" s="77" t="str">
        <f t="shared" si="17"/>
        <v/>
      </c>
      <c r="K203" s="77" t="str">
        <f t="shared" si="18"/>
        <v/>
      </c>
      <c r="L203" s="78" t="str">
        <f t="shared" si="19"/>
        <v/>
      </c>
      <c r="M203" s="69"/>
    </row>
    <row r="204" spans="1:13" x14ac:dyDescent="0.3">
      <c r="A204" s="76"/>
      <c r="B204" s="69"/>
      <c r="C204" s="67" t="str">
        <f>IF(B204="","",IFERROR(INDEX(Projects!$B$5:$B$104,MATCH(B204,Projects!$A$5:$A$104,0)),"?"))</f>
        <v/>
      </c>
      <c r="D204" s="73"/>
      <c r="E204" s="73"/>
      <c r="F204" s="73"/>
      <c r="G204" s="73"/>
      <c r="H204" s="75" t="str">
        <f t="shared" si="15"/>
        <v/>
      </c>
      <c r="I204" s="75" t="str">
        <f t="shared" si="16"/>
        <v/>
      </c>
      <c r="J204" s="77" t="str">
        <f t="shared" si="17"/>
        <v/>
      </c>
      <c r="K204" s="77" t="str">
        <f t="shared" si="18"/>
        <v/>
      </c>
      <c r="L204" s="78" t="str">
        <f t="shared" si="19"/>
        <v/>
      </c>
      <c r="M204" s="69"/>
    </row>
    <row r="205" spans="1:13" x14ac:dyDescent="0.3">
      <c r="A205" s="76"/>
      <c r="B205" s="69"/>
      <c r="C205" s="67" t="str">
        <f>IF(B205="","",IFERROR(INDEX(Projects!$B$5:$B$104,MATCH(B205,Projects!$A$5:$A$104,0)),"?"))</f>
        <v/>
      </c>
      <c r="D205" s="73"/>
      <c r="E205" s="73"/>
      <c r="F205" s="73"/>
      <c r="G205" s="73"/>
      <c r="H205" s="75" t="str">
        <f t="shared" si="15"/>
        <v/>
      </c>
      <c r="I205" s="75" t="str">
        <f t="shared" si="16"/>
        <v/>
      </c>
      <c r="J205" s="77" t="str">
        <f t="shared" si="17"/>
        <v/>
      </c>
      <c r="K205" s="77" t="str">
        <f t="shared" si="18"/>
        <v/>
      </c>
      <c r="L205" s="78" t="str">
        <f t="shared" si="19"/>
        <v/>
      </c>
      <c r="M205" s="69"/>
    </row>
    <row r="206" spans="1:13" x14ac:dyDescent="0.3">
      <c r="A206" s="76"/>
      <c r="B206" s="69"/>
      <c r="C206" s="67" t="str">
        <f>IF(B206="","",IFERROR(INDEX(Projects!$B$5:$B$104,MATCH(B206,Projects!$A$5:$A$104,0)),"?"))</f>
        <v/>
      </c>
      <c r="D206" s="73"/>
      <c r="E206" s="73"/>
      <c r="F206" s="73"/>
      <c r="G206" s="73"/>
      <c r="H206" s="75" t="str">
        <f t="shared" si="15"/>
        <v/>
      </c>
      <c r="I206" s="75" t="str">
        <f t="shared" si="16"/>
        <v/>
      </c>
      <c r="J206" s="77" t="str">
        <f t="shared" si="17"/>
        <v/>
      </c>
      <c r="K206" s="77" t="str">
        <f t="shared" si="18"/>
        <v/>
      </c>
      <c r="L206" s="78" t="str">
        <f t="shared" si="19"/>
        <v/>
      </c>
      <c r="M206" s="69"/>
    </row>
    <row r="207" spans="1:13" x14ac:dyDescent="0.3">
      <c r="A207" s="76"/>
      <c r="B207" s="69"/>
      <c r="C207" s="67" t="str">
        <f>IF(B207="","",IFERROR(INDEX(Projects!$B$5:$B$104,MATCH(B207,Projects!$A$5:$A$104,0)),"?"))</f>
        <v/>
      </c>
      <c r="D207" s="73"/>
      <c r="E207" s="73"/>
      <c r="F207" s="73"/>
      <c r="G207" s="73"/>
      <c r="H207" s="75" t="str">
        <f t="shared" si="15"/>
        <v/>
      </c>
      <c r="I207" s="75" t="str">
        <f t="shared" si="16"/>
        <v/>
      </c>
      <c r="J207" s="77" t="str">
        <f t="shared" si="17"/>
        <v/>
      </c>
      <c r="K207" s="77" t="str">
        <f t="shared" si="18"/>
        <v/>
      </c>
      <c r="L207" s="78" t="str">
        <f t="shared" si="19"/>
        <v/>
      </c>
      <c r="M207" s="69"/>
    </row>
    <row r="208" spans="1:13" x14ac:dyDescent="0.3">
      <c r="A208" s="76"/>
      <c r="B208" s="69"/>
      <c r="C208" s="67" t="str">
        <f>IF(B208="","",IFERROR(INDEX(Projects!$B$5:$B$104,MATCH(B208,Projects!$A$5:$A$104,0)),"?"))</f>
        <v/>
      </c>
      <c r="D208" s="73"/>
      <c r="E208" s="73"/>
      <c r="F208" s="73"/>
      <c r="G208" s="73"/>
      <c r="H208" s="75" t="str">
        <f t="shared" si="15"/>
        <v/>
      </c>
      <c r="I208" s="75" t="str">
        <f t="shared" si="16"/>
        <v/>
      </c>
      <c r="J208" s="77" t="str">
        <f t="shared" si="17"/>
        <v/>
      </c>
      <c r="K208" s="77" t="str">
        <f t="shared" si="18"/>
        <v/>
      </c>
      <c r="L208" s="78" t="str">
        <f t="shared" si="19"/>
        <v/>
      </c>
      <c r="M208" s="69"/>
    </row>
    <row r="209" spans="1:13" x14ac:dyDescent="0.3">
      <c r="A209" s="76"/>
      <c r="B209" s="69"/>
      <c r="C209" s="67" t="str">
        <f>IF(B209="","",IFERROR(INDEX(Projects!$B$5:$B$104,MATCH(B209,Projects!$A$5:$A$104,0)),"?"))</f>
        <v/>
      </c>
      <c r="D209" s="73"/>
      <c r="E209" s="73"/>
      <c r="F209" s="73"/>
      <c r="G209" s="73"/>
      <c r="H209" s="75" t="str">
        <f t="shared" si="15"/>
        <v/>
      </c>
      <c r="I209" s="75" t="str">
        <f t="shared" si="16"/>
        <v/>
      </c>
      <c r="J209" s="77" t="str">
        <f t="shared" si="17"/>
        <v/>
      </c>
      <c r="K209" s="77" t="str">
        <f t="shared" si="18"/>
        <v/>
      </c>
      <c r="L209" s="78" t="str">
        <f t="shared" si="19"/>
        <v/>
      </c>
      <c r="M209" s="69"/>
    </row>
    <row r="210" spans="1:13" x14ac:dyDescent="0.3">
      <c r="A210" s="76"/>
      <c r="B210" s="69"/>
      <c r="C210" s="67" t="str">
        <f>IF(B210="","",IFERROR(INDEX(Projects!$B$5:$B$104,MATCH(B210,Projects!$A$5:$A$104,0)),"?"))</f>
        <v/>
      </c>
      <c r="D210" s="73"/>
      <c r="E210" s="73"/>
      <c r="F210" s="73"/>
      <c r="G210" s="73"/>
      <c r="H210" s="75" t="str">
        <f t="shared" si="15"/>
        <v/>
      </c>
      <c r="I210" s="75" t="str">
        <f t="shared" si="16"/>
        <v/>
      </c>
      <c r="J210" s="77" t="str">
        <f t="shared" si="17"/>
        <v/>
      </c>
      <c r="K210" s="77" t="str">
        <f t="shared" si="18"/>
        <v/>
      </c>
      <c r="L210" s="78" t="str">
        <f t="shared" si="19"/>
        <v/>
      </c>
      <c r="M210" s="69"/>
    </row>
    <row r="211" spans="1:13" x14ac:dyDescent="0.3">
      <c r="A211" s="76"/>
      <c r="B211" s="69"/>
      <c r="C211" s="67" t="str">
        <f>IF(B211="","",IFERROR(INDEX(Projects!$B$5:$B$104,MATCH(B211,Projects!$A$5:$A$104,0)),"?"))</f>
        <v/>
      </c>
      <c r="D211" s="73"/>
      <c r="E211" s="73"/>
      <c r="F211" s="73"/>
      <c r="G211" s="73"/>
      <c r="H211" s="75" t="str">
        <f t="shared" si="15"/>
        <v/>
      </c>
      <c r="I211" s="75" t="str">
        <f t="shared" si="16"/>
        <v/>
      </c>
      <c r="J211" s="77" t="str">
        <f t="shared" si="17"/>
        <v/>
      </c>
      <c r="K211" s="77" t="str">
        <f t="shared" si="18"/>
        <v/>
      </c>
      <c r="L211" s="78" t="str">
        <f t="shared" si="19"/>
        <v/>
      </c>
      <c r="M211" s="69"/>
    </row>
    <row r="212" spans="1:13" x14ac:dyDescent="0.3">
      <c r="A212" s="76"/>
      <c r="B212" s="69"/>
      <c r="C212" s="67" t="str">
        <f>IF(B212="","",IFERROR(INDEX(Projects!$B$5:$B$104,MATCH(B212,Projects!$A$5:$A$104,0)),"?"))</f>
        <v/>
      </c>
      <c r="D212" s="73"/>
      <c r="E212" s="73"/>
      <c r="F212" s="73"/>
      <c r="G212" s="73"/>
      <c r="H212" s="75" t="str">
        <f t="shared" si="15"/>
        <v/>
      </c>
      <c r="I212" s="75" t="str">
        <f t="shared" si="16"/>
        <v/>
      </c>
      <c r="J212" s="77" t="str">
        <f t="shared" si="17"/>
        <v/>
      </c>
      <c r="K212" s="77" t="str">
        <f t="shared" si="18"/>
        <v/>
      </c>
      <c r="L212" s="78" t="str">
        <f t="shared" si="19"/>
        <v/>
      </c>
      <c r="M212" s="69"/>
    </row>
    <row r="213" spans="1:13" x14ac:dyDescent="0.3">
      <c r="A213" s="76"/>
      <c r="B213" s="69"/>
      <c r="C213" s="67" t="str">
        <f>IF(B213="","",IFERROR(INDEX(Projects!$B$5:$B$104,MATCH(B213,Projects!$A$5:$A$104,0)),"?"))</f>
        <v/>
      </c>
      <c r="D213" s="73"/>
      <c r="E213" s="73"/>
      <c r="F213" s="73"/>
      <c r="G213" s="73"/>
      <c r="H213" s="75" t="str">
        <f t="shared" si="15"/>
        <v/>
      </c>
      <c r="I213" s="75" t="str">
        <f t="shared" si="16"/>
        <v/>
      </c>
      <c r="J213" s="77" t="str">
        <f t="shared" si="17"/>
        <v/>
      </c>
      <c r="K213" s="77" t="str">
        <f t="shared" si="18"/>
        <v/>
      </c>
      <c r="L213" s="78" t="str">
        <f t="shared" si="19"/>
        <v/>
      </c>
      <c r="M213" s="69"/>
    </row>
    <row r="214" spans="1:13" x14ac:dyDescent="0.3">
      <c r="A214" s="76"/>
      <c r="B214" s="69"/>
      <c r="C214" s="67" t="str">
        <f>IF(B214="","",IFERROR(INDEX(Projects!$B$5:$B$104,MATCH(B214,Projects!$A$5:$A$104,0)),"?"))</f>
        <v/>
      </c>
      <c r="D214" s="73"/>
      <c r="E214" s="73"/>
      <c r="F214" s="73"/>
      <c r="G214" s="73"/>
      <c r="H214" s="75" t="str">
        <f t="shared" si="15"/>
        <v/>
      </c>
      <c r="I214" s="75" t="str">
        <f t="shared" si="16"/>
        <v/>
      </c>
      <c r="J214" s="77" t="str">
        <f t="shared" si="17"/>
        <v/>
      </c>
      <c r="K214" s="77" t="str">
        <f t="shared" si="18"/>
        <v/>
      </c>
      <c r="L214" s="78" t="str">
        <f t="shared" si="19"/>
        <v/>
      </c>
      <c r="M214" s="69"/>
    </row>
    <row r="215" spans="1:13" x14ac:dyDescent="0.3">
      <c r="A215" s="76"/>
      <c r="B215" s="69"/>
      <c r="C215" s="67" t="str">
        <f>IF(B215="","",IFERROR(INDEX(Projects!$B$5:$B$104,MATCH(B215,Projects!$A$5:$A$104,0)),"?"))</f>
        <v/>
      </c>
      <c r="D215" s="73"/>
      <c r="E215" s="73"/>
      <c r="F215" s="73"/>
      <c r="G215" s="73"/>
      <c r="H215" s="75" t="str">
        <f t="shared" si="15"/>
        <v/>
      </c>
      <c r="I215" s="75" t="str">
        <f t="shared" si="16"/>
        <v/>
      </c>
      <c r="J215" s="77" t="str">
        <f t="shared" si="17"/>
        <v/>
      </c>
      <c r="K215" s="77" t="str">
        <f t="shared" si="18"/>
        <v/>
      </c>
      <c r="L215" s="78" t="str">
        <f t="shared" si="19"/>
        <v/>
      </c>
      <c r="M215" s="69"/>
    </row>
    <row r="216" spans="1:13" x14ac:dyDescent="0.3">
      <c r="A216" s="76"/>
      <c r="B216" s="69"/>
      <c r="C216" s="67" t="str">
        <f>IF(B216="","",IFERROR(INDEX(Projects!$B$5:$B$104,MATCH(B216,Projects!$A$5:$A$104,0)),"?"))</f>
        <v/>
      </c>
      <c r="D216" s="73"/>
      <c r="E216" s="73"/>
      <c r="F216" s="73"/>
      <c r="G216" s="73"/>
      <c r="H216" s="75" t="str">
        <f t="shared" si="15"/>
        <v/>
      </c>
      <c r="I216" s="75" t="str">
        <f t="shared" si="16"/>
        <v/>
      </c>
      <c r="J216" s="77" t="str">
        <f t="shared" si="17"/>
        <v/>
      </c>
      <c r="K216" s="77" t="str">
        <f t="shared" si="18"/>
        <v/>
      </c>
      <c r="L216" s="78" t="str">
        <f t="shared" si="19"/>
        <v/>
      </c>
      <c r="M216" s="69"/>
    </row>
    <row r="217" spans="1:13" x14ac:dyDescent="0.3">
      <c r="A217" s="76"/>
      <c r="B217" s="69"/>
      <c r="C217" s="67" t="str">
        <f>IF(B217="","",IFERROR(INDEX(Projects!$B$5:$B$104,MATCH(B217,Projects!$A$5:$A$104,0)),"?"))</f>
        <v/>
      </c>
      <c r="D217" s="73"/>
      <c r="E217" s="73"/>
      <c r="F217" s="73"/>
      <c r="G217" s="73"/>
      <c r="H217" s="75" t="str">
        <f t="shared" si="15"/>
        <v/>
      </c>
      <c r="I217" s="75" t="str">
        <f t="shared" si="16"/>
        <v/>
      </c>
      <c r="J217" s="77" t="str">
        <f t="shared" si="17"/>
        <v/>
      </c>
      <c r="K217" s="77" t="str">
        <f t="shared" si="18"/>
        <v/>
      </c>
      <c r="L217" s="78" t="str">
        <f t="shared" si="19"/>
        <v/>
      </c>
      <c r="M217" s="69"/>
    </row>
    <row r="218" spans="1:13" x14ac:dyDescent="0.3">
      <c r="A218" s="76"/>
      <c r="B218" s="69"/>
      <c r="C218" s="67" t="str">
        <f>IF(B218="","",IFERROR(INDEX(Projects!$B$5:$B$104,MATCH(B218,Projects!$A$5:$A$104,0)),"?"))</f>
        <v/>
      </c>
      <c r="D218" s="73"/>
      <c r="E218" s="73"/>
      <c r="F218" s="73"/>
      <c r="G218" s="73"/>
      <c r="H218" s="75" t="str">
        <f t="shared" si="15"/>
        <v/>
      </c>
      <c r="I218" s="75" t="str">
        <f t="shared" si="16"/>
        <v/>
      </c>
      <c r="J218" s="77" t="str">
        <f t="shared" si="17"/>
        <v/>
      </c>
      <c r="K218" s="77" t="str">
        <f t="shared" si="18"/>
        <v/>
      </c>
      <c r="L218" s="78" t="str">
        <f t="shared" si="19"/>
        <v/>
      </c>
      <c r="M218" s="69"/>
    </row>
    <row r="219" spans="1:13" x14ac:dyDescent="0.3">
      <c r="A219" s="76"/>
      <c r="B219" s="69"/>
      <c r="C219" s="67" t="str">
        <f>IF(B219="","",IFERROR(INDEX(Projects!$B$5:$B$104,MATCH(B219,Projects!$A$5:$A$104,0)),"?"))</f>
        <v/>
      </c>
      <c r="D219" s="73"/>
      <c r="E219" s="73"/>
      <c r="F219" s="73"/>
      <c r="G219" s="73"/>
      <c r="H219" s="75" t="str">
        <f t="shared" si="15"/>
        <v/>
      </c>
      <c r="I219" s="75" t="str">
        <f t="shared" si="16"/>
        <v/>
      </c>
      <c r="J219" s="77" t="str">
        <f t="shared" si="17"/>
        <v/>
      </c>
      <c r="K219" s="77" t="str">
        <f t="shared" si="18"/>
        <v/>
      </c>
      <c r="L219" s="78" t="str">
        <f t="shared" si="19"/>
        <v/>
      </c>
      <c r="M219" s="69"/>
    </row>
    <row r="220" spans="1:13" x14ac:dyDescent="0.3">
      <c r="A220" s="76"/>
      <c r="B220" s="69"/>
      <c r="C220" s="67" t="str">
        <f>IF(B220="","",IFERROR(INDEX(Projects!$B$5:$B$104,MATCH(B220,Projects!$A$5:$A$104,0)),"?"))</f>
        <v/>
      </c>
      <c r="D220" s="73"/>
      <c r="E220" s="73"/>
      <c r="F220" s="73"/>
      <c r="G220" s="73"/>
      <c r="H220" s="75" t="str">
        <f t="shared" si="15"/>
        <v/>
      </c>
      <c r="I220" s="75" t="str">
        <f t="shared" si="16"/>
        <v/>
      </c>
      <c r="J220" s="77" t="str">
        <f t="shared" si="17"/>
        <v/>
      </c>
      <c r="K220" s="77" t="str">
        <f t="shared" si="18"/>
        <v/>
      </c>
      <c r="L220" s="78" t="str">
        <f t="shared" si="19"/>
        <v/>
      </c>
      <c r="M220" s="69"/>
    </row>
    <row r="221" spans="1:13" x14ac:dyDescent="0.3">
      <c r="A221" s="76"/>
      <c r="B221" s="69"/>
      <c r="C221" s="67" t="str">
        <f>IF(B221="","",IFERROR(INDEX(Projects!$B$5:$B$104,MATCH(B221,Projects!$A$5:$A$104,0)),"?"))</f>
        <v/>
      </c>
      <c r="D221" s="73"/>
      <c r="E221" s="73"/>
      <c r="F221" s="73"/>
      <c r="G221" s="73"/>
      <c r="H221" s="75" t="str">
        <f t="shared" si="15"/>
        <v/>
      </c>
      <c r="I221" s="75" t="str">
        <f t="shared" si="16"/>
        <v/>
      </c>
      <c r="J221" s="77" t="str">
        <f t="shared" si="17"/>
        <v/>
      </c>
      <c r="K221" s="77" t="str">
        <f t="shared" si="18"/>
        <v/>
      </c>
      <c r="L221" s="78" t="str">
        <f t="shared" si="19"/>
        <v/>
      </c>
      <c r="M221" s="69"/>
    </row>
    <row r="222" spans="1:13" x14ac:dyDescent="0.3">
      <c r="A222" s="76"/>
      <c r="B222" s="69"/>
      <c r="C222" s="67" t="str">
        <f>IF(B222="","",IFERROR(INDEX(Projects!$B$5:$B$104,MATCH(B222,Projects!$A$5:$A$104,0)),"?"))</f>
        <v/>
      </c>
      <c r="D222" s="73"/>
      <c r="E222" s="73"/>
      <c r="F222" s="73"/>
      <c r="G222" s="73"/>
      <c r="H222" s="75" t="str">
        <f t="shared" si="15"/>
        <v/>
      </c>
      <c r="I222" s="75" t="str">
        <f t="shared" si="16"/>
        <v/>
      </c>
      <c r="J222" s="77" t="str">
        <f t="shared" si="17"/>
        <v/>
      </c>
      <c r="K222" s="77" t="str">
        <f t="shared" si="18"/>
        <v/>
      </c>
      <c r="L222" s="78" t="str">
        <f t="shared" si="19"/>
        <v/>
      </c>
      <c r="M222" s="69"/>
    </row>
    <row r="223" spans="1:13" x14ac:dyDescent="0.3">
      <c r="A223" s="76"/>
      <c r="B223" s="69"/>
      <c r="C223" s="67" t="str">
        <f>IF(B223="","",IFERROR(INDEX(Projects!$B$5:$B$104,MATCH(B223,Projects!$A$5:$A$104,0)),"?"))</f>
        <v/>
      </c>
      <c r="D223" s="73"/>
      <c r="E223" s="73"/>
      <c r="F223" s="73"/>
      <c r="G223" s="73"/>
      <c r="H223" s="75" t="str">
        <f t="shared" si="15"/>
        <v/>
      </c>
      <c r="I223" s="75" t="str">
        <f t="shared" si="16"/>
        <v/>
      </c>
      <c r="J223" s="77" t="str">
        <f t="shared" si="17"/>
        <v/>
      </c>
      <c r="K223" s="77" t="str">
        <f t="shared" si="18"/>
        <v/>
      </c>
      <c r="L223" s="78" t="str">
        <f t="shared" si="19"/>
        <v/>
      </c>
      <c r="M223" s="69"/>
    </row>
    <row r="224" spans="1:13" x14ac:dyDescent="0.3">
      <c r="A224" s="76"/>
      <c r="B224" s="69"/>
      <c r="C224" s="67" t="str">
        <f>IF(B224="","",IFERROR(INDEX(Projects!$B$5:$B$104,MATCH(B224,Projects!$A$5:$A$104,0)),"?"))</f>
        <v/>
      </c>
      <c r="D224" s="73"/>
      <c r="E224" s="73"/>
      <c r="F224" s="73"/>
      <c r="G224" s="73"/>
      <c r="H224" s="75" t="str">
        <f t="shared" si="15"/>
        <v/>
      </c>
      <c r="I224" s="75" t="str">
        <f t="shared" si="16"/>
        <v/>
      </c>
      <c r="J224" s="77" t="str">
        <f t="shared" si="17"/>
        <v/>
      </c>
      <c r="K224" s="77" t="str">
        <f t="shared" si="18"/>
        <v/>
      </c>
      <c r="L224" s="78" t="str">
        <f t="shared" si="19"/>
        <v/>
      </c>
      <c r="M224" s="69"/>
    </row>
    <row r="225" spans="1:13" x14ac:dyDescent="0.3">
      <c r="A225" s="76"/>
      <c r="B225" s="69"/>
      <c r="C225" s="67" t="str">
        <f>IF(B225="","",IFERROR(INDEX(Projects!$B$5:$B$104,MATCH(B225,Projects!$A$5:$A$104,0)),"?"))</f>
        <v/>
      </c>
      <c r="D225" s="73"/>
      <c r="E225" s="73"/>
      <c r="F225" s="73"/>
      <c r="G225" s="73"/>
      <c r="H225" s="75" t="str">
        <f t="shared" si="15"/>
        <v/>
      </c>
      <c r="I225" s="75" t="str">
        <f t="shared" si="16"/>
        <v/>
      </c>
      <c r="J225" s="77" t="str">
        <f t="shared" si="17"/>
        <v/>
      </c>
      <c r="K225" s="77" t="str">
        <f t="shared" si="18"/>
        <v/>
      </c>
      <c r="L225" s="78" t="str">
        <f t="shared" si="19"/>
        <v/>
      </c>
      <c r="M225" s="69"/>
    </row>
    <row r="226" spans="1:13" x14ac:dyDescent="0.3">
      <c r="A226" s="76"/>
      <c r="B226" s="69"/>
      <c r="C226" s="67" t="str">
        <f>IF(B226="","",IFERROR(INDEX(Projects!$B$5:$B$104,MATCH(B226,Projects!$A$5:$A$104,0)),"?"))</f>
        <v/>
      </c>
      <c r="D226" s="73"/>
      <c r="E226" s="73"/>
      <c r="F226" s="73"/>
      <c r="G226" s="73"/>
      <c r="H226" s="75" t="str">
        <f t="shared" si="15"/>
        <v/>
      </c>
      <c r="I226" s="75" t="str">
        <f t="shared" si="16"/>
        <v/>
      </c>
      <c r="J226" s="77" t="str">
        <f t="shared" si="17"/>
        <v/>
      </c>
      <c r="K226" s="77" t="str">
        <f t="shared" si="18"/>
        <v/>
      </c>
      <c r="L226" s="78" t="str">
        <f t="shared" si="19"/>
        <v/>
      </c>
      <c r="M226" s="69"/>
    </row>
    <row r="227" spans="1:13" x14ac:dyDescent="0.3">
      <c r="A227" s="76"/>
      <c r="B227" s="69"/>
      <c r="C227" s="67" t="str">
        <f>IF(B227="","",IFERROR(INDEX(Projects!$B$5:$B$104,MATCH(B227,Projects!$A$5:$A$104,0)),"?"))</f>
        <v/>
      </c>
      <c r="D227" s="73"/>
      <c r="E227" s="73"/>
      <c r="F227" s="73"/>
      <c r="G227" s="73"/>
      <c r="H227" s="75" t="str">
        <f t="shared" si="15"/>
        <v/>
      </c>
      <c r="I227" s="75" t="str">
        <f t="shared" si="16"/>
        <v/>
      </c>
      <c r="J227" s="77" t="str">
        <f t="shared" si="17"/>
        <v/>
      </c>
      <c r="K227" s="77" t="str">
        <f t="shared" si="18"/>
        <v/>
      </c>
      <c r="L227" s="78" t="str">
        <f t="shared" si="19"/>
        <v/>
      </c>
      <c r="M227" s="69"/>
    </row>
    <row r="228" spans="1:13" x14ac:dyDescent="0.3">
      <c r="A228" s="76"/>
      <c r="B228" s="69"/>
      <c r="C228" s="67" t="str">
        <f>IF(B228="","",IFERROR(INDEX(Projects!$B$5:$B$104,MATCH(B228,Projects!$A$5:$A$104,0)),"?"))</f>
        <v/>
      </c>
      <c r="D228" s="73"/>
      <c r="E228" s="73"/>
      <c r="F228" s="73"/>
      <c r="G228" s="73"/>
      <c r="H228" s="75" t="str">
        <f t="shared" si="15"/>
        <v/>
      </c>
      <c r="I228" s="75" t="str">
        <f t="shared" si="16"/>
        <v/>
      </c>
      <c r="J228" s="77" t="str">
        <f t="shared" si="17"/>
        <v/>
      </c>
      <c r="K228" s="77" t="str">
        <f t="shared" si="18"/>
        <v/>
      </c>
      <c r="L228" s="78" t="str">
        <f t="shared" si="19"/>
        <v/>
      </c>
      <c r="M228" s="69"/>
    </row>
    <row r="229" spans="1:13" x14ac:dyDescent="0.3">
      <c r="A229" s="76"/>
      <c r="B229" s="69"/>
      <c r="C229" s="67" t="str">
        <f>IF(B229="","",IFERROR(INDEX(Projects!$B$5:$B$104,MATCH(B229,Projects!$A$5:$A$104,0)),"?"))</f>
        <v/>
      </c>
      <c r="D229" s="73"/>
      <c r="E229" s="73"/>
      <c r="F229" s="73"/>
      <c r="G229" s="73"/>
      <c r="H229" s="75" t="str">
        <f t="shared" si="15"/>
        <v/>
      </c>
      <c r="I229" s="75" t="str">
        <f t="shared" si="16"/>
        <v/>
      </c>
      <c r="J229" s="77" t="str">
        <f t="shared" si="17"/>
        <v/>
      </c>
      <c r="K229" s="77" t="str">
        <f t="shared" si="18"/>
        <v/>
      </c>
      <c r="L229" s="78" t="str">
        <f t="shared" si="19"/>
        <v/>
      </c>
      <c r="M229" s="69"/>
    </row>
    <row r="230" spans="1:13" x14ac:dyDescent="0.3">
      <c r="A230" s="76"/>
      <c r="B230" s="69"/>
      <c r="C230" s="67" t="str">
        <f>IF(B230="","",IFERROR(INDEX(Projects!$B$5:$B$104,MATCH(B230,Projects!$A$5:$A$104,0)),"?"))</f>
        <v/>
      </c>
      <c r="D230" s="73"/>
      <c r="E230" s="73"/>
      <c r="F230" s="73"/>
      <c r="G230" s="73"/>
      <c r="H230" s="75" t="str">
        <f t="shared" si="15"/>
        <v/>
      </c>
      <c r="I230" s="75" t="str">
        <f t="shared" si="16"/>
        <v/>
      </c>
      <c r="J230" s="77" t="str">
        <f t="shared" si="17"/>
        <v/>
      </c>
      <c r="K230" s="77" t="str">
        <f t="shared" si="18"/>
        <v/>
      </c>
      <c r="L230" s="78" t="str">
        <f t="shared" si="19"/>
        <v/>
      </c>
      <c r="M230" s="69"/>
    </row>
    <row r="231" spans="1:13" x14ac:dyDescent="0.3">
      <c r="A231" s="76"/>
      <c r="B231" s="69"/>
      <c r="C231" s="67" t="str">
        <f>IF(B231="","",IFERROR(INDEX(Projects!$B$5:$B$104,MATCH(B231,Projects!$A$5:$A$104,0)),"?"))</f>
        <v/>
      </c>
      <c r="D231" s="73"/>
      <c r="E231" s="73"/>
      <c r="F231" s="73"/>
      <c r="G231" s="73"/>
      <c r="H231" s="75" t="str">
        <f t="shared" si="15"/>
        <v/>
      </c>
      <c r="I231" s="75" t="str">
        <f t="shared" si="16"/>
        <v/>
      </c>
      <c r="J231" s="77" t="str">
        <f t="shared" si="17"/>
        <v/>
      </c>
      <c r="K231" s="77" t="str">
        <f t="shared" si="18"/>
        <v/>
      </c>
      <c r="L231" s="78" t="str">
        <f t="shared" si="19"/>
        <v/>
      </c>
      <c r="M231" s="69"/>
    </row>
    <row r="232" spans="1:13" x14ac:dyDescent="0.3">
      <c r="A232" s="76"/>
      <c r="B232" s="69"/>
      <c r="C232" s="67" t="str">
        <f>IF(B232="","",IFERROR(INDEX(Projects!$B$5:$B$104,MATCH(B232,Projects!$A$5:$A$104,0)),"?"))</f>
        <v/>
      </c>
      <c r="D232" s="73"/>
      <c r="E232" s="73"/>
      <c r="F232" s="73"/>
      <c r="G232" s="73"/>
      <c r="H232" s="75" t="str">
        <f t="shared" si="15"/>
        <v/>
      </c>
      <c r="I232" s="75" t="str">
        <f t="shared" si="16"/>
        <v/>
      </c>
      <c r="J232" s="77" t="str">
        <f t="shared" si="17"/>
        <v/>
      </c>
      <c r="K232" s="77" t="str">
        <f t="shared" si="18"/>
        <v/>
      </c>
      <c r="L232" s="78" t="str">
        <f t="shared" si="19"/>
        <v/>
      </c>
      <c r="M232" s="69"/>
    </row>
    <row r="233" spans="1:13" x14ac:dyDescent="0.3">
      <c r="A233" s="76"/>
      <c r="B233" s="69"/>
      <c r="C233" s="67" t="str">
        <f>IF(B233="","",IFERROR(INDEX(Projects!$B$5:$B$104,MATCH(B233,Projects!$A$5:$A$104,0)),"?"))</f>
        <v/>
      </c>
      <c r="D233" s="73"/>
      <c r="E233" s="73"/>
      <c r="F233" s="73"/>
      <c r="G233" s="73"/>
      <c r="H233" s="75" t="str">
        <f t="shared" si="15"/>
        <v/>
      </c>
      <c r="I233" s="75" t="str">
        <f t="shared" si="16"/>
        <v/>
      </c>
      <c r="J233" s="77" t="str">
        <f t="shared" si="17"/>
        <v/>
      </c>
      <c r="K233" s="77" t="str">
        <f t="shared" si="18"/>
        <v/>
      </c>
      <c r="L233" s="78" t="str">
        <f t="shared" si="19"/>
        <v/>
      </c>
      <c r="M233" s="69"/>
    </row>
    <row r="234" spans="1:13" x14ac:dyDescent="0.3">
      <c r="A234" s="76"/>
      <c r="B234" s="69"/>
      <c r="C234" s="67" t="str">
        <f>IF(B234="","",IFERROR(INDEX(Projects!$B$5:$B$104,MATCH(B234,Projects!$A$5:$A$104,0)),"?"))</f>
        <v/>
      </c>
      <c r="D234" s="73"/>
      <c r="E234" s="73"/>
      <c r="F234" s="73"/>
      <c r="G234" s="73"/>
      <c r="H234" s="75" t="str">
        <f t="shared" si="15"/>
        <v/>
      </c>
      <c r="I234" s="75" t="str">
        <f t="shared" si="16"/>
        <v/>
      </c>
      <c r="J234" s="77" t="str">
        <f t="shared" si="17"/>
        <v/>
      </c>
      <c r="K234" s="77" t="str">
        <f t="shared" si="18"/>
        <v/>
      </c>
      <c r="L234" s="78" t="str">
        <f t="shared" si="19"/>
        <v/>
      </c>
      <c r="M234" s="69"/>
    </row>
    <row r="235" spans="1:13" x14ac:dyDescent="0.3">
      <c r="A235" s="76"/>
      <c r="B235" s="69"/>
      <c r="C235" s="67" t="str">
        <f>IF(B235="","",IFERROR(INDEX(Projects!$B$5:$B$104,MATCH(B235,Projects!$A$5:$A$104,0)),"?"))</f>
        <v/>
      </c>
      <c r="D235" s="73"/>
      <c r="E235" s="73"/>
      <c r="F235" s="73"/>
      <c r="G235" s="73"/>
      <c r="H235" s="75" t="str">
        <f t="shared" si="15"/>
        <v/>
      </c>
      <c r="I235" s="75" t="str">
        <f t="shared" si="16"/>
        <v/>
      </c>
      <c r="J235" s="77" t="str">
        <f t="shared" si="17"/>
        <v/>
      </c>
      <c r="K235" s="77" t="str">
        <f t="shared" si="18"/>
        <v/>
      </c>
      <c r="L235" s="78" t="str">
        <f t="shared" si="19"/>
        <v/>
      </c>
      <c r="M235" s="69"/>
    </row>
    <row r="236" spans="1:13" x14ac:dyDescent="0.3">
      <c r="A236" s="76"/>
      <c r="B236" s="69"/>
      <c r="C236" s="67" t="str">
        <f>IF(B236="","",IFERROR(INDEX(Projects!$B$5:$B$104,MATCH(B236,Projects!$A$5:$A$104,0)),"?"))</f>
        <v/>
      </c>
      <c r="D236" s="73"/>
      <c r="E236" s="73"/>
      <c r="F236" s="73"/>
      <c r="G236" s="73"/>
      <c r="H236" s="75" t="str">
        <f t="shared" si="15"/>
        <v/>
      </c>
      <c r="I236" s="75" t="str">
        <f t="shared" si="16"/>
        <v/>
      </c>
      <c r="J236" s="77" t="str">
        <f t="shared" si="17"/>
        <v/>
      </c>
      <c r="K236" s="77" t="str">
        <f t="shared" si="18"/>
        <v/>
      </c>
      <c r="L236" s="78" t="str">
        <f t="shared" si="19"/>
        <v/>
      </c>
      <c r="M236" s="69"/>
    </row>
    <row r="237" spans="1:13" x14ac:dyDescent="0.3">
      <c r="A237" s="76"/>
      <c r="B237" s="69"/>
      <c r="C237" s="67" t="str">
        <f>IF(B237="","",IFERROR(INDEX(Projects!$B$5:$B$104,MATCH(B237,Projects!$A$5:$A$104,0)),"?"))</f>
        <v/>
      </c>
      <c r="D237" s="73"/>
      <c r="E237" s="73"/>
      <c r="F237" s="73"/>
      <c r="G237" s="73"/>
      <c r="H237" s="75" t="str">
        <f t="shared" si="15"/>
        <v/>
      </c>
      <c r="I237" s="75" t="str">
        <f t="shared" si="16"/>
        <v/>
      </c>
      <c r="J237" s="77" t="str">
        <f t="shared" si="17"/>
        <v/>
      </c>
      <c r="K237" s="77" t="str">
        <f t="shared" si="18"/>
        <v/>
      </c>
      <c r="L237" s="78" t="str">
        <f t="shared" si="19"/>
        <v/>
      </c>
      <c r="M237" s="69"/>
    </row>
    <row r="238" spans="1:13" x14ac:dyDescent="0.3">
      <c r="A238" s="76"/>
      <c r="B238" s="69"/>
      <c r="C238" s="67" t="str">
        <f>IF(B238="","",IFERROR(INDEX(Projects!$B$5:$B$104,MATCH(B238,Projects!$A$5:$A$104,0)),"?"))</f>
        <v/>
      </c>
      <c r="D238" s="73"/>
      <c r="E238" s="73"/>
      <c r="F238" s="73"/>
      <c r="G238" s="73"/>
      <c r="H238" s="75" t="str">
        <f t="shared" si="15"/>
        <v/>
      </c>
      <c r="I238" s="75" t="str">
        <f t="shared" si="16"/>
        <v/>
      </c>
      <c r="J238" s="77" t="str">
        <f t="shared" si="17"/>
        <v/>
      </c>
      <c r="K238" s="77" t="str">
        <f t="shared" si="18"/>
        <v/>
      </c>
      <c r="L238" s="78" t="str">
        <f t="shared" si="19"/>
        <v/>
      </c>
      <c r="M238" s="69"/>
    </row>
    <row r="239" spans="1:13" x14ac:dyDescent="0.3">
      <c r="A239" s="76"/>
      <c r="B239" s="69"/>
      <c r="C239" s="67" t="str">
        <f>IF(B239="","",IFERROR(INDEX(Projects!$B$5:$B$104,MATCH(B239,Projects!$A$5:$A$104,0)),"?"))</f>
        <v/>
      </c>
      <c r="D239" s="73"/>
      <c r="E239" s="73"/>
      <c r="F239" s="73"/>
      <c r="G239" s="73"/>
      <c r="H239" s="75" t="str">
        <f t="shared" si="15"/>
        <v/>
      </c>
      <c r="I239" s="75" t="str">
        <f t="shared" si="16"/>
        <v/>
      </c>
      <c r="J239" s="77" t="str">
        <f t="shared" si="17"/>
        <v/>
      </c>
      <c r="K239" s="77" t="str">
        <f t="shared" si="18"/>
        <v/>
      </c>
      <c r="L239" s="78" t="str">
        <f t="shared" si="19"/>
        <v/>
      </c>
      <c r="M239" s="69"/>
    </row>
    <row r="240" spans="1:13" x14ac:dyDescent="0.3">
      <c r="A240" s="76"/>
      <c r="B240" s="69"/>
      <c r="C240" s="67" t="str">
        <f>IF(B240="","",IFERROR(INDEX(Projects!$B$5:$B$104,MATCH(B240,Projects!$A$5:$A$104,0)),"?"))</f>
        <v/>
      </c>
      <c r="D240" s="73"/>
      <c r="E240" s="73"/>
      <c r="F240" s="73"/>
      <c r="G240" s="73"/>
      <c r="H240" s="75" t="str">
        <f t="shared" si="15"/>
        <v/>
      </c>
      <c r="I240" s="75" t="str">
        <f t="shared" si="16"/>
        <v/>
      </c>
      <c r="J240" s="77" t="str">
        <f t="shared" si="17"/>
        <v/>
      </c>
      <c r="K240" s="77" t="str">
        <f t="shared" si="18"/>
        <v/>
      </c>
      <c r="L240" s="78" t="str">
        <f t="shared" si="19"/>
        <v/>
      </c>
      <c r="M240" s="69"/>
    </row>
    <row r="241" spans="1:13" x14ac:dyDescent="0.3">
      <c r="A241" s="76"/>
      <c r="B241" s="69"/>
      <c r="C241" s="67" t="str">
        <f>IF(B241="","",IFERROR(INDEX(Projects!$B$5:$B$104,MATCH(B241,Projects!$A$5:$A$104,0)),"?"))</f>
        <v/>
      </c>
      <c r="D241" s="73"/>
      <c r="E241" s="73"/>
      <c r="F241" s="73"/>
      <c r="G241" s="73"/>
      <c r="H241" s="75" t="str">
        <f t="shared" si="15"/>
        <v/>
      </c>
      <c r="I241" s="75" t="str">
        <f t="shared" si="16"/>
        <v/>
      </c>
      <c r="J241" s="77" t="str">
        <f t="shared" si="17"/>
        <v/>
      </c>
      <c r="K241" s="77" t="str">
        <f t="shared" si="18"/>
        <v/>
      </c>
      <c r="L241" s="78" t="str">
        <f t="shared" si="19"/>
        <v/>
      </c>
      <c r="M241" s="69"/>
    </row>
    <row r="242" spans="1:13" x14ac:dyDescent="0.3">
      <c r="A242" s="76"/>
      <c r="B242" s="69"/>
      <c r="C242" s="67" t="str">
        <f>IF(B242="","",IFERROR(INDEX(Projects!$B$5:$B$104,MATCH(B242,Projects!$A$5:$A$104,0)),"?"))</f>
        <v/>
      </c>
      <c r="D242" s="73"/>
      <c r="E242" s="73"/>
      <c r="F242" s="73"/>
      <c r="G242" s="73"/>
      <c r="H242" s="75" t="str">
        <f t="shared" si="15"/>
        <v/>
      </c>
      <c r="I242" s="75" t="str">
        <f t="shared" si="16"/>
        <v/>
      </c>
      <c r="J242" s="77" t="str">
        <f t="shared" si="17"/>
        <v/>
      </c>
      <c r="K242" s="77" t="str">
        <f t="shared" si="18"/>
        <v/>
      </c>
      <c r="L242" s="78" t="str">
        <f t="shared" si="19"/>
        <v/>
      </c>
      <c r="M242" s="69"/>
    </row>
    <row r="243" spans="1:13" x14ac:dyDescent="0.3">
      <c r="A243" s="76"/>
      <c r="B243" s="69"/>
      <c r="C243" s="67" t="str">
        <f>IF(B243="","",IFERROR(INDEX(Projects!$B$5:$B$104,MATCH(B243,Projects!$A$5:$A$104,0)),"?"))</f>
        <v/>
      </c>
      <c r="D243" s="73"/>
      <c r="E243" s="73"/>
      <c r="F243" s="73"/>
      <c r="G243" s="73"/>
      <c r="H243" s="75" t="str">
        <f t="shared" si="15"/>
        <v/>
      </c>
      <c r="I243" s="75" t="str">
        <f t="shared" si="16"/>
        <v/>
      </c>
      <c r="J243" s="77" t="str">
        <f t="shared" si="17"/>
        <v/>
      </c>
      <c r="K243" s="77" t="str">
        <f t="shared" si="18"/>
        <v/>
      </c>
      <c r="L243" s="78" t="str">
        <f t="shared" si="19"/>
        <v/>
      </c>
      <c r="M243" s="69"/>
    </row>
    <row r="244" spans="1:13" x14ac:dyDescent="0.3">
      <c r="A244" s="76"/>
      <c r="B244" s="69"/>
      <c r="C244" s="67" t="str">
        <f>IF(B244="","",IFERROR(INDEX(Projects!$B$5:$B$104,MATCH(B244,Projects!$A$5:$A$104,0)),"?"))</f>
        <v/>
      </c>
      <c r="D244" s="73"/>
      <c r="E244" s="73"/>
      <c r="F244" s="73"/>
      <c r="G244" s="73"/>
      <c r="H244" s="75" t="str">
        <f t="shared" si="15"/>
        <v/>
      </c>
      <c r="I244" s="75" t="str">
        <f t="shared" si="16"/>
        <v/>
      </c>
      <c r="J244" s="77" t="str">
        <f t="shared" si="17"/>
        <v/>
      </c>
      <c r="K244" s="77" t="str">
        <f t="shared" si="18"/>
        <v/>
      </c>
      <c r="L244" s="78" t="str">
        <f t="shared" si="19"/>
        <v/>
      </c>
      <c r="M244" s="69"/>
    </row>
    <row r="245" spans="1:13" x14ac:dyDescent="0.3">
      <c r="A245" s="76"/>
      <c r="B245" s="69"/>
      <c r="C245" s="67" t="str">
        <f>IF(B245="","",IFERROR(INDEX(Projects!$B$5:$B$104,MATCH(B245,Projects!$A$5:$A$104,0)),"?"))</f>
        <v/>
      </c>
      <c r="D245" s="73"/>
      <c r="E245" s="73"/>
      <c r="F245" s="73"/>
      <c r="G245" s="73"/>
      <c r="H245" s="75" t="str">
        <f t="shared" si="15"/>
        <v/>
      </c>
      <c r="I245" s="75" t="str">
        <f t="shared" si="16"/>
        <v/>
      </c>
      <c r="J245" s="77" t="str">
        <f t="shared" si="17"/>
        <v/>
      </c>
      <c r="K245" s="77" t="str">
        <f t="shared" si="18"/>
        <v/>
      </c>
      <c r="L245" s="78" t="str">
        <f t="shared" si="19"/>
        <v/>
      </c>
      <c r="M245" s="69"/>
    </row>
    <row r="246" spans="1:13" x14ac:dyDescent="0.3">
      <c r="A246" s="76"/>
      <c r="B246" s="69"/>
      <c r="C246" s="67" t="str">
        <f>IF(B246="","",IFERROR(INDEX(Projects!$B$5:$B$104,MATCH(B246,Projects!$A$5:$A$104,0)),"?"))</f>
        <v/>
      </c>
      <c r="D246" s="73"/>
      <c r="E246" s="73"/>
      <c r="F246" s="73"/>
      <c r="G246" s="73"/>
      <c r="H246" s="75" t="str">
        <f t="shared" si="15"/>
        <v/>
      </c>
      <c r="I246" s="75" t="str">
        <f t="shared" si="16"/>
        <v/>
      </c>
      <c r="J246" s="77" t="str">
        <f t="shared" si="17"/>
        <v/>
      </c>
      <c r="K246" s="77" t="str">
        <f t="shared" si="18"/>
        <v/>
      </c>
      <c r="L246" s="78" t="str">
        <f t="shared" si="19"/>
        <v/>
      </c>
      <c r="M246" s="69"/>
    </row>
    <row r="247" spans="1:13" x14ac:dyDescent="0.3">
      <c r="A247" s="76"/>
      <c r="B247" s="69"/>
      <c r="C247" s="67" t="str">
        <f>IF(B247="","",IFERROR(INDEX(Projects!$B$5:$B$104,MATCH(B247,Projects!$A$5:$A$104,0)),"?"))</f>
        <v/>
      </c>
      <c r="D247" s="73"/>
      <c r="E247" s="73"/>
      <c r="F247" s="73"/>
      <c r="G247" s="73"/>
      <c r="H247" s="75" t="str">
        <f t="shared" si="15"/>
        <v/>
      </c>
      <c r="I247" s="75" t="str">
        <f t="shared" si="16"/>
        <v/>
      </c>
      <c r="J247" s="77" t="str">
        <f t="shared" si="17"/>
        <v/>
      </c>
      <c r="K247" s="77" t="str">
        <f t="shared" si="18"/>
        <v/>
      </c>
      <c r="L247" s="78" t="str">
        <f t="shared" si="19"/>
        <v/>
      </c>
      <c r="M247" s="69"/>
    </row>
    <row r="248" spans="1:13" x14ac:dyDescent="0.3">
      <c r="A248" s="76"/>
      <c r="B248" s="69"/>
      <c r="C248" s="67" t="str">
        <f>IF(B248="","",IFERROR(INDEX(Projects!$B$5:$B$104,MATCH(B248,Projects!$A$5:$A$104,0)),"?"))</f>
        <v/>
      </c>
      <c r="D248" s="73"/>
      <c r="E248" s="73"/>
      <c r="F248" s="73"/>
      <c r="G248" s="73"/>
      <c r="H248" s="75" t="str">
        <f t="shared" si="15"/>
        <v/>
      </c>
      <c r="I248" s="75" t="str">
        <f t="shared" si="16"/>
        <v/>
      </c>
      <c r="J248" s="77" t="str">
        <f t="shared" si="17"/>
        <v/>
      </c>
      <c r="K248" s="77" t="str">
        <f t="shared" si="18"/>
        <v/>
      </c>
      <c r="L248" s="78" t="str">
        <f t="shared" si="19"/>
        <v/>
      </c>
      <c r="M248" s="69"/>
    </row>
    <row r="249" spans="1:13" x14ac:dyDescent="0.3">
      <c r="A249" s="76"/>
      <c r="B249" s="69"/>
      <c r="C249" s="67" t="str">
        <f>IF(B249="","",IFERROR(INDEX(Projects!$B$5:$B$104,MATCH(B249,Projects!$A$5:$A$104,0)),"?"))</f>
        <v/>
      </c>
      <c r="D249" s="73"/>
      <c r="E249" s="73"/>
      <c r="F249" s="73"/>
      <c r="G249" s="73"/>
      <c r="H249" s="75" t="str">
        <f t="shared" si="15"/>
        <v/>
      </c>
      <c r="I249" s="75" t="str">
        <f t="shared" si="16"/>
        <v/>
      </c>
      <c r="J249" s="77" t="str">
        <f t="shared" si="17"/>
        <v/>
      </c>
      <c r="K249" s="77" t="str">
        <f t="shared" si="18"/>
        <v/>
      </c>
      <c r="L249" s="78" t="str">
        <f t="shared" si="19"/>
        <v/>
      </c>
      <c r="M249" s="69"/>
    </row>
    <row r="250" spans="1:13" x14ac:dyDescent="0.3">
      <c r="A250" s="76"/>
      <c r="B250" s="69"/>
      <c r="C250" s="67" t="str">
        <f>IF(B250="","",IFERROR(INDEX(Projects!$B$5:$B$104,MATCH(B250,Projects!$A$5:$A$104,0)),"?"))</f>
        <v/>
      </c>
      <c r="D250" s="73"/>
      <c r="E250" s="73"/>
      <c r="F250" s="73"/>
      <c r="G250" s="73"/>
      <c r="H250" s="75" t="str">
        <f t="shared" si="15"/>
        <v/>
      </c>
      <c r="I250" s="75" t="str">
        <f t="shared" si="16"/>
        <v/>
      </c>
      <c r="J250" s="77" t="str">
        <f t="shared" si="17"/>
        <v/>
      </c>
      <c r="K250" s="77" t="str">
        <f t="shared" si="18"/>
        <v/>
      </c>
      <c r="L250" s="78" t="str">
        <f t="shared" si="19"/>
        <v/>
      </c>
      <c r="M250" s="69"/>
    </row>
    <row r="251" spans="1:13" x14ac:dyDescent="0.3">
      <c r="A251" s="76"/>
      <c r="B251" s="69"/>
      <c r="C251" s="67" t="str">
        <f>IF(B251="","",IFERROR(INDEX(Projects!$B$5:$B$104,MATCH(B251,Projects!$A$5:$A$104,0)),"?"))</f>
        <v/>
      </c>
      <c r="D251" s="73"/>
      <c r="E251" s="73"/>
      <c r="F251" s="73"/>
      <c r="G251" s="73"/>
      <c r="H251" s="75" t="str">
        <f t="shared" si="15"/>
        <v/>
      </c>
      <c r="I251" s="75" t="str">
        <f t="shared" si="16"/>
        <v/>
      </c>
      <c r="J251" s="77" t="str">
        <f t="shared" si="17"/>
        <v/>
      </c>
      <c r="K251" s="77" t="str">
        <f t="shared" si="18"/>
        <v/>
      </c>
      <c r="L251" s="78" t="str">
        <f t="shared" si="19"/>
        <v/>
      </c>
      <c r="M251" s="69"/>
    </row>
    <row r="252" spans="1:13" x14ac:dyDescent="0.3">
      <c r="A252" s="76"/>
      <c r="B252" s="69"/>
      <c r="C252" s="67" t="str">
        <f>IF(B252="","",IFERROR(INDEX(Projects!$B$5:$B$104,MATCH(B252,Projects!$A$5:$A$104,0)),"?"))</f>
        <v/>
      </c>
      <c r="D252" s="73"/>
      <c r="E252" s="73"/>
      <c r="F252" s="73"/>
      <c r="G252" s="73"/>
      <c r="H252" s="75" t="str">
        <f t="shared" si="15"/>
        <v/>
      </c>
      <c r="I252" s="75" t="str">
        <f t="shared" si="16"/>
        <v/>
      </c>
      <c r="J252" s="77" t="str">
        <f t="shared" si="17"/>
        <v/>
      </c>
      <c r="K252" s="77" t="str">
        <f t="shared" si="18"/>
        <v/>
      </c>
      <c r="L252" s="78" t="str">
        <f t="shared" si="19"/>
        <v/>
      </c>
      <c r="M252" s="69"/>
    </row>
    <row r="253" spans="1:13" x14ac:dyDescent="0.3">
      <c r="A253" s="76"/>
      <c r="B253" s="69"/>
      <c r="C253" s="67" t="str">
        <f>IF(B253="","",IFERROR(INDEX(Projects!$B$5:$B$104,MATCH(B253,Projects!$A$5:$A$104,0)),"?"))</f>
        <v/>
      </c>
      <c r="D253" s="73"/>
      <c r="E253" s="73"/>
      <c r="F253" s="73"/>
      <c r="G253" s="73"/>
      <c r="H253" s="75" t="str">
        <f t="shared" si="15"/>
        <v/>
      </c>
      <c r="I253" s="75" t="str">
        <f t="shared" si="16"/>
        <v/>
      </c>
      <c r="J253" s="77" t="str">
        <f t="shared" si="17"/>
        <v/>
      </c>
      <c r="K253" s="77" t="str">
        <f t="shared" si="18"/>
        <v/>
      </c>
      <c r="L253" s="78" t="str">
        <f t="shared" si="19"/>
        <v/>
      </c>
      <c r="M253" s="69"/>
    </row>
    <row r="254" spans="1:13" x14ac:dyDescent="0.3">
      <c r="A254" s="76"/>
      <c r="B254" s="69"/>
      <c r="C254" s="67" t="str">
        <f>IF(B254="","",IFERROR(INDEX(Projects!$B$5:$B$104,MATCH(B254,Projects!$A$5:$A$104,0)),"?"))</f>
        <v/>
      </c>
      <c r="D254" s="73"/>
      <c r="E254" s="73"/>
      <c r="F254" s="73"/>
      <c r="G254" s="73"/>
      <c r="H254" s="75" t="str">
        <f t="shared" si="15"/>
        <v/>
      </c>
      <c r="I254" s="75" t="str">
        <f t="shared" si="16"/>
        <v/>
      </c>
      <c r="J254" s="77" t="str">
        <f t="shared" si="17"/>
        <v/>
      </c>
      <c r="K254" s="77" t="str">
        <f t="shared" si="18"/>
        <v/>
      </c>
      <c r="L254" s="78" t="str">
        <f t="shared" si="19"/>
        <v/>
      </c>
      <c r="M254" s="69"/>
    </row>
    <row r="255" spans="1:13" x14ac:dyDescent="0.3">
      <c r="A255" s="76"/>
      <c r="B255" s="69"/>
      <c r="C255" s="67" t="str">
        <f>IF(B255="","",IFERROR(INDEX(Projects!$B$5:$B$104,MATCH(B255,Projects!$A$5:$A$104,0)),"?"))</f>
        <v/>
      </c>
      <c r="D255" s="73"/>
      <c r="E255" s="73"/>
      <c r="F255" s="73"/>
      <c r="G255" s="73"/>
      <c r="H255" s="75" t="str">
        <f t="shared" si="15"/>
        <v/>
      </c>
      <c r="I255" s="75" t="str">
        <f t="shared" si="16"/>
        <v/>
      </c>
      <c r="J255" s="77" t="str">
        <f t="shared" si="17"/>
        <v/>
      </c>
      <c r="K255" s="77" t="str">
        <f t="shared" si="18"/>
        <v/>
      </c>
      <c r="L255" s="78" t="str">
        <f t="shared" si="19"/>
        <v/>
      </c>
      <c r="M255" s="69"/>
    </row>
    <row r="256" spans="1:13" x14ac:dyDescent="0.3">
      <c r="A256" s="76"/>
      <c r="B256" s="69"/>
      <c r="C256" s="67" t="str">
        <f>IF(B256="","",IFERROR(INDEX(Projects!$B$5:$B$104,MATCH(B256,Projects!$A$5:$A$104,0)),"?"))</f>
        <v/>
      </c>
      <c r="D256" s="73"/>
      <c r="E256" s="73"/>
      <c r="F256" s="73"/>
      <c r="G256" s="73"/>
      <c r="H256" s="75" t="str">
        <f t="shared" si="15"/>
        <v/>
      </c>
      <c r="I256" s="75" t="str">
        <f t="shared" si="16"/>
        <v/>
      </c>
      <c r="J256" s="77" t="str">
        <f t="shared" si="17"/>
        <v/>
      </c>
      <c r="K256" s="77" t="str">
        <f t="shared" si="18"/>
        <v/>
      </c>
      <c r="L256" s="78" t="str">
        <f t="shared" si="19"/>
        <v/>
      </c>
      <c r="M256" s="69"/>
    </row>
    <row r="257" spans="1:13" x14ac:dyDescent="0.3">
      <c r="A257" s="76"/>
      <c r="B257" s="69"/>
      <c r="C257" s="67" t="str">
        <f>IF(B257="","",IFERROR(INDEX(Projects!$B$5:$B$104,MATCH(B257,Projects!$A$5:$A$104,0)),"?"))</f>
        <v/>
      </c>
      <c r="D257" s="73"/>
      <c r="E257" s="73"/>
      <c r="F257" s="73"/>
      <c r="G257" s="73"/>
      <c r="H257" s="75" t="str">
        <f t="shared" si="15"/>
        <v/>
      </c>
      <c r="I257" s="75" t="str">
        <f t="shared" si="16"/>
        <v/>
      </c>
      <c r="J257" s="77" t="str">
        <f t="shared" si="17"/>
        <v/>
      </c>
      <c r="K257" s="77" t="str">
        <f t="shared" si="18"/>
        <v/>
      </c>
      <c r="L257" s="78" t="str">
        <f t="shared" si="19"/>
        <v/>
      </c>
      <c r="M257" s="69"/>
    </row>
    <row r="258" spans="1:13" x14ac:dyDescent="0.3">
      <c r="A258" s="76"/>
      <c r="B258" s="69"/>
      <c r="C258" s="67" t="str">
        <f>IF(B258="","",IFERROR(INDEX(Projects!$B$5:$B$104,MATCH(B258,Projects!$A$5:$A$104,0)),"?"))</f>
        <v/>
      </c>
      <c r="D258" s="73"/>
      <c r="E258" s="73"/>
      <c r="F258" s="73"/>
      <c r="G258" s="73"/>
      <c r="H258" s="75" t="str">
        <f t="shared" si="15"/>
        <v/>
      </c>
      <c r="I258" s="75" t="str">
        <f t="shared" si="16"/>
        <v/>
      </c>
      <c r="J258" s="77" t="str">
        <f t="shared" si="17"/>
        <v/>
      </c>
      <c r="K258" s="77" t="str">
        <f t="shared" si="18"/>
        <v/>
      </c>
      <c r="L258" s="78" t="str">
        <f t="shared" si="19"/>
        <v/>
      </c>
      <c r="M258" s="69"/>
    </row>
    <row r="259" spans="1:13" x14ac:dyDescent="0.3">
      <c r="A259" s="76"/>
      <c r="B259" s="69"/>
      <c r="C259" s="67" t="str">
        <f>IF(B259="","",IFERROR(INDEX(Projects!$B$5:$B$104,MATCH(B259,Projects!$A$5:$A$104,0)),"?"))</f>
        <v/>
      </c>
      <c r="D259" s="73"/>
      <c r="E259" s="73"/>
      <c r="F259" s="73"/>
      <c r="G259" s="73"/>
      <c r="H259" s="75" t="str">
        <f t="shared" si="15"/>
        <v/>
      </c>
      <c r="I259" s="75" t="str">
        <f t="shared" si="16"/>
        <v/>
      </c>
      <c r="J259" s="77" t="str">
        <f t="shared" si="17"/>
        <v/>
      </c>
      <c r="K259" s="77" t="str">
        <f t="shared" si="18"/>
        <v/>
      </c>
      <c r="L259" s="78" t="str">
        <f t="shared" si="19"/>
        <v/>
      </c>
      <c r="M259" s="69"/>
    </row>
    <row r="260" spans="1:13" x14ac:dyDescent="0.3">
      <c r="A260" s="76"/>
      <c r="B260" s="69"/>
      <c r="C260" s="67" t="str">
        <f>IF(B260="","",IFERROR(INDEX(Projects!$B$5:$B$104,MATCH(B260,Projects!$A$5:$A$104,0)),"?"))</f>
        <v/>
      </c>
      <c r="D260" s="73"/>
      <c r="E260" s="73"/>
      <c r="F260" s="73"/>
      <c r="G260" s="73"/>
      <c r="H260" s="75" t="str">
        <f t="shared" si="15"/>
        <v/>
      </c>
      <c r="I260" s="75" t="str">
        <f t="shared" si="16"/>
        <v/>
      </c>
      <c r="J260" s="77" t="str">
        <f t="shared" si="17"/>
        <v/>
      </c>
      <c r="K260" s="77" t="str">
        <f t="shared" si="18"/>
        <v/>
      </c>
      <c r="L260" s="78" t="str">
        <f t="shared" si="19"/>
        <v/>
      </c>
      <c r="M260" s="69"/>
    </row>
    <row r="261" spans="1:13" x14ac:dyDescent="0.3">
      <c r="A261" s="76"/>
      <c r="B261" s="69"/>
      <c r="C261" s="67" t="str">
        <f>IF(B261="","",IFERROR(INDEX(Projects!$B$5:$B$104,MATCH(B261,Projects!$A$5:$A$104,0)),"?"))</f>
        <v/>
      </c>
      <c r="D261" s="73"/>
      <c r="E261" s="73"/>
      <c r="F261" s="73"/>
      <c r="G261" s="73"/>
      <c r="H261" s="75" t="str">
        <f t="shared" ref="H261:H324" si="20">IF(OR(E261="",F261=""),"",F261-E261)</f>
        <v/>
      </c>
      <c r="I261" s="75" t="str">
        <f t="shared" ref="I261:I324" si="21">IF(OR(F261="",G261=""),"",F261-G261)</f>
        <v/>
      </c>
      <c r="J261" s="77" t="str">
        <f t="shared" ref="J261:J324" si="22">IF(OR(E261="",E261=0,F261=""),"",F261/E261)</f>
        <v/>
      </c>
      <c r="K261" s="77" t="str">
        <f t="shared" ref="K261:K324" si="23">IF(OR(G261="",G261=0,F261=""),"",F261/G261)</f>
        <v/>
      </c>
      <c r="L261" s="78" t="str">
        <f t="shared" ref="L261:L324" si="24">IF(OR(D261="",D261=0,G261=""),"",G261/D261)</f>
        <v/>
      </c>
      <c r="M261" s="69"/>
    </row>
    <row r="262" spans="1:13" x14ac:dyDescent="0.3">
      <c r="A262" s="76"/>
      <c r="B262" s="69"/>
      <c r="C262" s="67" t="str">
        <f>IF(B262="","",IFERROR(INDEX(Projects!$B$5:$B$104,MATCH(B262,Projects!$A$5:$A$104,0)),"?"))</f>
        <v/>
      </c>
      <c r="D262" s="73"/>
      <c r="E262" s="73"/>
      <c r="F262" s="73"/>
      <c r="G262" s="73"/>
      <c r="H262" s="75" t="str">
        <f t="shared" si="20"/>
        <v/>
      </c>
      <c r="I262" s="75" t="str">
        <f t="shared" si="21"/>
        <v/>
      </c>
      <c r="J262" s="77" t="str">
        <f t="shared" si="22"/>
        <v/>
      </c>
      <c r="K262" s="77" t="str">
        <f t="shared" si="23"/>
        <v/>
      </c>
      <c r="L262" s="78" t="str">
        <f t="shared" si="24"/>
        <v/>
      </c>
      <c r="M262" s="69"/>
    </row>
    <row r="263" spans="1:13" x14ac:dyDescent="0.3">
      <c r="A263" s="76"/>
      <c r="B263" s="69"/>
      <c r="C263" s="67" t="str">
        <f>IF(B263="","",IFERROR(INDEX(Projects!$B$5:$B$104,MATCH(B263,Projects!$A$5:$A$104,0)),"?"))</f>
        <v/>
      </c>
      <c r="D263" s="73"/>
      <c r="E263" s="73"/>
      <c r="F263" s="73"/>
      <c r="G263" s="73"/>
      <c r="H263" s="75" t="str">
        <f t="shared" si="20"/>
        <v/>
      </c>
      <c r="I263" s="75" t="str">
        <f t="shared" si="21"/>
        <v/>
      </c>
      <c r="J263" s="77" t="str">
        <f t="shared" si="22"/>
        <v/>
      </c>
      <c r="K263" s="77" t="str">
        <f t="shared" si="23"/>
        <v/>
      </c>
      <c r="L263" s="78" t="str">
        <f t="shared" si="24"/>
        <v/>
      </c>
      <c r="M263" s="69"/>
    </row>
    <row r="264" spans="1:13" x14ac:dyDescent="0.3">
      <c r="A264" s="76"/>
      <c r="B264" s="69"/>
      <c r="C264" s="67" t="str">
        <f>IF(B264="","",IFERROR(INDEX(Projects!$B$5:$B$104,MATCH(B264,Projects!$A$5:$A$104,0)),"?"))</f>
        <v/>
      </c>
      <c r="D264" s="73"/>
      <c r="E264" s="73"/>
      <c r="F264" s="73"/>
      <c r="G264" s="73"/>
      <c r="H264" s="75" t="str">
        <f t="shared" si="20"/>
        <v/>
      </c>
      <c r="I264" s="75" t="str">
        <f t="shared" si="21"/>
        <v/>
      </c>
      <c r="J264" s="77" t="str">
        <f t="shared" si="22"/>
        <v/>
      </c>
      <c r="K264" s="77" t="str">
        <f t="shared" si="23"/>
        <v/>
      </c>
      <c r="L264" s="78" t="str">
        <f t="shared" si="24"/>
        <v/>
      </c>
      <c r="M264" s="69"/>
    </row>
    <row r="265" spans="1:13" x14ac:dyDescent="0.3">
      <c r="A265" s="76"/>
      <c r="B265" s="69"/>
      <c r="C265" s="67" t="str">
        <f>IF(B265="","",IFERROR(INDEX(Projects!$B$5:$B$104,MATCH(B265,Projects!$A$5:$A$104,0)),"?"))</f>
        <v/>
      </c>
      <c r="D265" s="73"/>
      <c r="E265" s="73"/>
      <c r="F265" s="73"/>
      <c r="G265" s="73"/>
      <c r="H265" s="75" t="str">
        <f t="shared" si="20"/>
        <v/>
      </c>
      <c r="I265" s="75" t="str">
        <f t="shared" si="21"/>
        <v/>
      </c>
      <c r="J265" s="77" t="str">
        <f t="shared" si="22"/>
        <v/>
      </c>
      <c r="K265" s="77" t="str">
        <f t="shared" si="23"/>
        <v/>
      </c>
      <c r="L265" s="78" t="str">
        <f t="shared" si="24"/>
        <v/>
      </c>
      <c r="M265" s="69"/>
    </row>
    <row r="266" spans="1:13" x14ac:dyDescent="0.3">
      <c r="A266" s="76"/>
      <c r="B266" s="69"/>
      <c r="C266" s="67" t="str">
        <f>IF(B266="","",IFERROR(INDEX(Projects!$B$5:$B$104,MATCH(B266,Projects!$A$5:$A$104,0)),"?"))</f>
        <v/>
      </c>
      <c r="D266" s="73"/>
      <c r="E266" s="73"/>
      <c r="F266" s="73"/>
      <c r="G266" s="73"/>
      <c r="H266" s="75" t="str">
        <f t="shared" si="20"/>
        <v/>
      </c>
      <c r="I266" s="75" t="str">
        <f t="shared" si="21"/>
        <v/>
      </c>
      <c r="J266" s="77" t="str">
        <f t="shared" si="22"/>
        <v/>
      </c>
      <c r="K266" s="77" t="str">
        <f t="shared" si="23"/>
        <v/>
      </c>
      <c r="L266" s="78" t="str">
        <f t="shared" si="24"/>
        <v/>
      </c>
      <c r="M266" s="69"/>
    </row>
    <row r="267" spans="1:13" x14ac:dyDescent="0.3">
      <c r="A267" s="76"/>
      <c r="B267" s="69"/>
      <c r="C267" s="67" t="str">
        <f>IF(B267="","",IFERROR(INDEX(Projects!$B$5:$B$104,MATCH(B267,Projects!$A$5:$A$104,0)),"?"))</f>
        <v/>
      </c>
      <c r="D267" s="73"/>
      <c r="E267" s="73"/>
      <c r="F267" s="73"/>
      <c r="G267" s="73"/>
      <c r="H267" s="75" t="str">
        <f t="shared" si="20"/>
        <v/>
      </c>
      <c r="I267" s="75" t="str">
        <f t="shared" si="21"/>
        <v/>
      </c>
      <c r="J267" s="77" t="str">
        <f t="shared" si="22"/>
        <v/>
      </c>
      <c r="K267" s="77" t="str">
        <f t="shared" si="23"/>
        <v/>
      </c>
      <c r="L267" s="78" t="str">
        <f t="shared" si="24"/>
        <v/>
      </c>
      <c r="M267" s="69"/>
    </row>
    <row r="268" spans="1:13" x14ac:dyDescent="0.3">
      <c r="A268" s="76"/>
      <c r="B268" s="69"/>
      <c r="C268" s="67" t="str">
        <f>IF(B268="","",IFERROR(INDEX(Projects!$B$5:$B$104,MATCH(B268,Projects!$A$5:$A$104,0)),"?"))</f>
        <v/>
      </c>
      <c r="D268" s="73"/>
      <c r="E268" s="73"/>
      <c r="F268" s="73"/>
      <c r="G268" s="73"/>
      <c r="H268" s="75" t="str">
        <f t="shared" si="20"/>
        <v/>
      </c>
      <c r="I268" s="75" t="str">
        <f t="shared" si="21"/>
        <v/>
      </c>
      <c r="J268" s="77" t="str">
        <f t="shared" si="22"/>
        <v/>
      </c>
      <c r="K268" s="77" t="str">
        <f t="shared" si="23"/>
        <v/>
      </c>
      <c r="L268" s="78" t="str">
        <f t="shared" si="24"/>
        <v/>
      </c>
      <c r="M268" s="69"/>
    </row>
    <row r="269" spans="1:13" x14ac:dyDescent="0.3">
      <c r="A269" s="76"/>
      <c r="B269" s="69"/>
      <c r="C269" s="67" t="str">
        <f>IF(B269="","",IFERROR(INDEX(Projects!$B$5:$B$104,MATCH(B269,Projects!$A$5:$A$104,0)),"?"))</f>
        <v/>
      </c>
      <c r="D269" s="73"/>
      <c r="E269" s="73"/>
      <c r="F269" s="73"/>
      <c r="G269" s="73"/>
      <c r="H269" s="75" t="str">
        <f t="shared" si="20"/>
        <v/>
      </c>
      <c r="I269" s="75" t="str">
        <f t="shared" si="21"/>
        <v/>
      </c>
      <c r="J269" s="77" t="str">
        <f t="shared" si="22"/>
        <v/>
      </c>
      <c r="K269" s="77" t="str">
        <f t="shared" si="23"/>
        <v/>
      </c>
      <c r="L269" s="78" t="str">
        <f t="shared" si="24"/>
        <v/>
      </c>
      <c r="M269" s="69"/>
    </row>
    <row r="270" spans="1:13" x14ac:dyDescent="0.3">
      <c r="A270" s="76"/>
      <c r="B270" s="69"/>
      <c r="C270" s="67" t="str">
        <f>IF(B270="","",IFERROR(INDEX(Projects!$B$5:$B$104,MATCH(B270,Projects!$A$5:$A$104,0)),"?"))</f>
        <v/>
      </c>
      <c r="D270" s="73"/>
      <c r="E270" s="73"/>
      <c r="F270" s="73"/>
      <c r="G270" s="73"/>
      <c r="H270" s="75" t="str">
        <f t="shared" si="20"/>
        <v/>
      </c>
      <c r="I270" s="75" t="str">
        <f t="shared" si="21"/>
        <v/>
      </c>
      <c r="J270" s="77" t="str">
        <f t="shared" si="22"/>
        <v/>
      </c>
      <c r="K270" s="77" t="str">
        <f t="shared" si="23"/>
        <v/>
      </c>
      <c r="L270" s="78" t="str">
        <f t="shared" si="24"/>
        <v/>
      </c>
      <c r="M270" s="69"/>
    </row>
    <row r="271" spans="1:13" x14ac:dyDescent="0.3">
      <c r="A271" s="76"/>
      <c r="B271" s="69"/>
      <c r="C271" s="67" t="str">
        <f>IF(B271="","",IFERROR(INDEX(Projects!$B$5:$B$104,MATCH(B271,Projects!$A$5:$A$104,0)),"?"))</f>
        <v/>
      </c>
      <c r="D271" s="73"/>
      <c r="E271" s="73"/>
      <c r="F271" s="73"/>
      <c r="G271" s="73"/>
      <c r="H271" s="75" t="str">
        <f t="shared" si="20"/>
        <v/>
      </c>
      <c r="I271" s="75" t="str">
        <f t="shared" si="21"/>
        <v/>
      </c>
      <c r="J271" s="77" t="str">
        <f t="shared" si="22"/>
        <v/>
      </c>
      <c r="K271" s="77" t="str">
        <f t="shared" si="23"/>
        <v/>
      </c>
      <c r="L271" s="78" t="str">
        <f t="shared" si="24"/>
        <v/>
      </c>
      <c r="M271" s="69"/>
    </row>
    <row r="272" spans="1:13" x14ac:dyDescent="0.3">
      <c r="A272" s="76"/>
      <c r="B272" s="69"/>
      <c r="C272" s="67" t="str">
        <f>IF(B272="","",IFERROR(INDEX(Projects!$B$5:$B$104,MATCH(B272,Projects!$A$5:$A$104,0)),"?"))</f>
        <v/>
      </c>
      <c r="D272" s="73"/>
      <c r="E272" s="73"/>
      <c r="F272" s="73"/>
      <c r="G272" s="73"/>
      <c r="H272" s="75" t="str">
        <f t="shared" si="20"/>
        <v/>
      </c>
      <c r="I272" s="75" t="str">
        <f t="shared" si="21"/>
        <v/>
      </c>
      <c r="J272" s="77" t="str">
        <f t="shared" si="22"/>
        <v/>
      </c>
      <c r="K272" s="77" t="str">
        <f t="shared" si="23"/>
        <v/>
      </c>
      <c r="L272" s="78" t="str">
        <f t="shared" si="24"/>
        <v/>
      </c>
      <c r="M272" s="69"/>
    </row>
    <row r="273" spans="1:13" x14ac:dyDescent="0.3">
      <c r="A273" s="76"/>
      <c r="B273" s="69"/>
      <c r="C273" s="67" t="str">
        <f>IF(B273="","",IFERROR(INDEX(Projects!$B$5:$B$104,MATCH(B273,Projects!$A$5:$A$104,0)),"?"))</f>
        <v/>
      </c>
      <c r="D273" s="73"/>
      <c r="E273" s="73"/>
      <c r="F273" s="73"/>
      <c r="G273" s="73"/>
      <c r="H273" s="75" t="str">
        <f t="shared" si="20"/>
        <v/>
      </c>
      <c r="I273" s="75" t="str">
        <f t="shared" si="21"/>
        <v/>
      </c>
      <c r="J273" s="77" t="str">
        <f t="shared" si="22"/>
        <v/>
      </c>
      <c r="K273" s="77" t="str">
        <f t="shared" si="23"/>
        <v/>
      </c>
      <c r="L273" s="78" t="str">
        <f t="shared" si="24"/>
        <v/>
      </c>
      <c r="M273" s="69"/>
    </row>
    <row r="274" spans="1:13" x14ac:dyDescent="0.3">
      <c r="A274" s="76"/>
      <c r="B274" s="69"/>
      <c r="C274" s="67" t="str">
        <f>IF(B274="","",IFERROR(INDEX(Projects!$B$5:$B$104,MATCH(B274,Projects!$A$5:$A$104,0)),"?"))</f>
        <v/>
      </c>
      <c r="D274" s="73"/>
      <c r="E274" s="73"/>
      <c r="F274" s="73"/>
      <c r="G274" s="73"/>
      <c r="H274" s="75" t="str">
        <f t="shared" si="20"/>
        <v/>
      </c>
      <c r="I274" s="75" t="str">
        <f t="shared" si="21"/>
        <v/>
      </c>
      <c r="J274" s="77" t="str">
        <f t="shared" si="22"/>
        <v/>
      </c>
      <c r="K274" s="77" t="str">
        <f t="shared" si="23"/>
        <v/>
      </c>
      <c r="L274" s="78" t="str">
        <f t="shared" si="24"/>
        <v/>
      </c>
      <c r="M274" s="69"/>
    </row>
    <row r="275" spans="1:13" x14ac:dyDescent="0.3">
      <c r="A275" s="76"/>
      <c r="B275" s="69"/>
      <c r="C275" s="67" t="str">
        <f>IF(B275="","",IFERROR(INDEX(Projects!$B$5:$B$104,MATCH(B275,Projects!$A$5:$A$104,0)),"?"))</f>
        <v/>
      </c>
      <c r="D275" s="73"/>
      <c r="E275" s="73"/>
      <c r="F275" s="73"/>
      <c r="G275" s="73"/>
      <c r="H275" s="75" t="str">
        <f t="shared" si="20"/>
        <v/>
      </c>
      <c r="I275" s="75" t="str">
        <f t="shared" si="21"/>
        <v/>
      </c>
      <c r="J275" s="77" t="str">
        <f t="shared" si="22"/>
        <v/>
      </c>
      <c r="K275" s="77" t="str">
        <f t="shared" si="23"/>
        <v/>
      </c>
      <c r="L275" s="78" t="str">
        <f t="shared" si="24"/>
        <v/>
      </c>
      <c r="M275" s="69"/>
    </row>
    <row r="276" spans="1:13" x14ac:dyDescent="0.3">
      <c r="A276" s="76"/>
      <c r="B276" s="69"/>
      <c r="C276" s="67" t="str">
        <f>IF(B276="","",IFERROR(INDEX(Projects!$B$5:$B$104,MATCH(B276,Projects!$A$5:$A$104,0)),"?"))</f>
        <v/>
      </c>
      <c r="D276" s="73"/>
      <c r="E276" s="73"/>
      <c r="F276" s="73"/>
      <c r="G276" s="73"/>
      <c r="H276" s="75" t="str">
        <f t="shared" si="20"/>
        <v/>
      </c>
      <c r="I276" s="75" t="str">
        <f t="shared" si="21"/>
        <v/>
      </c>
      <c r="J276" s="77" t="str">
        <f t="shared" si="22"/>
        <v/>
      </c>
      <c r="K276" s="77" t="str">
        <f t="shared" si="23"/>
        <v/>
      </c>
      <c r="L276" s="78" t="str">
        <f t="shared" si="24"/>
        <v/>
      </c>
      <c r="M276" s="69"/>
    </row>
    <row r="277" spans="1:13" x14ac:dyDescent="0.3">
      <c r="A277" s="76"/>
      <c r="B277" s="69"/>
      <c r="C277" s="67" t="str">
        <f>IF(B277="","",IFERROR(INDEX(Projects!$B$5:$B$104,MATCH(B277,Projects!$A$5:$A$104,0)),"?"))</f>
        <v/>
      </c>
      <c r="D277" s="73"/>
      <c r="E277" s="73"/>
      <c r="F277" s="73"/>
      <c r="G277" s="73"/>
      <c r="H277" s="75" t="str">
        <f t="shared" si="20"/>
        <v/>
      </c>
      <c r="I277" s="75" t="str">
        <f t="shared" si="21"/>
        <v/>
      </c>
      <c r="J277" s="77" t="str">
        <f t="shared" si="22"/>
        <v/>
      </c>
      <c r="K277" s="77" t="str">
        <f t="shared" si="23"/>
        <v/>
      </c>
      <c r="L277" s="78" t="str">
        <f t="shared" si="24"/>
        <v/>
      </c>
      <c r="M277" s="69"/>
    </row>
    <row r="278" spans="1:13" x14ac:dyDescent="0.3">
      <c r="A278" s="76"/>
      <c r="B278" s="69"/>
      <c r="C278" s="67" t="str">
        <f>IF(B278="","",IFERROR(INDEX(Projects!$B$5:$B$104,MATCH(B278,Projects!$A$5:$A$104,0)),"?"))</f>
        <v/>
      </c>
      <c r="D278" s="73"/>
      <c r="E278" s="73"/>
      <c r="F278" s="73"/>
      <c r="G278" s="73"/>
      <c r="H278" s="75" t="str">
        <f t="shared" si="20"/>
        <v/>
      </c>
      <c r="I278" s="75" t="str">
        <f t="shared" si="21"/>
        <v/>
      </c>
      <c r="J278" s="77" t="str">
        <f t="shared" si="22"/>
        <v/>
      </c>
      <c r="K278" s="77" t="str">
        <f t="shared" si="23"/>
        <v/>
      </c>
      <c r="L278" s="78" t="str">
        <f t="shared" si="24"/>
        <v/>
      </c>
      <c r="M278" s="69"/>
    </row>
    <row r="279" spans="1:13" x14ac:dyDescent="0.3">
      <c r="A279" s="76"/>
      <c r="B279" s="69"/>
      <c r="C279" s="67" t="str">
        <f>IF(B279="","",IFERROR(INDEX(Projects!$B$5:$B$104,MATCH(B279,Projects!$A$5:$A$104,0)),"?"))</f>
        <v/>
      </c>
      <c r="D279" s="73"/>
      <c r="E279" s="73"/>
      <c r="F279" s="73"/>
      <c r="G279" s="73"/>
      <c r="H279" s="75" t="str">
        <f t="shared" si="20"/>
        <v/>
      </c>
      <c r="I279" s="75" t="str">
        <f t="shared" si="21"/>
        <v/>
      </c>
      <c r="J279" s="77" t="str">
        <f t="shared" si="22"/>
        <v/>
      </c>
      <c r="K279" s="77" t="str">
        <f t="shared" si="23"/>
        <v/>
      </c>
      <c r="L279" s="78" t="str">
        <f t="shared" si="24"/>
        <v/>
      </c>
      <c r="M279" s="69"/>
    </row>
    <row r="280" spans="1:13" x14ac:dyDescent="0.3">
      <c r="A280" s="76"/>
      <c r="B280" s="69"/>
      <c r="C280" s="67" t="str">
        <f>IF(B280="","",IFERROR(INDEX(Projects!$B$5:$B$104,MATCH(B280,Projects!$A$5:$A$104,0)),"?"))</f>
        <v/>
      </c>
      <c r="D280" s="73"/>
      <c r="E280" s="73"/>
      <c r="F280" s="73"/>
      <c r="G280" s="73"/>
      <c r="H280" s="75" t="str">
        <f t="shared" si="20"/>
        <v/>
      </c>
      <c r="I280" s="75" t="str">
        <f t="shared" si="21"/>
        <v/>
      </c>
      <c r="J280" s="77" t="str">
        <f t="shared" si="22"/>
        <v/>
      </c>
      <c r="K280" s="77" t="str">
        <f t="shared" si="23"/>
        <v/>
      </c>
      <c r="L280" s="78" t="str">
        <f t="shared" si="24"/>
        <v/>
      </c>
      <c r="M280" s="69"/>
    </row>
    <row r="281" spans="1:13" x14ac:dyDescent="0.3">
      <c r="A281" s="76"/>
      <c r="B281" s="69"/>
      <c r="C281" s="67" t="str">
        <f>IF(B281="","",IFERROR(INDEX(Projects!$B$5:$B$104,MATCH(B281,Projects!$A$5:$A$104,0)),"?"))</f>
        <v/>
      </c>
      <c r="D281" s="73"/>
      <c r="E281" s="73"/>
      <c r="F281" s="73"/>
      <c r="G281" s="73"/>
      <c r="H281" s="75" t="str">
        <f t="shared" si="20"/>
        <v/>
      </c>
      <c r="I281" s="75" t="str">
        <f t="shared" si="21"/>
        <v/>
      </c>
      <c r="J281" s="77" t="str">
        <f t="shared" si="22"/>
        <v/>
      </c>
      <c r="K281" s="77" t="str">
        <f t="shared" si="23"/>
        <v/>
      </c>
      <c r="L281" s="78" t="str">
        <f t="shared" si="24"/>
        <v/>
      </c>
      <c r="M281" s="69"/>
    </row>
    <row r="282" spans="1:13" x14ac:dyDescent="0.3">
      <c r="A282" s="76"/>
      <c r="B282" s="69"/>
      <c r="C282" s="67" t="str">
        <f>IF(B282="","",IFERROR(INDEX(Projects!$B$5:$B$104,MATCH(B282,Projects!$A$5:$A$104,0)),"?"))</f>
        <v/>
      </c>
      <c r="D282" s="73"/>
      <c r="E282" s="73"/>
      <c r="F282" s="73"/>
      <c r="G282" s="73"/>
      <c r="H282" s="75" t="str">
        <f t="shared" si="20"/>
        <v/>
      </c>
      <c r="I282" s="75" t="str">
        <f t="shared" si="21"/>
        <v/>
      </c>
      <c r="J282" s="77" t="str">
        <f t="shared" si="22"/>
        <v/>
      </c>
      <c r="K282" s="77" t="str">
        <f t="shared" si="23"/>
        <v/>
      </c>
      <c r="L282" s="78" t="str">
        <f t="shared" si="24"/>
        <v/>
      </c>
      <c r="M282" s="69"/>
    </row>
    <row r="283" spans="1:13" x14ac:dyDescent="0.3">
      <c r="A283" s="76"/>
      <c r="B283" s="69"/>
      <c r="C283" s="67" t="str">
        <f>IF(B283="","",IFERROR(INDEX(Projects!$B$5:$B$104,MATCH(B283,Projects!$A$5:$A$104,0)),"?"))</f>
        <v/>
      </c>
      <c r="D283" s="73"/>
      <c r="E283" s="73"/>
      <c r="F283" s="73"/>
      <c r="G283" s="73"/>
      <c r="H283" s="75" t="str">
        <f t="shared" si="20"/>
        <v/>
      </c>
      <c r="I283" s="75" t="str">
        <f t="shared" si="21"/>
        <v/>
      </c>
      <c r="J283" s="77" t="str">
        <f t="shared" si="22"/>
        <v/>
      </c>
      <c r="K283" s="77" t="str">
        <f t="shared" si="23"/>
        <v/>
      </c>
      <c r="L283" s="78" t="str">
        <f t="shared" si="24"/>
        <v/>
      </c>
      <c r="M283" s="69"/>
    </row>
    <row r="284" spans="1:13" x14ac:dyDescent="0.3">
      <c r="A284" s="76"/>
      <c r="B284" s="69"/>
      <c r="C284" s="67" t="str">
        <f>IF(B284="","",IFERROR(INDEX(Projects!$B$5:$B$104,MATCH(B284,Projects!$A$5:$A$104,0)),"?"))</f>
        <v/>
      </c>
      <c r="D284" s="73"/>
      <c r="E284" s="73"/>
      <c r="F284" s="73"/>
      <c r="G284" s="73"/>
      <c r="H284" s="75" t="str">
        <f t="shared" si="20"/>
        <v/>
      </c>
      <c r="I284" s="75" t="str">
        <f t="shared" si="21"/>
        <v/>
      </c>
      <c r="J284" s="77" t="str">
        <f t="shared" si="22"/>
        <v/>
      </c>
      <c r="K284" s="77" t="str">
        <f t="shared" si="23"/>
        <v/>
      </c>
      <c r="L284" s="78" t="str">
        <f t="shared" si="24"/>
        <v/>
      </c>
      <c r="M284" s="69"/>
    </row>
    <row r="285" spans="1:13" x14ac:dyDescent="0.3">
      <c r="A285" s="76"/>
      <c r="B285" s="69"/>
      <c r="C285" s="67" t="str">
        <f>IF(B285="","",IFERROR(INDEX(Projects!$B$5:$B$104,MATCH(B285,Projects!$A$5:$A$104,0)),"?"))</f>
        <v/>
      </c>
      <c r="D285" s="73"/>
      <c r="E285" s="73"/>
      <c r="F285" s="73"/>
      <c r="G285" s="73"/>
      <c r="H285" s="75" t="str">
        <f t="shared" si="20"/>
        <v/>
      </c>
      <c r="I285" s="75" t="str">
        <f t="shared" si="21"/>
        <v/>
      </c>
      <c r="J285" s="77" t="str">
        <f t="shared" si="22"/>
        <v/>
      </c>
      <c r="K285" s="77" t="str">
        <f t="shared" si="23"/>
        <v/>
      </c>
      <c r="L285" s="78" t="str">
        <f t="shared" si="24"/>
        <v/>
      </c>
      <c r="M285" s="69"/>
    </row>
    <row r="286" spans="1:13" x14ac:dyDescent="0.3">
      <c r="A286" s="76"/>
      <c r="B286" s="69"/>
      <c r="C286" s="67" t="str">
        <f>IF(B286="","",IFERROR(INDEX(Projects!$B$5:$B$104,MATCH(B286,Projects!$A$5:$A$104,0)),"?"))</f>
        <v/>
      </c>
      <c r="D286" s="73"/>
      <c r="E286" s="73"/>
      <c r="F286" s="73"/>
      <c r="G286" s="73"/>
      <c r="H286" s="75" t="str">
        <f t="shared" si="20"/>
        <v/>
      </c>
      <c r="I286" s="75" t="str">
        <f t="shared" si="21"/>
        <v/>
      </c>
      <c r="J286" s="77" t="str">
        <f t="shared" si="22"/>
        <v/>
      </c>
      <c r="K286" s="77" t="str">
        <f t="shared" si="23"/>
        <v/>
      </c>
      <c r="L286" s="78" t="str">
        <f t="shared" si="24"/>
        <v/>
      </c>
      <c r="M286" s="69"/>
    </row>
    <row r="287" spans="1:13" x14ac:dyDescent="0.3">
      <c r="A287" s="76"/>
      <c r="B287" s="69"/>
      <c r="C287" s="67" t="str">
        <f>IF(B287="","",IFERROR(INDEX(Projects!$B$5:$B$104,MATCH(B287,Projects!$A$5:$A$104,0)),"?"))</f>
        <v/>
      </c>
      <c r="D287" s="73"/>
      <c r="E287" s="73"/>
      <c r="F287" s="73"/>
      <c r="G287" s="73"/>
      <c r="H287" s="75" t="str">
        <f t="shared" si="20"/>
        <v/>
      </c>
      <c r="I287" s="75" t="str">
        <f t="shared" si="21"/>
        <v/>
      </c>
      <c r="J287" s="77" t="str">
        <f t="shared" si="22"/>
        <v/>
      </c>
      <c r="K287" s="77" t="str">
        <f t="shared" si="23"/>
        <v/>
      </c>
      <c r="L287" s="78" t="str">
        <f t="shared" si="24"/>
        <v/>
      </c>
      <c r="M287" s="69"/>
    </row>
    <row r="288" spans="1:13" x14ac:dyDescent="0.3">
      <c r="A288" s="76"/>
      <c r="B288" s="69"/>
      <c r="C288" s="67" t="str">
        <f>IF(B288="","",IFERROR(INDEX(Projects!$B$5:$B$104,MATCH(B288,Projects!$A$5:$A$104,0)),"?"))</f>
        <v/>
      </c>
      <c r="D288" s="73"/>
      <c r="E288" s="73"/>
      <c r="F288" s="73"/>
      <c r="G288" s="73"/>
      <c r="H288" s="75" t="str">
        <f t="shared" si="20"/>
        <v/>
      </c>
      <c r="I288" s="75" t="str">
        <f t="shared" si="21"/>
        <v/>
      </c>
      <c r="J288" s="77" t="str">
        <f t="shared" si="22"/>
        <v/>
      </c>
      <c r="K288" s="77" t="str">
        <f t="shared" si="23"/>
        <v/>
      </c>
      <c r="L288" s="78" t="str">
        <f t="shared" si="24"/>
        <v/>
      </c>
      <c r="M288" s="69"/>
    </row>
    <row r="289" spans="1:13" x14ac:dyDescent="0.3">
      <c r="A289" s="76"/>
      <c r="B289" s="69"/>
      <c r="C289" s="67" t="str">
        <f>IF(B289="","",IFERROR(INDEX(Projects!$B$5:$B$104,MATCH(B289,Projects!$A$5:$A$104,0)),"?"))</f>
        <v/>
      </c>
      <c r="D289" s="73"/>
      <c r="E289" s="73"/>
      <c r="F289" s="73"/>
      <c r="G289" s="73"/>
      <c r="H289" s="75" t="str">
        <f t="shared" si="20"/>
        <v/>
      </c>
      <c r="I289" s="75" t="str">
        <f t="shared" si="21"/>
        <v/>
      </c>
      <c r="J289" s="77" t="str">
        <f t="shared" si="22"/>
        <v/>
      </c>
      <c r="K289" s="77" t="str">
        <f t="shared" si="23"/>
        <v/>
      </c>
      <c r="L289" s="78" t="str">
        <f t="shared" si="24"/>
        <v/>
      </c>
      <c r="M289" s="69"/>
    </row>
    <row r="290" spans="1:13" x14ac:dyDescent="0.3">
      <c r="A290" s="76"/>
      <c r="B290" s="69"/>
      <c r="C290" s="67" t="str">
        <f>IF(B290="","",IFERROR(INDEX(Projects!$B$5:$B$104,MATCH(B290,Projects!$A$5:$A$104,0)),"?"))</f>
        <v/>
      </c>
      <c r="D290" s="73"/>
      <c r="E290" s="73"/>
      <c r="F290" s="73"/>
      <c r="G290" s="73"/>
      <c r="H290" s="75" t="str">
        <f t="shared" si="20"/>
        <v/>
      </c>
      <c r="I290" s="75" t="str">
        <f t="shared" si="21"/>
        <v/>
      </c>
      <c r="J290" s="77" t="str">
        <f t="shared" si="22"/>
        <v/>
      </c>
      <c r="K290" s="77" t="str">
        <f t="shared" si="23"/>
        <v/>
      </c>
      <c r="L290" s="78" t="str">
        <f t="shared" si="24"/>
        <v/>
      </c>
      <c r="M290" s="69"/>
    </row>
    <row r="291" spans="1:13" x14ac:dyDescent="0.3">
      <c r="A291" s="76"/>
      <c r="B291" s="69"/>
      <c r="C291" s="67" t="str">
        <f>IF(B291="","",IFERROR(INDEX(Projects!$B$5:$B$104,MATCH(B291,Projects!$A$5:$A$104,0)),"?"))</f>
        <v/>
      </c>
      <c r="D291" s="73"/>
      <c r="E291" s="73"/>
      <c r="F291" s="73"/>
      <c r="G291" s="73"/>
      <c r="H291" s="75" t="str">
        <f t="shared" si="20"/>
        <v/>
      </c>
      <c r="I291" s="75" t="str">
        <f t="shared" si="21"/>
        <v/>
      </c>
      <c r="J291" s="77" t="str">
        <f t="shared" si="22"/>
        <v/>
      </c>
      <c r="K291" s="77" t="str">
        <f t="shared" si="23"/>
        <v/>
      </c>
      <c r="L291" s="78" t="str">
        <f t="shared" si="24"/>
        <v/>
      </c>
      <c r="M291" s="69"/>
    </row>
    <row r="292" spans="1:13" x14ac:dyDescent="0.3">
      <c r="A292" s="76"/>
      <c r="B292" s="69"/>
      <c r="C292" s="67" t="str">
        <f>IF(B292="","",IFERROR(INDEX(Projects!$B$5:$B$104,MATCH(B292,Projects!$A$5:$A$104,0)),"?"))</f>
        <v/>
      </c>
      <c r="D292" s="73"/>
      <c r="E292" s="73"/>
      <c r="F292" s="73"/>
      <c r="G292" s="73"/>
      <c r="H292" s="75" t="str">
        <f t="shared" si="20"/>
        <v/>
      </c>
      <c r="I292" s="75" t="str">
        <f t="shared" si="21"/>
        <v/>
      </c>
      <c r="J292" s="77" t="str">
        <f t="shared" si="22"/>
        <v/>
      </c>
      <c r="K292" s="77" t="str">
        <f t="shared" si="23"/>
        <v/>
      </c>
      <c r="L292" s="78" t="str">
        <f t="shared" si="24"/>
        <v/>
      </c>
      <c r="M292" s="69"/>
    </row>
    <row r="293" spans="1:13" x14ac:dyDescent="0.3">
      <c r="A293" s="76"/>
      <c r="B293" s="69"/>
      <c r="C293" s="67" t="str">
        <f>IF(B293="","",IFERROR(INDEX(Projects!$B$5:$B$104,MATCH(B293,Projects!$A$5:$A$104,0)),"?"))</f>
        <v/>
      </c>
      <c r="D293" s="73"/>
      <c r="E293" s="73"/>
      <c r="F293" s="73"/>
      <c r="G293" s="73"/>
      <c r="H293" s="75" t="str">
        <f t="shared" si="20"/>
        <v/>
      </c>
      <c r="I293" s="75" t="str">
        <f t="shared" si="21"/>
        <v/>
      </c>
      <c r="J293" s="77" t="str">
        <f t="shared" si="22"/>
        <v/>
      </c>
      <c r="K293" s="77" t="str">
        <f t="shared" si="23"/>
        <v/>
      </c>
      <c r="L293" s="78" t="str">
        <f t="shared" si="24"/>
        <v/>
      </c>
      <c r="M293" s="69"/>
    </row>
    <row r="294" spans="1:13" x14ac:dyDescent="0.3">
      <c r="A294" s="76"/>
      <c r="B294" s="69"/>
      <c r="C294" s="67" t="str">
        <f>IF(B294="","",IFERROR(INDEX(Projects!$B$5:$B$104,MATCH(B294,Projects!$A$5:$A$104,0)),"?"))</f>
        <v/>
      </c>
      <c r="D294" s="73"/>
      <c r="E294" s="73"/>
      <c r="F294" s="73"/>
      <c r="G294" s="73"/>
      <c r="H294" s="75" t="str">
        <f t="shared" si="20"/>
        <v/>
      </c>
      <c r="I294" s="75" t="str">
        <f t="shared" si="21"/>
        <v/>
      </c>
      <c r="J294" s="77" t="str">
        <f t="shared" si="22"/>
        <v/>
      </c>
      <c r="K294" s="77" t="str">
        <f t="shared" si="23"/>
        <v/>
      </c>
      <c r="L294" s="78" t="str">
        <f t="shared" si="24"/>
        <v/>
      </c>
      <c r="M294" s="69"/>
    </row>
    <row r="295" spans="1:13" x14ac:dyDescent="0.3">
      <c r="A295" s="76"/>
      <c r="B295" s="69"/>
      <c r="C295" s="67" t="str">
        <f>IF(B295="","",IFERROR(INDEX(Projects!$B$5:$B$104,MATCH(B295,Projects!$A$5:$A$104,0)),"?"))</f>
        <v/>
      </c>
      <c r="D295" s="73"/>
      <c r="E295" s="73"/>
      <c r="F295" s="73"/>
      <c r="G295" s="73"/>
      <c r="H295" s="75" t="str">
        <f t="shared" si="20"/>
        <v/>
      </c>
      <c r="I295" s="75" t="str">
        <f t="shared" si="21"/>
        <v/>
      </c>
      <c r="J295" s="77" t="str">
        <f t="shared" si="22"/>
        <v/>
      </c>
      <c r="K295" s="77" t="str">
        <f t="shared" si="23"/>
        <v/>
      </c>
      <c r="L295" s="78" t="str">
        <f t="shared" si="24"/>
        <v/>
      </c>
      <c r="M295" s="69"/>
    </row>
    <row r="296" spans="1:13" x14ac:dyDescent="0.3">
      <c r="A296" s="76"/>
      <c r="B296" s="69"/>
      <c r="C296" s="67" t="str">
        <f>IF(B296="","",IFERROR(INDEX(Projects!$B$5:$B$104,MATCH(B296,Projects!$A$5:$A$104,0)),"?"))</f>
        <v/>
      </c>
      <c r="D296" s="73"/>
      <c r="E296" s="73"/>
      <c r="F296" s="73"/>
      <c r="G296" s="73"/>
      <c r="H296" s="75" t="str">
        <f t="shared" si="20"/>
        <v/>
      </c>
      <c r="I296" s="75" t="str">
        <f t="shared" si="21"/>
        <v/>
      </c>
      <c r="J296" s="77" t="str">
        <f t="shared" si="22"/>
        <v/>
      </c>
      <c r="K296" s="77" t="str">
        <f t="shared" si="23"/>
        <v/>
      </c>
      <c r="L296" s="78" t="str">
        <f t="shared" si="24"/>
        <v/>
      </c>
      <c r="M296" s="69"/>
    </row>
    <row r="297" spans="1:13" x14ac:dyDescent="0.3">
      <c r="A297" s="76"/>
      <c r="B297" s="69"/>
      <c r="C297" s="67" t="str">
        <f>IF(B297="","",IFERROR(INDEX(Projects!$B$5:$B$104,MATCH(B297,Projects!$A$5:$A$104,0)),"?"))</f>
        <v/>
      </c>
      <c r="D297" s="73"/>
      <c r="E297" s="73"/>
      <c r="F297" s="73"/>
      <c r="G297" s="73"/>
      <c r="H297" s="75" t="str">
        <f t="shared" si="20"/>
        <v/>
      </c>
      <c r="I297" s="75" t="str">
        <f t="shared" si="21"/>
        <v/>
      </c>
      <c r="J297" s="77" t="str">
        <f t="shared" si="22"/>
        <v/>
      </c>
      <c r="K297" s="77" t="str">
        <f t="shared" si="23"/>
        <v/>
      </c>
      <c r="L297" s="78" t="str">
        <f t="shared" si="24"/>
        <v/>
      </c>
      <c r="M297" s="69"/>
    </row>
    <row r="298" spans="1:13" x14ac:dyDescent="0.3">
      <c r="A298" s="76"/>
      <c r="B298" s="69"/>
      <c r="C298" s="67" t="str">
        <f>IF(B298="","",IFERROR(INDEX(Projects!$B$5:$B$104,MATCH(B298,Projects!$A$5:$A$104,0)),"?"))</f>
        <v/>
      </c>
      <c r="D298" s="73"/>
      <c r="E298" s="73"/>
      <c r="F298" s="73"/>
      <c r="G298" s="73"/>
      <c r="H298" s="75" t="str">
        <f t="shared" si="20"/>
        <v/>
      </c>
      <c r="I298" s="75" t="str">
        <f t="shared" si="21"/>
        <v/>
      </c>
      <c r="J298" s="77" t="str">
        <f t="shared" si="22"/>
        <v/>
      </c>
      <c r="K298" s="77" t="str">
        <f t="shared" si="23"/>
        <v/>
      </c>
      <c r="L298" s="78" t="str">
        <f t="shared" si="24"/>
        <v/>
      </c>
      <c r="M298" s="69"/>
    </row>
    <row r="299" spans="1:13" x14ac:dyDescent="0.3">
      <c r="A299" s="76"/>
      <c r="B299" s="69"/>
      <c r="C299" s="67" t="str">
        <f>IF(B299="","",IFERROR(INDEX(Projects!$B$5:$B$104,MATCH(B299,Projects!$A$5:$A$104,0)),"?"))</f>
        <v/>
      </c>
      <c r="D299" s="73"/>
      <c r="E299" s="73"/>
      <c r="F299" s="73"/>
      <c r="G299" s="73"/>
      <c r="H299" s="75" t="str">
        <f t="shared" si="20"/>
        <v/>
      </c>
      <c r="I299" s="75" t="str">
        <f t="shared" si="21"/>
        <v/>
      </c>
      <c r="J299" s="77" t="str">
        <f t="shared" si="22"/>
        <v/>
      </c>
      <c r="K299" s="77" t="str">
        <f t="shared" si="23"/>
        <v/>
      </c>
      <c r="L299" s="78" t="str">
        <f t="shared" si="24"/>
        <v/>
      </c>
      <c r="M299" s="69"/>
    </row>
    <row r="300" spans="1:13" x14ac:dyDescent="0.3">
      <c r="A300" s="76"/>
      <c r="B300" s="69"/>
      <c r="C300" s="67" t="str">
        <f>IF(B300="","",IFERROR(INDEX(Projects!$B$5:$B$104,MATCH(B300,Projects!$A$5:$A$104,0)),"?"))</f>
        <v/>
      </c>
      <c r="D300" s="73"/>
      <c r="E300" s="73"/>
      <c r="F300" s="73"/>
      <c r="G300" s="73"/>
      <c r="H300" s="75" t="str">
        <f t="shared" si="20"/>
        <v/>
      </c>
      <c r="I300" s="75" t="str">
        <f t="shared" si="21"/>
        <v/>
      </c>
      <c r="J300" s="77" t="str">
        <f t="shared" si="22"/>
        <v/>
      </c>
      <c r="K300" s="77" t="str">
        <f t="shared" si="23"/>
        <v/>
      </c>
      <c r="L300" s="78" t="str">
        <f t="shared" si="24"/>
        <v/>
      </c>
      <c r="M300" s="69"/>
    </row>
    <row r="301" spans="1:13" x14ac:dyDescent="0.3">
      <c r="A301" s="76"/>
      <c r="B301" s="69"/>
      <c r="C301" s="67" t="str">
        <f>IF(B301="","",IFERROR(INDEX(Projects!$B$5:$B$104,MATCH(B301,Projects!$A$5:$A$104,0)),"?"))</f>
        <v/>
      </c>
      <c r="D301" s="73"/>
      <c r="E301" s="73"/>
      <c r="F301" s="73"/>
      <c r="G301" s="73"/>
      <c r="H301" s="75" t="str">
        <f t="shared" si="20"/>
        <v/>
      </c>
      <c r="I301" s="75" t="str">
        <f t="shared" si="21"/>
        <v/>
      </c>
      <c r="J301" s="77" t="str">
        <f t="shared" si="22"/>
        <v/>
      </c>
      <c r="K301" s="77" t="str">
        <f t="shared" si="23"/>
        <v/>
      </c>
      <c r="L301" s="78" t="str">
        <f t="shared" si="24"/>
        <v/>
      </c>
      <c r="M301" s="69"/>
    </row>
    <row r="302" spans="1:13" x14ac:dyDescent="0.3">
      <c r="A302" s="76"/>
      <c r="B302" s="69"/>
      <c r="C302" s="67" t="str">
        <f>IF(B302="","",IFERROR(INDEX(Projects!$B$5:$B$104,MATCH(B302,Projects!$A$5:$A$104,0)),"?"))</f>
        <v/>
      </c>
      <c r="D302" s="73"/>
      <c r="E302" s="73"/>
      <c r="F302" s="73"/>
      <c r="G302" s="73"/>
      <c r="H302" s="75" t="str">
        <f t="shared" si="20"/>
        <v/>
      </c>
      <c r="I302" s="75" t="str">
        <f t="shared" si="21"/>
        <v/>
      </c>
      <c r="J302" s="77" t="str">
        <f t="shared" si="22"/>
        <v/>
      </c>
      <c r="K302" s="77" t="str">
        <f t="shared" si="23"/>
        <v/>
      </c>
      <c r="L302" s="78" t="str">
        <f t="shared" si="24"/>
        <v/>
      </c>
      <c r="M302" s="69"/>
    </row>
    <row r="303" spans="1:13" x14ac:dyDescent="0.3">
      <c r="A303" s="76"/>
      <c r="B303" s="69"/>
      <c r="C303" s="67" t="str">
        <f>IF(B303="","",IFERROR(INDEX(Projects!$B$5:$B$104,MATCH(B303,Projects!$A$5:$A$104,0)),"?"))</f>
        <v/>
      </c>
      <c r="D303" s="73"/>
      <c r="E303" s="73"/>
      <c r="F303" s="73"/>
      <c r="G303" s="73"/>
      <c r="H303" s="75" t="str">
        <f t="shared" si="20"/>
        <v/>
      </c>
      <c r="I303" s="75" t="str">
        <f t="shared" si="21"/>
        <v/>
      </c>
      <c r="J303" s="77" t="str">
        <f t="shared" si="22"/>
        <v/>
      </c>
      <c r="K303" s="77" t="str">
        <f t="shared" si="23"/>
        <v/>
      </c>
      <c r="L303" s="78" t="str">
        <f t="shared" si="24"/>
        <v/>
      </c>
      <c r="M303" s="69"/>
    </row>
    <row r="304" spans="1:13" x14ac:dyDescent="0.3">
      <c r="A304" s="76"/>
      <c r="B304" s="69"/>
      <c r="C304" s="67" t="str">
        <f>IF(B304="","",IFERROR(INDEX(Projects!$B$5:$B$104,MATCH(B304,Projects!$A$5:$A$104,0)),"?"))</f>
        <v/>
      </c>
      <c r="D304" s="73"/>
      <c r="E304" s="73"/>
      <c r="F304" s="73"/>
      <c r="G304" s="73"/>
      <c r="H304" s="75" t="str">
        <f t="shared" si="20"/>
        <v/>
      </c>
      <c r="I304" s="75" t="str">
        <f t="shared" si="21"/>
        <v/>
      </c>
      <c r="J304" s="77" t="str">
        <f t="shared" si="22"/>
        <v/>
      </c>
      <c r="K304" s="77" t="str">
        <f t="shared" si="23"/>
        <v/>
      </c>
      <c r="L304" s="78" t="str">
        <f t="shared" si="24"/>
        <v/>
      </c>
      <c r="M304" s="69"/>
    </row>
    <row r="305" spans="1:13" x14ac:dyDescent="0.3">
      <c r="A305" s="76"/>
      <c r="B305" s="69"/>
      <c r="C305" s="67" t="str">
        <f>IF(B305="","",IFERROR(INDEX(Projects!$B$5:$B$104,MATCH(B305,Projects!$A$5:$A$104,0)),"?"))</f>
        <v/>
      </c>
      <c r="D305" s="73"/>
      <c r="E305" s="73"/>
      <c r="F305" s="73"/>
      <c r="G305" s="73"/>
      <c r="H305" s="75" t="str">
        <f t="shared" si="20"/>
        <v/>
      </c>
      <c r="I305" s="75" t="str">
        <f t="shared" si="21"/>
        <v/>
      </c>
      <c r="J305" s="77" t="str">
        <f t="shared" si="22"/>
        <v/>
      </c>
      <c r="K305" s="77" t="str">
        <f t="shared" si="23"/>
        <v/>
      </c>
      <c r="L305" s="78" t="str">
        <f t="shared" si="24"/>
        <v/>
      </c>
      <c r="M305" s="69"/>
    </row>
    <row r="306" spans="1:13" x14ac:dyDescent="0.3">
      <c r="A306" s="76"/>
      <c r="B306" s="69"/>
      <c r="C306" s="67" t="str">
        <f>IF(B306="","",IFERROR(INDEX(Projects!$B$5:$B$104,MATCH(B306,Projects!$A$5:$A$104,0)),"?"))</f>
        <v/>
      </c>
      <c r="D306" s="73"/>
      <c r="E306" s="73"/>
      <c r="F306" s="73"/>
      <c r="G306" s="73"/>
      <c r="H306" s="75" t="str">
        <f t="shared" si="20"/>
        <v/>
      </c>
      <c r="I306" s="75" t="str">
        <f t="shared" si="21"/>
        <v/>
      </c>
      <c r="J306" s="77" t="str">
        <f t="shared" si="22"/>
        <v/>
      </c>
      <c r="K306" s="77" t="str">
        <f t="shared" si="23"/>
        <v/>
      </c>
      <c r="L306" s="78" t="str">
        <f t="shared" si="24"/>
        <v/>
      </c>
      <c r="M306" s="69"/>
    </row>
    <row r="307" spans="1:13" x14ac:dyDescent="0.3">
      <c r="A307" s="76"/>
      <c r="B307" s="69"/>
      <c r="C307" s="67" t="str">
        <f>IF(B307="","",IFERROR(INDEX(Projects!$B$5:$B$104,MATCH(B307,Projects!$A$5:$A$104,0)),"?"))</f>
        <v/>
      </c>
      <c r="D307" s="73"/>
      <c r="E307" s="73"/>
      <c r="F307" s="73"/>
      <c r="G307" s="73"/>
      <c r="H307" s="75" t="str">
        <f t="shared" si="20"/>
        <v/>
      </c>
      <c r="I307" s="75" t="str">
        <f t="shared" si="21"/>
        <v/>
      </c>
      <c r="J307" s="77" t="str">
        <f t="shared" si="22"/>
        <v/>
      </c>
      <c r="K307" s="77" t="str">
        <f t="shared" si="23"/>
        <v/>
      </c>
      <c r="L307" s="78" t="str">
        <f t="shared" si="24"/>
        <v/>
      </c>
      <c r="M307" s="69"/>
    </row>
    <row r="308" spans="1:13" x14ac:dyDescent="0.3">
      <c r="A308" s="76"/>
      <c r="B308" s="69"/>
      <c r="C308" s="67" t="str">
        <f>IF(B308="","",IFERROR(INDEX(Projects!$B$5:$B$104,MATCH(B308,Projects!$A$5:$A$104,0)),"?"))</f>
        <v/>
      </c>
      <c r="D308" s="73"/>
      <c r="E308" s="73"/>
      <c r="F308" s="73"/>
      <c r="G308" s="73"/>
      <c r="H308" s="75" t="str">
        <f t="shared" si="20"/>
        <v/>
      </c>
      <c r="I308" s="75" t="str">
        <f t="shared" si="21"/>
        <v/>
      </c>
      <c r="J308" s="77" t="str">
        <f t="shared" si="22"/>
        <v/>
      </c>
      <c r="K308" s="77" t="str">
        <f t="shared" si="23"/>
        <v/>
      </c>
      <c r="L308" s="78" t="str">
        <f t="shared" si="24"/>
        <v/>
      </c>
      <c r="M308" s="69"/>
    </row>
    <row r="309" spans="1:13" x14ac:dyDescent="0.3">
      <c r="A309" s="76"/>
      <c r="B309" s="69"/>
      <c r="C309" s="67" t="str">
        <f>IF(B309="","",IFERROR(INDEX(Projects!$B$5:$B$104,MATCH(B309,Projects!$A$5:$A$104,0)),"?"))</f>
        <v/>
      </c>
      <c r="D309" s="73"/>
      <c r="E309" s="73"/>
      <c r="F309" s="73"/>
      <c r="G309" s="73"/>
      <c r="H309" s="75" t="str">
        <f t="shared" si="20"/>
        <v/>
      </c>
      <c r="I309" s="75" t="str">
        <f t="shared" si="21"/>
        <v/>
      </c>
      <c r="J309" s="77" t="str">
        <f t="shared" si="22"/>
        <v/>
      </c>
      <c r="K309" s="77" t="str">
        <f t="shared" si="23"/>
        <v/>
      </c>
      <c r="L309" s="78" t="str">
        <f t="shared" si="24"/>
        <v/>
      </c>
      <c r="M309" s="69"/>
    </row>
    <row r="310" spans="1:13" x14ac:dyDescent="0.3">
      <c r="A310" s="76"/>
      <c r="B310" s="69"/>
      <c r="C310" s="67" t="str">
        <f>IF(B310="","",IFERROR(INDEX(Projects!$B$5:$B$104,MATCH(B310,Projects!$A$5:$A$104,0)),"?"))</f>
        <v/>
      </c>
      <c r="D310" s="73"/>
      <c r="E310" s="73"/>
      <c r="F310" s="73"/>
      <c r="G310" s="73"/>
      <c r="H310" s="75" t="str">
        <f t="shared" si="20"/>
        <v/>
      </c>
      <c r="I310" s="75" t="str">
        <f t="shared" si="21"/>
        <v/>
      </c>
      <c r="J310" s="77" t="str">
        <f t="shared" si="22"/>
        <v/>
      </c>
      <c r="K310" s="77" t="str">
        <f t="shared" si="23"/>
        <v/>
      </c>
      <c r="L310" s="78" t="str">
        <f t="shared" si="24"/>
        <v/>
      </c>
      <c r="M310" s="69"/>
    </row>
    <row r="311" spans="1:13" x14ac:dyDescent="0.3">
      <c r="A311" s="76"/>
      <c r="B311" s="69"/>
      <c r="C311" s="67" t="str">
        <f>IF(B311="","",IFERROR(INDEX(Projects!$B$5:$B$104,MATCH(B311,Projects!$A$5:$A$104,0)),"?"))</f>
        <v/>
      </c>
      <c r="D311" s="73"/>
      <c r="E311" s="73"/>
      <c r="F311" s="73"/>
      <c r="G311" s="73"/>
      <c r="H311" s="75" t="str">
        <f t="shared" si="20"/>
        <v/>
      </c>
      <c r="I311" s="75" t="str">
        <f t="shared" si="21"/>
        <v/>
      </c>
      <c r="J311" s="77" t="str">
        <f t="shared" si="22"/>
        <v/>
      </c>
      <c r="K311" s="77" t="str">
        <f t="shared" si="23"/>
        <v/>
      </c>
      <c r="L311" s="78" t="str">
        <f t="shared" si="24"/>
        <v/>
      </c>
      <c r="M311" s="69"/>
    </row>
    <row r="312" spans="1:13" x14ac:dyDescent="0.3">
      <c r="A312" s="76"/>
      <c r="B312" s="69"/>
      <c r="C312" s="67" t="str">
        <f>IF(B312="","",IFERROR(INDEX(Projects!$B$5:$B$104,MATCH(B312,Projects!$A$5:$A$104,0)),"?"))</f>
        <v/>
      </c>
      <c r="D312" s="73"/>
      <c r="E312" s="73"/>
      <c r="F312" s="73"/>
      <c r="G312" s="73"/>
      <c r="H312" s="75" t="str">
        <f t="shared" si="20"/>
        <v/>
      </c>
      <c r="I312" s="75" t="str">
        <f t="shared" si="21"/>
        <v/>
      </c>
      <c r="J312" s="77" t="str">
        <f t="shared" si="22"/>
        <v/>
      </c>
      <c r="K312" s="77" t="str">
        <f t="shared" si="23"/>
        <v/>
      </c>
      <c r="L312" s="78" t="str">
        <f t="shared" si="24"/>
        <v/>
      </c>
      <c r="M312" s="69"/>
    </row>
    <row r="313" spans="1:13" x14ac:dyDescent="0.3">
      <c r="A313" s="76"/>
      <c r="B313" s="69"/>
      <c r="C313" s="67" t="str">
        <f>IF(B313="","",IFERROR(INDEX(Projects!$B$5:$B$104,MATCH(B313,Projects!$A$5:$A$104,0)),"?"))</f>
        <v/>
      </c>
      <c r="D313" s="73"/>
      <c r="E313" s="73"/>
      <c r="F313" s="73"/>
      <c r="G313" s="73"/>
      <c r="H313" s="75" t="str">
        <f t="shared" si="20"/>
        <v/>
      </c>
      <c r="I313" s="75" t="str">
        <f t="shared" si="21"/>
        <v/>
      </c>
      <c r="J313" s="77" t="str">
        <f t="shared" si="22"/>
        <v/>
      </c>
      <c r="K313" s="77" t="str">
        <f t="shared" si="23"/>
        <v/>
      </c>
      <c r="L313" s="78" t="str">
        <f t="shared" si="24"/>
        <v/>
      </c>
      <c r="M313" s="69"/>
    </row>
    <row r="314" spans="1:13" x14ac:dyDescent="0.3">
      <c r="A314" s="76"/>
      <c r="B314" s="69"/>
      <c r="C314" s="67" t="str">
        <f>IF(B314="","",IFERROR(INDEX(Projects!$B$5:$B$104,MATCH(B314,Projects!$A$5:$A$104,0)),"?"))</f>
        <v/>
      </c>
      <c r="D314" s="73"/>
      <c r="E314" s="73"/>
      <c r="F314" s="73"/>
      <c r="G314" s="73"/>
      <c r="H314" s="75" t="str">
        <f t="shared" si="20"/>
        <v/>
      </c>
      <c r="I314" s="75" t="str">
        <f t="shared" si="21"/>
        <v/>
      </c>
      <c r="J314" s="77" t="str">
        <f t="shared" si="22"/>
        <v/>
      </c>
      <c r="K314" s="77" t="str">
        <f t="shared" si="23"/>
        <v/>
      </c>
      <c r="L314" s="78" t="str">
        <f t="shared" si="24"/>
        <v/>
      </c>
      <c r="M314" s="69"/>
    </row>
    <row r="315" spans="1:13" x14ac:dyDescent="0.3">
      <c r="A315" s="76"/>
      <c r="B315" s="69"/>
      <c r="C315" s="67" t="str">
        <f>IF(B315="","",IFERROR(INDEX(Projects!$B$5:$B$104,MATCH(B315,Projects!$A$5:$A$104,0)),"?"))</f>
        <v/>
      </c>
      <c r="D315" s="73"/>
      <c r="E315" s="73"/>
      <c r="F315" s="73"/>
      <c r="G315" s="73"/>
      <c r="H315" s="75" t="str">
        <f t="shared" si="20"/>
        <v/>
      </c>
      <c r="I315" s="75" t="str">
        <f t="shared" si="21"/>
        <v/>
      </c>
      <c r="J315" s="77" t="str">
        <f t="shared" si="22"/>
        <v/>
      </c>
      <c r="K315" s="77" t="str">
        <f t="shared" si="23"/>
        <v/>
      </c>
      <c r="L315" s="78" t="str">
        <f t="shared" si="24"/>
        <v/>
      </c>
      <c r="M315" s="69"/>
    </row>
    <row r="316" spans="1:13" x14ac:dyDescent="0.3">
      <c r="A316" s="76"/>
      <c r="B316" s="69"/>
      <c r="C316" s="67" t="str">
        <f>IF(B316="","",IFERROR(INDEX(Projects!$B$5:$B$104,MATCH(B316,Projects!$A$5:$A$104,0)),"?"))</f>
        <v/>
      </c>
      <c r="D316" s="73"/>
      <c r="E316" s="73"/>
      <c r="F316" s="73"/>
      <c r="G316" s="73"/>
      <c r="H316" s="75" t="str">
        <f t="shared" si="20"/>
        <v/>
      </c>
      <c r="I316" s="75" t="str">
        <f t="shared" si="21"/>
        <v/>
      </c>
      <c r="J316" s="77" t="str">
        <f t="shared" si="22"/>
        <v/>
      </c>
      <c r="K316" s="77" t="str">
        <f t="shared" si="23"/>
        <v/>
      </c>
      <c r="L316" s="78" t="str">
        <f t="shared" si="24"/>
        <v/>
      </c>
      <c r="M316" s="69"/>
    </row>
    <row r="317" spans="1:13" x14ac:dyDescent="0.3">
      <c r="A317" s="76"/>
      <c r="B317" s="69"/>
      <c r="C317" s="67" t="str">
        <f>IF(B317="","",IFERROR(INDEX(Projects!$B$5:$B$104,MATCH(B317,Projects!$A$5:$A$104,0)),"?"))</f>
        <v/>
      </c>
      <c r="D317" s="73"/>
      <c r="E317" s="73"/>
      <c r="F317" s="73"/>
      <c r="G317" s="73"/>
      <c r="H317" s="75" t="str">
        <f t="shared" si="20"/>
        <v/>
      </c>
      <c r="I317" s="75" t="str">
        <f t="shared" si="21"/>
        <v/>
      </c>
      <c r="J317" s="77" t="str">
        <f t="shared" si="22"/>
        <v/>
      </c>
      <c r="K317" s="77" t="str">
        <f t="shared" si="23"/>
        <v/>
      </c>
      <c r="L317" s="78" t="str">
        <f t="shared" si="24"/>
        <v/>
      </c>
      <c r="M317" s="69"/>
    </row>
    <row r="318" spans="1:13" x14ac:dyDescent="0.3">
      <c r="A318" s="76"/>
      <c r="B318" s="69"/>
      <c r="C318" s="67" t="str">
        <f>IF(B318="","",IFERROR(INDEX(Projects!$B$5:$B$104,MATCH(B318,Projects!$A$5:$A$104,0)),"?"))</f>
        <v/>
      </c>
      <c r="D318" s="73"/>
      <c r="E318" s="73"/>
      <c r="F318" s="73"/>
      <c r="G318" s="73"/>
      <c r="H318" s="75" t="str">
        <f t="shared" si="20"/>
        <v/>
      </c>
      <c r="I318" s="75" t="str">
        <f t="shared" si="21"/>
        <v/>
      </c>
      <c r="J318" s="77" t="str">
        <f t="shared" si="22"/>
        <v/>
      </c>
      <c r="K318" s="77" t="str">
        <f t="shared" si="23"/>
        <v/>
      </c>
      <c r="L318" s="78" t="str">
        <f t="shared" si="24"/>
        <v/>
      </c>
      <c r="M318" s="69"/>
    </row>
    <row r="319" spans="1:13" x14ac:dyDescent="0.3">
      <c r="A319" s="76"/>
      <c r="B319" s="69"/>
      <c r="C319" s="67" t="str">
        <f>IF(B319="","",IFERROR(INDEX(Projects!$B$5:$B$104,MATCH(B319,Projects!$A$5:$A$104,0)),"?"))</f>
        <v/>
      </c>
      <c r="D319" s="73"/>
      <c r="E319" s="73"/>
      <c r="F319" s="73"/>
      <c r="G319" s="73"/>
      <c r="H319" s="75" t="str">
        <f t="shared" si="20"/>
        <v/>
      </c>
      <c r="I319" s="75" t="str">
        <f t="shared" si="21"/>
        <v/>
      </c>
      <c r="J319" s="77" t="str">
        <f t="shared" si="22"/>
        <v/>
      </c>
      <c r="K319" s="77" t="str">
        <f t="shared" si="23"/>
        <v/>
      </c>
      <c r="L319" s="78" t="str">
        <f t="shared" si="24"/>
        <v/>
      </c>
      <c r="M319" s="69"/>
    </row>
    <row r="320" spans="1:13" x14ac:dyDescent="0.3">
      <c r="A320" s="76"/>
      <c r="B320" s="69"/>
      <c r="C320" s="67" t="str">
        <f>IF(B320="","",IFERROR(INDEX(Projects!$B$5:$B$104,MATCH(B320,Projects!$A$5:$A$104,0)),"?"))</f>
        <v/>
      </c>
      <c r="D320" s="73"/>
      <c r="E320" s="73"/>
      <c r="F320" s="73"/>
      <c r="G320" s="73"/>
      <c r="H320" s="75" t="str">
        <f t="shared" si="20"/>
        <v/>
      </c>
      <c r="I320" s="75" t="str">
        <f t="shared" si="21"/>
        <v/>
      </c>
      <c r="J320" s="77" t="str">
        <f t="shared" si="22"/>
        <v/>
      </c>
      <c r="K320" s="77" t="str">
        <f t="shared" si="23"/>
        <v/>
      </c>
      <c r="L320" s="78" t="str">
        <f t="shared" si="24"/>
        <v/>
      </c>
      <c r="M320" s="69"/>
    </row>
    <row r="321" spans="1:13" x14ac:dyDescent="0.3">
      <c r="A321" s="76"/>
      <c r="B321" s="69"/>
      <c r="C321" s="67" t="str">
        <f>IF(B321="","",IFERROR(INDEX(Projects!$B$5:$B$104,MATCH(B321,Projects!$A$5:$A$104,0)),"?"))</f>
        <v/>
      </c>
      <c r="D321" s="73"/>
      <c r="E321" s="73"/>
      <c r="F321" s="73"/>
      <c r="G321" s="73"/>
      <c r="H321" s="75" t="str">
        <f t="shared" si="20"/>
        <v/>
      </c>
      <c r="I321" s="75" t="str">
        <f t="shared" si="21"/>
        <v/>
      </c>
      <c r="J321" s="77" t="str">
        <f t="shared" si="22"/>
        <v/>
      </c>
      <c r="K321" s="77" t="str">
        <f t="shared" si="23"/>
        <v/>
      </c>
      <c r="L321" s="78" t="str">
        <f t="shared" si="24"/>
        <v/>
      </c>
      <c r="M321" s="69"/>
    </row>
    <row r="322" spans="1:13" x14ac:dyDescent="0.3">
      <c r="A322" s="76"/>
      <c r="B322" s="69"/>
      <c r="C322" s="67" t="str">
        <f>IF(B322="","",IFERROR(INDEX(Projects!$B$5:$B$104,MATCH(B322,Projects!$A$5:$A$104,0)),"?"))</f>
        <v/>
      </c>
      <c r="D322" s="73"/>
      <c r="E322" s="73"/>
      <c r="F322" s="73"/>
      <c r="G322" s="73"/>
      <c r="H322" s="75" t="str">
        <f t="shared" si="20"/>
        <v/>
      </c>
      <c r="I322" s="75" t="str">
        <f t="shared" si="21"/>
        <v/>
      </c>
      <c r="J322" s="77" t="str">
        <f t="shared" si="22"/>
        <v/>
      </c>
      <c r="K322" s="77" t="str">
        <f t="shared" si="23"/>
        <v/>
      </c>
      <c r="L322" s="78" t="str">
        <f t="shared" si="24"/>
        <v/>
      </c>
      <c r="M322" s="69"/>
    </row>
    <row r="323" spans="1:13" x14ac:dyDescent="0.3">
      <c r="A323" s="76"/>
      <c r="B323" s="69"/>
      <c r="C323" s="67" t="str">
        <f>IF(B323="","",IFERROR(INDEX(Projects!$B$5:$B$104,MATCH(B323,Projects!$A$5:$A$104,0)),"?"))</f>
        <v/>
      </c>
      <c r="D323" s="73"/>
      <c r="E323" s="73"/>
      <c r="F323" s="73"/>
      <c r="G323" s="73"/>
      <c r="H323" s="75" t="str">
        <f t="shared" si="20"/>
        <v/>
      </c>
      <c r="I323" s="75" t="str">
        <f t="shared" si="21"/>
        <v/>
      </c>
      <c r="J323" s="77" t="str">
        <f t="shared" si="22"/>
        <v/>
      </c>
      <c r="K323" s="77" t="str">
        <f t="shared" si="23"/>
        <v/>
      </c>
      <c r="L323" s="78" t="str">
        <f t="shared" si="24"/>
        <v/>
      </c>
      <c r="M323" s="69"/>
    </row>
    <row r="324" spans="1:13" x14ac:dyDescent="0.3">
      <c r="A324" s="76"/>
      <c r="B324" s="69"/>
      <c r="C324" s="67" t="str">
        <f>IF(B324="","",IFERROR(INDEX(Projects!$B$5:$B$104,MATCH(B324,Projects!$A$5:$A$104,0)),"?"))</f>
        <v/>
      </c>
      <c r="D324" s="73"/>
      <c r="E324" s="73"/>
      <c r="F324" s="73"/>
      <c r="G324" s="73"/>
      <c r="H324" s="75" t="str">
        <f t="shared" si="20"/>
        <v/>
      </c>
      <c r="I324" s="75" t="str">
        <f t="shared" si="21"/>
        <v/>
      </c>
      <c r="J324" s="77" t="str">
        <f t="shared" si="22"/>
        <v/>
      </c>
      <c r="K324" s="77" t="str">
        <f t="shared" si="23"/>
        <v/>
      </c>
      <c r="L324" s="78" t="str">
        <f t="shared" si="24"/>
        <v/>
      </c>
      <c r="M324" s="69"/>
    </row>
    <row r="325" spans="1:13" x14ac:dyDescent="0.3">
      <c r="A325" s="76"/>
      <c r="B325" s="69"/>
      <c r="C325" s="67" t="str">
        <f>IF(B325="","",IFERROR(INDEX(Projects!$B$5:$B$104,MATCH(B325,Projects!$A$5:$A$104,0)),"?"))</f>
        <v/>
      </c>
      <c r="D325" s="73"/>
      <c r="E325" s="73"/>
      <c r="F325" s="73"/>
      <c r="G325" s="73"/>
      <c r="H325" s="75" t="str">
        <f t="shared" ref="H325:H388" si="25">IF(OR(E325="",F325=""),"",F325-E325)</f>
        <v/>
      </c>
      <c r="I325" s="75" t="str">
        <f t="shared" ref="I325:I388" si="26">IF(OR(F325="",G325=""),"",F325-G325)</f>
        <v/>
      </c>
      <c r="J325" s="77" t="str">
        <f t="shared" ref="J325:J388" si="27">IF(OR(E325="",E325=0,F325=""),"",F325/E325)</f>
        <v/>
      </c>
      <c r="K325" s="77" t="str">
        <f t="shared" ref="K325:K388" si="28">IF(OR(G325="",G325=0,F325=""),"",F325/G325)</f>
        <v/>
      </c>
      <c r="L325" s="78" t="str">
        <f t="shared" ref="L325:L388" si="29">IF(OR(D325="",D325=0,G325=""),"",G325/D325)</f>
        <v/>
      </c>
      <c r="M325" s="69"/>
    </row>
    <row r="326" spans="1:13" x14ac:dyDescent="0.3">
      <c r="A326" s="76"/>
      <c r="B326" s="69"/>
      <c r="C326" s="67" t="str">
        <f>IF(B326="","",IFERROR(INDEX(Projects!$B$5:$B$104,MATCH(B326,Projects!$A$5:$A$104,0)),"?"))</f>
        <v/>
      </c>
      <c r="D326" s="73"/>
      <c r="E326" s="73"/>
      <c r="F326" s="73"/>
      <c r="G326" s="73"/>
      <c r="H326" s="75" t="str">
        <f t="shared" si="25"/>
        <v/>
      </c>
      <c r="I326" s="75" t="str">
        <f t="shared" si="26"/>
        <v/>
      </c>
      <c r="J326" s="77" t="str">
        <f t="shared" si="27"/>
        <v/>
      </c>
      <c r="K326" s="77" t="str">
        <f t="shared" si="28"/>
        <v/>
      </c>
      <c r="L326" s="78" t="str">
        <f t="shared" si="29"/>
        <v/>
      </c>
      <c r="M326" s="69"/>
    </row>
    <row r="327" spans="1:13" x14ac:dyDescent="0.3">
      <c r="A327" s="76"/>
      <c r="B327" s="69"/>
      <c r="C327" s="67" t="str">
        <f>IF(B327="","",IFERROR(INDEX(Projects!$B$5:$B$104,MATCH(B327,Projects!$A$5:$A$104,0)),"?"))</f>
        <v/>
      </c>
      <c r="D327" s="73"/>
      <c r="E327" s="73"/>
      <c r="F327" s="73"/>
      <c r="G327" s="73"/>
      <c r="H327" s="75" t="str">
        <f t="shared" si="25"/>
        <v/>
      </c>
      <c r="I327" s="75" t="str">
        <f t="shared" si="26"/>
        <v/>
      </c>
      <c r="J327" s="77" t="str">
        <f t="shared" si="27"/>
        <v/>
      </c>
      <c r="K327" s="77" t="str">
        <f t="shared" si="28"/>
        <v/>
      </c>
      <c r="L327" s="78" t="str">
        <f t="shared" si="29"/>
        <v/>
      </c>
      <c r="M327" s="69"/>
    </row>
    <row r="328" spans="1:13" x14ac:dyDescent="0.3">
      <c r="A328" s="76"/>
      <c r="B328" s="69"/>
      <c r="C328" s="67" t="str">
        <f>IF(B328="","",IFERROR(INDEX(Projects!$B$5:$B$104,MATCH(B328,Projects!$A$5:$A$104,0)),"?"))</f>
        <v/>
      </c>
      <c r="D328" s="73"/>
      <c r="E328" s="73"/>
      <c r="F328" s="73"/>
      <c r="G328" s="73"/>
      <c r="H328" s="75" t="str">
        <f t="shared" si="25"/>
        <v/>
      </c>
      <c r="I328" s="75" t="str">
        <f t="shared" si="26"/>
        <v/>
      </c>
      <c r="J328" s="77" t="str">
        <f t="shared" si="27"/>
        <v/>
      </c>
      <c r="K328" s="77" t="str">
        <f t="shared" si="28"/>
        <v/>
      </c>
      <c r="L328" s="78" t="str">
        <f t="shared" si="29"/>
        <v/>
      </c>
      <c r="M328" s="69"/>
    </row>
    <row r="329" spans="1:13" x14ac:dyDescent="0.3">
      <c r="A329" s="76"/>
      <c r="B329" s="69"/>
      <c r="C329" s="67" t="str">
        <f>IF(B329="","",IFERROR(INDEX(Projects!$B$5:$B$104,MATCH(B329,Projects!$A$5:$A$104,0)),"?"))</f>
        <v/>
      </c>
      <c r="D329" s="73"/>
      <c r="E329" s="73"/>
      <c r="F329" s="73"/>
      <c r="G329" s="73"/>
      <c r="H329" s="75" t="str">
        <f t="shared" si="25"/>
        <v/>
      </c>
      <c r="I329" s="75" t="str">
        <f t="shared" si="26"/>
        <v/>
      </c>
      <c r="J329" s="77" t="str">
        <f t="shared" si="27"/>
        <v/>
      </c>
      <c r="K329" s="77" t="str">
        <f t="shared" si="28"/>
        <v/>
      </c>
      <c r="L329" s="78" t="str">
        <f t="shared" si="29"/>
        <v/>
      </c>
      <c r="M329" s="69"/>
    </row>
    <row r="330" spans="1:13" x14ac:dyDescent="0.3">
      <c r="A330" s="76"/>
      <c r="B330" s="69"/>
      <c r="C330" s="67" t="str">
        <f>IF(B330="","",IFERROR(INDEX(Projects!$B$5:$B$104,MATCH(B330,Projects!$A$5:$A$104,0)),"?"))</f>
        <v/>
      </c>
      <c r="D330" s="73"/>
      <c r="E330" s="73"/>
      <c r="F330" s="73"/>
      <c r="G330" s="73"/>
      <c r="H330" s="75" t="str">
        <f t="shared" si="25"/>
        <v/>
      </c>
      <c r="I330" s="75" t="str">
        <f t="shared" si="26"/>
        <v/>
      </c>
      <c r="J330" s="77" t="str">
        <f t="shared" si="27"/>
        <v/>
      </c>
      <c r="K330" s="77" t="str">
        <f t="shared" si="28"/>
        <v/>
      </c>
      <c r="L330" s="78" t="str">
        <f t="shared" si="29"/>
        <v/>
      </c>
      <c r="M330" s="69"/>
    </row>
    <row r="331" spans="1:13" x14ac:dyDescent="0.3">
      <c r="A331" s="76"/>
      <c r="B331" s="69"/>
      <c r="C331" s="67" t="str">
        <f>IF(B331="","",IFERROR(INDEX(Projects!$B$5:$B$104,MATCH(B331,Projects!$A$5:$A$104,0)),"?"))</f>
        <v/>
      </c>
      <c r="D331" s="73"/>
      <c r="E331" s="73"/>
      <c r="F331" s="73"/>
      <c r="G331" s="73"/>
      <c r="H331" s="75" t="str">
        <f t="shared" si="25"/>
        <v/>
      </c>
      <c r="I331" s="75" t="str">
        <f t="shared" si="26"/>
        <v/>
      </c>
      <c r="J331" s="77" t="str">
        <f t="shared" si="27"/>
        <v/>
      </c>
      <c r="K331" s="77" t="str">
        <f t="shared" si="28"/>
        <v/>
      </c>
      <c r="L331" s="78" t="str">
        <f t="shared" si="29"/>
        <v/>
      </c>
      <c r="M331" s="69"/>
    </row>
    <row r="332" spans="1:13" x14ac:dyDescent="0.3">
      <c r="A332" s="76"/>
      <c r="B332" s="69"/>
      <c r="C332" s="67" t="str">
        <f>IF(B332="","",IFERROR(INDEX(Projects!$B$5:$B$104,MATCH(B332,Projects!$A$5:$A$104,0)),"?"))</f>
        <v/>
      </c>
      <c r="D332" s="73"/>
      <c r="E332" s="73"/>
      <c r="F332" s="73"/>
      <c r="G332" s="73"/>
      <c r="H332" s="75" t="str">
        <f t="shared" si="25"/>
        <v/>
      </c>
      <c r="I332" s="75" t="str">
        <f t="shared" si="26"/>
        <v/>
      </c>
      <c r="J332" s="77" t="str">
        <f t="shared" si="27"/>
        <v/>
      </c>
      <c r="K332" s="77" t="str">
        <f t="shared" si="28"/>
        <v/>
      </c>
      <c r="L332" s="78" t="str">
        <f t="shared" si="29"/>
        <v/>
      </c>
      <c r="M332" s="69"/>
    </row>
    <row r="333" spans="1:13" x14ac:dyDescent="0.3">
      <c r="A333" s="76"/>
      <c r="B333" s="69"/>
      <c r="C333" s="67" t="str">
        <f>IF(B333="","",IFERROR(INDEX(Projects!$B$5:$B$104,MATCH(B333,Projects!$A$5:$A$104,0)),"?"))</f>
        <v/>
      </c>
      <c r="D333" s="73"/>
      <c r="E333" s="73"/>
      <c r="F333" s="73"/>
      <c r="G333" s="73"/>
      <c r="H333" s="75" t="str">
        <f t="shared" si="25"/>
        <v/>
      </c>
      <c r="I333" s="75" t="str">
        <f t="shared" si="26"/>
        <v/>
      </c>
      <c r="J333" s="77" t="str">
        <f t="shared" si="27"/>
        <v/>
      </c>
      <c r="K333" s="77" t="str">
        <f t="shared" si="28"/>
        <v/>
      </c>
      <c r="L333" s="78" t="str">
        <f t="shared" si="29"/>
        <v/>
      </c>
      <c r="M333" s="69"/>
    </row>
    <row r="334" spans="1:13" x14ac:dyDescent="0.3">
      <c r="A334" s="76"/>
      <c r="B334" s="69"/>
      <c r="C334" s="67" t="str">
        <f>IF(B334="","",IFERROR(INDEX(Projects!$B$5:$B$104,MATCH(B334,Projects!$A$5:$A$104,0)),"?"))</f>
        <v/>
      </c>
      <c r="D334" s="73"/>
      <c r="E334" s="73"/>
      <c r="F334" s="73"/>
      <c r="G334" s="73"/>
      <c r="H334" s="75" t="str">
        <f t="shared" si="25"/>
        <v/>
      </c>
      <c r="I334" s="75" t="str">
        <f t="shared" si="26"/>
        <v/>
      </c>
      <c r="J334" s="77" t="str">
        <f t="shared" si="27"/>
        <v/>
      </c>
      <c r="K334" s="77" t="str">
        <f t="shared" si="28"/>
        <v/>
      </c>
      <c r="L334" s="78" t="str">
        <f t="shared" si="29"/>
        <v/>
      </c>
      <c r="M334" s="69"/>
    </row>
    <row r="335" spans="1:13" x14ac:dyDescent="0.3">
      <c r="A335" s="76"/>
      <c r="B335" s="69"/>
      <c r="C335" s="67" t="str">
        <f>IF(B335="","",IFERROR(INDEX(Projects!$B$5:$B$104,MATCH(B335,Projects!$A$5:$A$104,0)),"?"))</f>
        <v/>
      </c>
      <c r="D335" s="73"/>
      <c r="E335" s="73"/>
      <c r="F335" s="73"/>
      <c r="G335" s="73"/>
      <c r="H335" s="75" t="str">
        <f t="shared" si="25"/>
        <v/>
      </c>
      <c r="I335" s="75" t="str">
        <f t="shared" si="26"/>
        <v/>
      </c>
      <c r="J335" s="77" t="str">
        <f t="shared" si="27"/>
        <v/>
      </c>
      <c r="K335" s="77" t="str">
        <f t="shared" si="28"/>
        <v/>
      </c>
      <c r="L335" s="78" t="str">
        <f t="shared" si="29"/>
        <v/>
      </c>
      <c r="M335" s="69"/>
    </row>
    <row r="336" spans="1:13" x14ac:dyDescent="0.3">
      <c r="A336" s="76"/>
      <c r="B336" s="69"/>
      <c r="C336" s="67" t="str">
        <f>IF(B336="","",IFERROR(INDEX(Projects!$B$5:$B$104,MATCH(B336,Projects!$A$5:$A$104,0)),"?"))</f>
        <v/>
      </c>
      <c r="D336" s="73"/>
      <c r="E336" s="73"/>
      <c r="F336" s="73"/>
      <c r="G336" s="73"/>
      <c r="H336" s="75" t="str">
        <f t="shared" si="25"/>
        <v/>
      </c>
      <c r="I336" s="75" t="str">
        <f t="shared" si="26"/>
        <v/>
      </c>
      <c r="J336" s="77" t="str">
        <f t="shared" si="27"/>
        <v/>
      </c>
      <c r="K336" s="77" t="str">
        <f t="shared" si="28"/>
        <v/>
      </c>
      <c r="L336" s="78" t="str">
        <f t="shared" si="29"/>
        <v/>
      </c>
      <c r="M336" s="69"/>
    </row>
    <row r="337" spans="1:13" x14ac:dyDescent="0.3">
      <c r="A337" s="76"/>
      <c r="B337" s="69"/>
      <c r="C337" s="67" t="str">
        <f>IF(B337="","",IFERROR(INDEX(Projects!$B$5:$B$104,MATCH(B337,Projects!$A$5:$A$104,0)),"?"))</f>
        <v/>
      </c>
      <c r="D337" s="73"/>
      <c r="E337" s="73"/>
      <c r="F337" s="73"/>
      <c r="G337" s="73"/>
      <c r="H337" s="75" t="str">
        <f t="shared" si="25"/>
        <v/>
      </c>
      <c r="I337" s="75" t="str">
        <f t="shared" si="26"/>
        <v/>
      </c>
      <c r="J337" s="77" t="str">
        <f t="shared" si="27"/>
        <v/>
      </c>
      <c r="K337" s="77" t="str">
        <f t="shared" si="28"/>
        <v/>
      </c>
      <c r="L337" s="78" t="str">
        <f t="shared" si="29"/>
        <v/>
      </c>
      <c r="M337" s="69"/>
    </row>
    <row r="338" spans="1:13" x14ac:dyDescent="0.3">
      <c r="A338" s="76"/>
      <c r="B338" s="69"/>
      <c r="C338" s="67" t="str">
        <f>IF(B338="","",IFERROR(INDEX(Projects!$B$5:$B$104,MATCH(B338,Projects!$A$5:$A$104,0)),"?"))</f>
        <v/>
      </c>
      <c r="D338" s="73"/>
      <c r="E338" s="73"/>
      <c r="F338" s="73"/>
      <c r="G338" s="73"/>
      <c r="H338" s="75" t="str">
        <f t="shared" si="25"/>
        <v/>
      </c>
      <c r="I338" s="75" t="str">
        <f t="shared" si="26"/>
        <v/>
      </c>
      <c r="J338" s="77" t="str">
        <f t="shared" si="27"/>
        <v/>
      </c>
      <c r="K338" s="77" t="str">
        <f t="shared" si="28"/>
        <v/>
      </c>
      <c r="L338" s="78" t="str">
        <f t="shared" si="29"/>
        <v/>
      </c>
      <c r="M338" s="69"/>
    </row>
    <row r="339" spans="1:13" x14ac:dyDescent="0.3">
      <c r="A339" s="76"/>
      <c r="B339" s="69"/>
      <c r="C339" s="67" t="str">
        <f>IF(B339="","",IFERROR(INDEX(Projects!$B$5:$B$104,MATCH(B339,Projects!$A$5:$A$104,0)),"?"))</f>
        <v/>
      </c>
      <c r="D339" s="73"/>
      <c r="E339" s="73"/>
      <c r="F339" s="73"/>
      <c r="G339" s="73"/>
      <c r="H339" s="75" t="str">
        <f t="shared" si="25"/>
        <v/>
      </c>
      <c r="I339" s="75" t="str">
        <f t="shared" si="26"/>
        <v/>
      </c>
      <c r="J339" s="77" t="str">
        <f t="shared" si="27"/>
        <v/>
      </c>
      <c r="K339" s="77" t="str">
        <f t="shared" si="28"/>
        <v/>
      </c>
      <c r="L339" s="78" t="str">
        <f t="shared" si="29"/>
        <v/>
      </c>
      <c r="M339" s="69"/>
    </row>
    <row r="340" spans="1:13" x14ac:dyDescent="0.3">
      <c r="A340" s="76"/>
      <c r="B340" s="69"/>
      <c r="C340" s="67" t="str">
        <f>IF(B340="","",IFERROR(INDEX(Projects!$B$5:$B$104,MATCH(B340,Projects!$A$5:$A$104,0)),"?"))</f>
        <v/>
      </c>
      <c r="D340" s="73"/>
      <c r="E340" s="73"/>
      <c r="F340" s="73"/>
      <c r="G340" s="73"/>
      <c r="H340" s="75" t="str">
        <f t="shared" si="25"/>
        <v/>
      </c>
      <c r="I340" s="75" t="str">
        <f t="shared" si="26"/>
        <v/>
      </c>
      <c r="J340" s="77" t="str">
        <f t="shared" si="27"/>
        <v/>
      </c>
      <c r="K340" s="77" t="str">
        <f t="shared" si="28"/>
        <v/>
      </c>
      <c r="L340" s="78" t="str">
        <f t="shared" si="29"/>
        <v/>
      </c>
      <c r="M340" s="69"/>
    </row>
    <row r="341" spans="1:13" x14ac:dyDescent="0.3">
      <c r="A341" s="76"/>
      <c r="B341" s="69"/>
      <c r="C341" s="67" t="str">
        <f>IF(B341="","",IFERROR(INDEX(Projects!$B$5:$B$104,MATCH(B341,Projects!$A$5:$A$104,0)),"?"))</f>
        <v/>
      </c>
      <c r="D341" s="73"/>
      <c r="E341" s="73"/>
      <c r="F341" s="73"/>
      <c r="G341" s="73"/>
      <c r="H341" s="75" t="str">
        <f t="shared" si="25"/>
        <v/>
      </c>
      <c r="I341" s="75" t="str">
        <f t="shared" si="26"/>
        <v/>
      </c>
      <c r="J341" s="77" t="str">
        <f t="shared" si="27"/>
        <v/>
      </c>
      <c r="K341" s="77" t="str">
        <f t="shared" si="28"/>
        <v/>
      </c>
      <c r="L341" s="78" t="str">
        <f t="shared" si="29"/>
        <v/>
      </c>
      <c r="M341" s="69"/>
    </row>
    <row r="342" spans="1:13" x14ac:dyDescent="0.3">
      <c r="A342" s="76"/>
      <c r="B342" s="69"/>
      <c r="C342" s="67" t="str">
        <f>IF(B342="","",IFERROR(INDEX(Projects!$B$5:$B$104,MATCH(B342,Projects!$A$5:$A$104,0)),"?"))</f>
        <v/>
      </c>
      <c r="D342" s="73"/>
      <c r="E342" s="73"/>
      <c r="F342" s="73"/>
      <c r="G342" s="73"/>
      <c r="H342" s="75" t="str">
        <f t="shared" si="25"/>
        <v/>
      </c>
      <c r="I342" s="75" t="str">
        <f t="shared" si="26"/>
        <v/>
      </c>
      <c r="J342" s="77" t="str">
        <f t="shared" si="27"/>
        <v/>
      </c>
      <c r="K342" s="77" t="str">
        <f t="shared" si="28"/>
        <v/>
      </c>
      <c r="L342" s="78" t="str">
        <f t="shared" si="29"/>
        <v/>
      </c>
      <c r="M342" s="69"/>
    </row>
    <row r="343" spans="1:13" x14ac:dyDescent="0.3">
      <c r="A343" s="76"/>
      <c r="B343" s="69"/>
      <c r="C343" s="67" t="str">
        <f>IF(B343="","",IFERROR(INDEX(Projects!$B$5:$B$104,MATCH(B343,Projects!$A$5:$A$104,0)),"?"))</f>
        <v/>
      </c>
      <c r="D343" s="73"/>
      <c r="E343" s="73"/>
      <c r="F343" s="73"/>
      <c r="G343" s="73"/>
      <c r="H343" s="75" t="str">
        <f t="shared" si="25"/>
        <v/>
      </c>
      <c r="I343" s="75" t="str">
        <f t="shared" si="26"/>
        <v/>
      </c>
      <c r="J343" s="77" t="str">
        <f t="shared" si="27"/>
        <v/>
      </c>
      <c r="K343" s="77" t="str">
        <f t="shared" si="28"/>
        <v/>
      </c>
      <c r="L343" s="78" t="str">
        <f t="shared" si="29"/>
        <v/>
      </c>
      <c r="M343" s="69"/>
    </row>
    <row r="344" spans="1:13" x14ac:dyDescent="0.3">
      <c r="A344" s="76"/>
      <c r="B344" s="69"/>
      <c r="C344" s="67" t="str">
        <f>IF(B344="","",IFERROR(INDEX(Projects!$B$5:$B$104,MATCH(B344,Projects!$A$5:$A$104,0)),"?"))</f>
        <v/>
      </c>
      <c r="D344" s="73"/>
      <c r="E344" s="73"/>
      <c r="F344" s="73"/>
      <c r="G344" s="73"/>
      <c r="H344" s="75" t="str">
        <f t="shared" si="25"/>
        <v/>
      </c>
      <c r="I344" s="75" t="str">
        <f t="shared" si="26"/>
        <v/>
      </c>
      <c r="J344" s="77" t="str">
        <f t="shared" si="27"/>
        <v/>
      </c>
      <c r="K344" s="77" t="str">
        <f t="shared" si="28"/>
        <v/>
      </c>
      <c r="L344" s="78" t="str">
        <f t="shared" si="29"/>
        <v/>
      </c>
      <c r="M344" s="69"/>
    </row>
    <row r="345" spans="1:13" x14ac:dyDescent="0.3">
      <c r="A345" s="76"/>
      <c r="B345" s="69"/>
      <c r="C345" s="67" t="str">
        <f>IF(B345="","",IFERROR(INDEX(Projects!$B$5:$B$104,MATCH(B345,Projects!$A$5:$A$104,0)),"?"))</f>
        <v/>
      </c>
      <c r="D345" s="73"/>
      <c r="E345" s="73"/>
      <c r="F345" s="73"/>
      <c r="G345" s="73"/>
      <c r="H345" s="75" t="str">
        <f t="shared" si="25"/>
        <v/>
      </c>
      <c r="I345" s="75" t="str">
        <f t="shared" si="26"/>
        <v/>
      </c>
      <c r="J345" s="77" t="str">
        <f t="shared" si="27"/>
        <v/>
      </c>
      <c r="K345" s="77" t="str">
        <f t="shared" si="28"/>
        <v/>
      </c>
      <c r="L345" s="78" t="str">
        <f t="shared" si="29"/>
        <v/>
      </c>
      <c r="M345" s="69"/>
    </row>
    <row r="346" spans="1:13" x14ac:dyDescent="0.3">
      <c r="A346" s="76"/>
      <c r="B346" s="69"/>
      <c r="C346" s="67" t="str">
        <f>IF(B346="","",IFERROR(INDEX(Projects!$B$5:$B$104,MATCH(B346,Projects!$A$5:$A$104,0)),"?"))</f>
        <v/>
      </c>
      <c r="D346" s="73"/>
      <c r="E346" s="73"/>
      <c r="F346" s="73"/>
      <c r="G346" s="73"/>
      <c r="H346" s="75" t="str">
        <f t="shared" si="25"/>
        <v/>
      </c>
      <c r="I346" s="75" t="str">
        <f t="shared" si="26"/>
        <v/>
      </c>
      <c r="J346" s="77" t="str">
        <f t="shared" si="27"/>
        <v/>
      </c>
      <c r="K346" s="77" t="str">
        <f t="shared" si="28"/>
        <v/>
      </c>
      <c r="L346" s="78" t="str">
        <f t="shared" si="29"/>
        <v/>
      </c>
      <c r="M346" s="69"/>
    </row>
    <row r="347" spans="1:13" x14ac:dyDescent="0.3">
      <c r="A347" s="76"/>
      <c r="B347" s="69"/>
      <c r="C347" s="67" t="str">
        <f>IF(B347="","",IFERROR(INDEX(Projects!$B$5:$B$104,MATCH(B347,Projects!$A$5:$A$104,0)),"?"))</f>
        <v/>
      </c>
      <c r="D347" s="73"/>
      <c r="E347" s="73"/>
      <c r="F347" s="73"/>
      <c r="G347" s="73"/>
      <c r="H347" s="75" t="str">
        <f t="shared" si="25"/>
        <v/>
      </c>
      <c r="I347" s="75" t="str">
        <f t="shared" si="26"/>
        <v/>
      </c>
      <c r="J347" s="77" t="str">
        <f t="shared" si="27"/>
        <v/>
      </c>
      <c r="K347" s="77" t="str">
        <f t="shared" si="28"/>
        <v/>
      </c>
      <c r="L347" s="78" t="str">
        <f t="shared" si="29"/>
        <v/>
      </c>
      <c r="M347" s="69"/>
    </row>
    <row r="348" spans="1:13" x14ac:dyDescent="0.3">
      <c r="A348" s="76"/>
      <c r="B348" s="69"/>
      <c r="C348" s="67" t="str">
        <f>IF(B348="","",IFERROR(INDEX(Projects!$B$5:$B$104,MATCH(B348,Projects!$A$5:$A$104,0)),"?"))</f>
        <v/>
      </c>
      <c r="D348" s="73"/>
      <c r="E348" s="73"/>
      <c r="F348" s="73"/>
      <c r="G348" s="73"/>
      <c r="H348" s="75" t="str">
        <f t="shared" si="25"/>
        <v/>
      </c>
      <c r="I348" s="75" t="str">
        <f t="shared" si="26"/>
        <v/>
      </c>
      <c r="J348" s="77" t="str">
        <f t="shared" si="27"/>
        <v/>
      </c>
      <c r="K348" s="77" t="str">
        <f t="shared" si="28"/>
        <v/>
      </c>
      <c r="L348" s="78" t="str">
        <f t="shared" si="29"/>
        <v/>
      </c>
      <c r="M348" s="69"/>
    </row>
    <row r="349" spans="1:13" x14ac:dyDescent="0.3">
      <c r="A349" s="76"/>
      <c r="B349" s="69"/>
      <c r="C349" s="67" t="str">
        <f>IF(B349="","",IFERROR(INDEX(Projects!$B$5:$B$104,MATCH(B349,Projects!$A$5:$A$104,0)),"?"))</f>
        <v/>
      </c>
      <c r="D349" s="73"/>
      <c r="E349" s="73"/>
      <c r="F349" s="73"/>
      <c r="G349" s="73"/>
      <c r="H349" s="75" t="str">
        <f t="shared" si="25"/>
        <v/>
      </c>
      <c r="I349" s="75" t="str">
        <f t="shared" si="26"/>
        <v/>
      </c>
      <c r="J349" s="77" t="str">
        <f t="shared" si="27"/>
        <v/>
      </c>
      <c r="K349" s="77" t="str">
        <f t="shared" si="28"/>
        <v/>
      </c>
      <c r="L349" s="78" t="str">
        <f t="shared" si="29"/>
        <v/>
      </c>
      <c r="M349" s="69"/>
    </row>
    <row r="350" spans="1:13" x14ac:dyDescent="0.3">
      <c r="A350" s="76"/>
      <c r="B350" s="69"/>
      <c r="C350" s="67" t="str">
        <f>IF(B350="","",IFERROR(INDEX(Projects!$B$5:$B$104,MATCH(B350,Projects!$A$5:$A$104,0)),"?"))</f>
        <v/>
      </c>
      <c r="D350" s="73"/>
      <c r="E350" s="73"/>
      <c r="F350" s="73"/>
      <c r="G350" s="73"/>
      <c r="H350" s="75" t="str">
        <f t="shared" si="25"/>
        <v/>
      </c>
      <c r="I350" s="75" t="str">
        <f t="shared" si="26"/>
        <v/>
      </c>
      <c r="J350" s="77" t="str">
        <f t="shared" si="27"/>
        <v/>
      </c>
      <c r="K350" s="77" t="str">
        <f t="shared" si="28"/>
        <v/>
      </c>
      <c r="L350" s="78" t="str">
        <f t="shared" si="29"/>
        <v/>
      </c>
      <c r="M350" s="69"/>
    </row>
    <row r="351" spans="1:13" x14ac:dyDescent="0.3">
      <c r="A351" s="76"/>
      <c r="B351" s="69"/>
      <c r="C351" s="67" t="str">
        <f>IF(B351="","",IFERROR(INDEX(Projects!$B$5:$B$104,MATCH(B351,Projects!$A$5:$A$104,0)),"?"))</f>
        <v/>
      </c>
      <c r="D351" s="73"/>
      <c r="E351" s="73"/>
      <c r="F351" s="73"/>
      <c r="G351" s="73"/>
      <c r="H351" s="75" t="str">
        <f t="shared" si="25"/>
        <v/>
      </c>
      <c r="I351" s="75" t="str">
        <f t="shared" si="26"/>
        <v/>
      </c>
      <c r="J351" s="77" t="str">
        <f t="shared" si="27"/>
        <v/>
      </c>
      <c r="K351" s="77" t="str">
        <f t="shared" si="28"/>
        <v/>
      </c>
      <c r="L351" s="78" t="str">
        <f t="shared" si="29"/>
        <v/>
      </c>
      <c r="M351" s="69"/>
    </row>
    <row r="352" spans="1:13" x14ac:dyDescent="0.3">
      <c r="A352" s="76"/>
      <c r="B352" s="69"/>
      <c r="C352" s="67" t="str">
        <f>IF(B352="","",IFERROR(INDEX(Projects!$B$5:$B$104,MATCH(B352,Projects!$A$5:$A$104,0)),"?"))</f>
        <v/>
      </c>
      <c r="D352" s="73"/>
      <c r="E352" s="73"/>
      <c r="F352" s="73"/>
      <c r="G352" s="73"/>
      <c r="H352" s="75" t="str">
        <f t="shared" si="25"/>
        <v/>
      </c>
      <c r="I352" s="75" t="str">
        <f t="shared" si="26"/>
        <v/>
      </c>
      <c r="J352" s="77" t="str">
        <f t="shared" si="27"/>
        <v/>
      </c>
      <c r="K352" s="77" t="str">
        <f t="shared" si="28"/>
        <v/>
      </c>
      <c r="L352" s="78" t="str">
        <f t="shared" si="29"/>
        <v/>
      </c>
      <c r="M352" s="69"/>
    </row>
    <row r="353" spans="1:13" x14ac:dyDescent="0.3">
      <c r="A353" s="76"/>
      <c r="B353" s="69"/>
      <c r="C353" s="67" t="str">
        <f>IF(B353="","",IFERROR(INDEX(Projects!$B$5:$B$104,MATCH(B353,Projects!$A$5:$A$104,0)),"?"))</f>
        <v/>
      </c>
      <c r="D353" s="73"/>
      <c r="E353" s="73"/>
      <c r="F353" s="73"/>
      <c r="G353" s="73"/>
      <c r="H353" s="75" t="str">
        <f t="shared" si="25"/>
        <v/>
      </c>
      <c r="I353" s="75" t="str">
        <f t="shared" si="26"/>
        <v/>
      </c>
      <c r="J353" s="77" t="str">
        <f t="shared" si="27"/>
        <v/>
      </c>
      <c r="K353" s="77" t="str">
        <f t="shared" si="28"/>
        <v/>
      </c>
      <c r="L353" s="78" t="str">
        <f t="shared" si="29"/>
        <v/>
      </c>
      <c r="M353" s="69"/>
    </row>
    <row r="354" spans="1:13" x14ac:dyDescent="0.3">
      <c r="A354" s="76"/>
      <c r="B354" s="69"/>
      <c r="C354" s="67" t="str">
        <f>IF(B354="","",IFERROR(INDEX(Projects!$B$5:$B$104,MATCH(B354,Projects!$A$5:$A$104,0)),"?"))</f>
        <v/>
      </c>
      <c r="D354" s="73"/>
      <c r="E354" s="73"/>
      <c r="F354" s="73"/>
      <c r="G354" s="73"/>
      <c r="H354" s="75" t="str">
        <f t="shared" si="25"/>
        <v/>
      </c>
      <c r="I354" s="75" t="str">
        <f t="shared" si="26"/>
        <v/>
      </c>
      <c r="J354" s="77" t="str">
        <f t="shared" si="27"/>
        <v/>
      </c>
      <c r="K354" s="77" t="str">
        <f t="shared" si="28"/>
        <v/>
      </c>
      <c r="L354" s="78" t="str">
        <f t="shared" si="29"/>
        <v/>
      </c>
      <c r="M354" s="69"/>
    </row>
    <row r="355" spans="1:13" x14ac:dyDescent="0.3">
      <c r="A355" s="76"/>
      <c r="B355" s="69"/>
      <c r="C355" s="67" t="str">
        <f>IF(B355="","",IFERROR(INDEX(Projects!$B$5:$B$104,MATCH(B355,Projects!$A$5:$A$104,0)),"?"))</f>
        <v/>
      </c>
      <c r="D355" s="73"/>
      <c r="E355" s="73"/>
      <c r="F355" s="73"/>
      <c r="G355" s="73"/>
      <c r="H355" s="75" t="str">
        <f t="shared" si="25"/>
        <v/>
      </c>
      <c r="I355" s="75" t="str">
        <f t="shared" si="26"/>
        <v/>
      </c>
      <c r="J355" s="77" t="str">
        <f t="shared" si="27"/>
        <v/>
      </c>
      <c r="K355" s="77" t="str">
        <f t="shared" si="28"/>
        <v/>
      </c>
      <c r="L355" s="78" t="str">
        <f t="shared" si="29"/>
        <v/>
      </c>
      <c r="M355" s="69"/>
    </row>
    <row r="356" spans="1:13" x14ac:dyDescent="0.3">
      <c r="A356" s="76"/>
      <c r="B356" s="69"/>
      <c r="C356" s="67" t="str">
        <f>IF(B356="","",IFERROR(INDEX(Projects!$B$5:$B$104,MATCH(B356,Projects!$A$5:$A$104,0)),"?"))</f>
        <v/>
      </c>
      <c r="D356" s="73"/>
      <c r="E356" s="73"/>
      <c r="F356" s="73"/>
      <c r="G356" s="73"/>
      <c r="H356" s="75" t="str">
        <f t="shared" si="25"/>
        <v/>
      </c>
      <c r="I356" s="75" t="str">
        <f t="shared" si="26"/>
        <v/>
      </c>
      <c r="J356" s="77" t="str">
        <f t="shared" si="27"/>
        <v/>
      </c>
      <c r="K356" s="77" t="str">
        <f t="shared" si="28"/>
        <v/>
      </c>
      <c r="L356" s="78" t="str">
        <f t="shared" si="29"/>
        <v/>
      </c>
      <c r="M356" s="69"/>
    </row>
    <row r="357" spans="1:13" x14ac:dyDescent="0.3">
      <c r="A357" s="76"/>
      <c r="B357" s="69"/>
      <c r="C357" s="67" t="str">
        <f>IF(B357="","",IFERROR(INDEX(Projects!$B$5:$B$104,MATCH(B357,Projects!$A$5:$A$104,0)),"?"))</f>
        <v/>
      </c>
      <c r="D357" s="73"/>
      <c r="E357" s="73"/>
      <c r="F357" s="73"/>
      <c r="G357" s="73"/>
      <c r="H357" s="75" t="str">
        <f t="shared" si="25"/>
        <v/>
      </c>
      <c r="I357" s="75" t="str">
        <f t="shared" si="26"/>
        <v/>
      </c>
      <c r="J357" s="77" t="str">
        <f t="shared" si="27"/>
        <v/>
      </c>
      <c r="K357" s="77" t="str">
        <f t="shared" si="28"/>
        <v/>
      </c>
      <c r="L357" s="78" t="str">
        <f t="shared" si="29"/>
        <v/>
      </c>
      <c r="M357" s="69"/>
    </row>
    <row r="358" spans="1:13" x14ac:dyDescent="0.3">
      <c r="A358" s="76"/>
      <c r="B358" s="69"/>
      <c r="C358" s="67" t="str">
        <f>IF(B358="","",IFERROR(INDEX(Projects!$B$5:$B$104,MATCH(B358,Projects!$A$5:$A$104,0)),"?"))</f>
        <v/>
      </c>
      <c r="D358" s="73"/>
      <c r="E358" s="73"/>
      <c r="F358" s="73"/>
      <c r="G358" s="73"/>
      <c r="H358" s="75" t="str">
        <f t="shared" si="25"/>
        <v/>
      </c>
      <c r="I358" s="75" t="str">
        <f t="shared" si="26"/>
        <v/>
      </c>
      <c r="J358" s="77" t="str">
        <f t="shared" si="27"/>
        <v/>
      </c>
      <c r="K358" s="77" t="str">
        <f t="shared" si="28"/>
        <v/>
      </c>
      <c r="L358" s="78" t="str">
        <f t="shared" si="29"/>
        <v/>
      </c>
      <c r="M358" s="69"/>
    </row>
    <row r="359" spans="1:13" x14ac:dyDescent="0.3">
      <c r="A359" s="76"/>
      <c r="B359" s="69"/>
      <c r="C359" s="67" t="str">
        <f>IF(B359="","",IFERROR(INDEX(Projects!$B$5:$B$104,MATCH(B359,Projects!$A$5:$A$104,0)),"?"))</f>
        <v/>
      </c>
      <c r="D359" s="73"/>
      <c r="E359" s="73"/>
      <c r="F359" s="73"/>
      <c r="G359" s="73"/>
      <c r="H359" s="75" t="str">
        <f t="shared" si="25"/>
        <v/>
      </c>
      <c r="I359" s="75" t="str">
        <f t="shared" si="26"/>
        <v/>
      </c>
      <c r="J359" s="77" t="str">
        <f t="shared" si="27"/>
        <v/>
      </c>
      <c r="K359" s="77" t="str">
        <f t="shared" si="28"/>
        <v/>
      </c>
      <c r="L359" s="78" t="str">
        <f t="shared" si="29"/>
        <v/>
      </c>
      <c r="M359" s="69"/>
    </row>
    <row r="360" spans="1:13" x14ac:dyDescent="0.3">
      <c r="A360" s="76"/>
      <c r="B360" s="69"/>
      <c r="C360" s="67" t="str">
        <f>IF(B360="","",IFERROR(INDEX(Projects!$B$5:$B$104,MATCH(B360,Projects!$A$5:$A$104,0)),"?"))</f>
        <v/>
      </c>
      <c r="D360" s="73"/>
      <c r="E360" s="73"/>
      <c r="F360" s="73"/>
      <c r="G360" s="73"/>
      <c r="H360" s="75" t="str">
        <f t="shared" si="25"/>
        <v/>
      </c>
      <c r="I360" s="75" t="str">
        <f t="shared" si="26"/>
        <v/>
      </c>
      <c r="J360" s="77" t="str">
        <f t="shared" si="27"/>
        <v/>
      </c>
      <c r="K360" s="77" t="str">
        <f t="shared" si="28"/>
        <v/>
      </c>
      <c r="L360" s="78" t="str">
        <f t="shared" si="29"/>
        <v/>
      </c>
      <c r="M360" s="69"/>
    </row>
    <row r="361" spans="1:13" x14ac:dyDescent="0.3">
      <c r="A361" s="76"/>
      <c r="B361" s="69"/>
      <c r="C361" s="67" t="str">
        <f>IF(B361="","",IFERROR(INDEX(Projects!$B$5:$B$104,MATCH(B361,Projects!$A$5:$A$104,0)),"?"))</f>
        <v/>
      </c>
      <c r="D361" s="73"/>
      <c r="E361" s="73"/>
      <c r="F361" s="73"/>
      <c r="G361" s="73"/>
      <c r="H361" s="75" t="str">
        <f t="shared" si="25"/>
        <v/>
      </c>
      <c r="I361" s="75" t="str">
        <f t="shared" si="26"/>
        <v/>
      </c>
      <c r="J361" s="77" t="str">
        <f t="shared" si="27"/>
        <v/>
      </c>
      <c r="K361" s="77" t="str">
        <f t="shared" si="28"/>
        <v/>
      </c>
      <c r="L361" s="78" t="str">
        <f t="shared" si="29"/>
        <v/>
      </c>
      <c r="M361" s="69"/>
    </row>
    <row r="362" spans="1:13" x14ac:dyDescent="0.3">
      <c r="A362" s="76"/>
      <c r="B362" s="69"/>
      <c r="C362" s="67" t="str">
        <f>IF(B362="","",IFERROR(INDEX(Projects!$B$5:$B$104,MATCH(B362,Projects!$A$5:$A$104,0)),"?"))</f>
        <v/>
      </c>
      <c r="D362" s="73"/>
      <c r="E362" s="73"/>
      <c r="F362" s="73"/>
      <c r="G362" s="73"/>
      <c r="H362" s="75" t="str">
        <f t="shared" si="25"/>
        <v/>
      </c>
      <c r="I362" s="75" t="str">
        <f t="shared" si="26"/>
        <v/>
      </c>
      <c r="J362" s="77" t="str">
        <f t="shared" si="27"/>
        <v/>
      </c>
      <c r="K362" s="77" t="str">
        <f t="shared" si="28"/>
        <v/>
      </c>
      <c r="L362" s="78" t="str">
        <f t="shared" si="29"/>
        <v/>
      </c>
      <c r="M362" s="69"/>
    </row>
    <row r="363" spans="1:13" x14ac:dyDescent="0.3">
      <c r="A363" s="76"/>
      <c r="B363" s="69"/>
      <c r="C363" s="67" t="str">
        <f>IF(B363="","",IFERROR(INDEX(Projects!$B$5:$B$104,MATCH(B363,Projects!$A$5:$A$104,0)),"?"))</f>
        <v/>
      </c>
      <c r="D363" s="73"/>
      <c r="E363" s="73"/>
      <c r="F363" s="73"/>
      <c r="G363" s="73"/>
      <c r="H363" s="75" t="str">
        <f t="shared" si="25"/>
        <v/>
      </c>
      <c r="I363" s="75" t="str">
        <f t="shared" si="26"/>
        <v/>
      </c>
      <c r="J363" s="77" t="str">
        <f t="shared" si="27"/>
        <v/>
      </c>
      <c r="K363" s="77" t="str">
        <f t="shared" si="28"/>
        <v/>
      </c>
      <c r="L363" s="78" t="str">
        <f t="shared" si="29"/>
        <v/>
      </c>
      <c r="M363" s="69"/>
    </row>
    <row r="364" spans="1:13" x14ac:dyDescent="0.3">
      <c r="A364" s="76"/>
      <c r="B364" s="69"/>
      <c r="C364" s="67" t="str">
        <f>IF(B364="","",IFERROR(INDEX(Projects!$B$5:$B$104,MATCH(B364,Projects!$A$5:$A$104,0)),"?"))</f>
        <v/>
      </c>
      <c r="D364" s="73"/>
      <c r="E364" s="73"/>
      <c r="F364" s="73"/>
      <c r="G364" s="73"/>
      <c r="H364" s="75" t="str">
        <f t="shared" si="25"/>
        <v/>
      </c>
      <c r="I364" s="75" t="str">
        <f t="shared" si="26"/>
        <v/>
      </c>
      <c r="J364" s="77" t="str">
        <f t="shared" si="27"/>
        <v/>
      </c>
      <c r="K364" s="77" t="str">
        <f t="shared" si="28"/>
        <v/>
      </c>
      <c r="L364" s="78" t="str">
        <f t="shared" si="29"/>
        <v/>
      </c>
      <c r="M364" s="69"/>
    </row>
    <row r="365" spans="1:13" x14ac:dyDescent="0.3">
      <c r="A365" s="76"/>
      <c r="B365" s="69"/>
      <c r="C365" s="67" t="str">
        <f>IF(B365="","",IFERROR(INDEX(Projects!$B$5:$B$104,MATCH(B365,Projects!$A$5:$A$104,0)),"?"))</f>
        <v/>
      </c>
      <c r="D365" s="73"/>
      <c r="E365" s="73"/>
      <c r="F365" s="73"/>
      <c r="G365" s="73"/>
      <c r="H365" s="75" t="str">
        <f t="shared" si="25"/>
        <v/>
      </c>
      <c r="I365" s="75" t="str">
        <f t="shared" si="26"/>
        <v/>
      </c>
      <c r="J365" s="77" t="str">
        <f t="shared" si="27"/>
        <v/>
      </c>
      <c r="K365" s="77" t="str">
        <f t="shared" si="28"/>
        <v/>
      </c>
      <c r="L365" s="78" t="str">
        <f t="shared" si="29"/>
        <v/>
      </c>
      <c r="M365" s="69"/>
    </row>
    <row r="366" spans="1:13" x14ac:dyDescent="0.3">
      <c r="A366" s="76"/>
      <c r="B366" s="69"/>
      <c r="C366" s="67" t="str">
        <f>IF(B366="","",IFERROR(INDEX(Projects!$B$5:$B$104,MATCH(B366,Projects!$A$5:$A$104,0)),"?"))</f>
        <v/>
      </c>
      <c r="D366" s="73"/>
      <c r="E366" s="73"/>
      <c r="F366" s="73"/>
      <c r="G366" s="73"/>
      <c r="H366" s="75" t="str">
        <f t="shared" si="25"/>
        <v/>
      </c>
      <c r="I366" s="75" t="str">
        <f t="shared" si="26"/>
        <v/>
      </c>
      <c r="J366" s="77" t="str">
        <f t="shared" si="27"/>
        <v/>
      </c>
      <c r="K366" s="77" t="str">
        <f t="shared" si="28"/>
        <v/>
      </c>
      <c r="L366" s="78" t="str">
        <f t="shared" si="29"/>
        <v/>
      </c>
      <c r="M366" s="69"/>
    </row>
    <row r="367" spans="1:13" x14ac:dyDescent="0.3">
      <c r="A367" s="76"/>
      <c r="B367" s="69"/>
      <c r="C367" s="67" t="str">
        <f>IF(B367="","",IFERROR(INDEX(Projects!$B$5:$B$104,MATCH(B367,Projects!$A$5:$A$104,0)),"?"))</f>
        <v/>
      </c>
      <c r="D367" s="73"/>
      <c r="E367" s="73"/>
      <c r="F367" s="73"/>
      <c r="G367" s="73"/>
      <c r="H367" s="75" t="str">
        <f t="shared" si="25"/>
        <v/>
      </c>
      <c r="I367" s="75" t="str">
        <f t="shared" si="26"/>
        <v/>
      </c>
      <c r="J367" s="77" t="str">
        <f t="shared" si="27"/>
        <v/>
      </c>
      <c r="K367" s="77" t="str">
        <f t="shared" si="28"/>
        <v/>
      </c>
      <c r="L367" s="78" t="str">
        <f t="shared" si="29"/>
        <v/>
      </c>
      <c r="M367" s="69"/>
    </row>
    <row r="368" spans="1:13" x14ac:dyDescent="0.3">
      <c r="A368" s="76"/>
      <c r="B368" s="69"/>
      <c r="C368" s="67" t="str">
        <f>IF(B368="","",IFERROR(INDEX(Projects!$B$5:$B$104,MATCH(B368,Projects!$A$5:$A$104,0)),"?"))</f>
        <v/>
      </c>
      <c r="D368" s="73"/>
      <c r="E368" s="73"/>
      <c r="F368" s="73"/>
      <c r="G368" s="73"/>
      <c r="H368" s="75" t="str">
        <f t="shared" si="25"/>
        <v/>
      </c>
      <c r="I368" s="75" t="str">
        <f t="shared" si="26"/>
        <v/>
      </c>
      <c r="J368" s="77" t="str">
        <f t="shared" si="27"/>
        <v/>
      </c>
      <c r="K368" s="77" t="str">
        <f t="shared" si="28"/>
        <v/>
      </c>
      <c r="L368" s="78" t="str">
        <f t="shared" si="29"/>
        <v/>
      </c>
      <c r="M368" s="69"/>
    </row>
    <row r="369" spans="1:13" x14ac:dyDescent="0.3">
      <c r="A369" s="76"/>
      <c r="B369" s="69"/>
      <c r="C369" s="67" t="str">
        <f>IF(B369="","",IFERROR(INDEX(Projects!$B$5:$B$104,MATCH(B369,Projects!$A$5:$A$104,0)),"?"))</f>
        <v/>
      </c>
      <c r="D369" s="73"/>
      <c r="E369" s="73"/>
      <c r="F369" s="73"/>
      <c r="G369" s="73"/>
      <c r="H369" s="75" t="str">
        <f t="shared" si="25"/>
        <v/>
      </c>
      <c r="I369" s="75" t="str">
        <f t="shared" si="26"/>
        <v/>
      </c>
      <c r="J369" s="77" t="str">
        <f t="shared" si="27"/>
        <v/>
      </c>
      <c r="K369" s="77" t="str">
        <f t="shared" si="28"/>
        <v/>
      </c>
      <c r="L369" s="78" t="str">
        <f t="shared" si="29"/>
        <v/>
      </c>
      <c r="M369" s="69"/>
    </row>
    <row r="370" spans="1:13" x14ac:dyDescent="0.3">
      <c r="A370" s="76"/>
      <c r="B370" s="69"/>
      <c r="C370" s="67" t="str">
        <f>IF(B370="","",IFERROR(INDEX(Projects!$B$5:$B$104,MATCH(B370,Projects!$A$5:$A$104,0)),"?"))</f>
        <v/>
      </c>
      <c r="D370" s="73"/>
      <c r="E370" s="73"/>
      <c r="F370" s="73"/>
      <c r="G370" s="73"/>
      <c r="H370" s="75" t="str">
        <f t="shared" si="25"/>
        <v/>
      </c>
      <c r="I370" s="75" t="str">
        <f t="shared" si="26"/>
        <v/>
      </c>
      <c r="J370" s="77" t="str">
        <f t="shared" si="27"/>
        <v/>
      </c>
      <c r="K370" s="77" t="str">
        <f t="shared" si="28"/>
        <v/>
      </c>
      <c r="L370" s="78" t="str">
        <f t="shared" si="29"/>
        <v/>
      </c>
      <c r="M370" s="69"/>
    </row>
    <row r="371" spans="1:13" x14ac:dyDescent="0.3">
      <c r="A371" s="76"/>
      <c r="B371" s="69"/>
      <c r="C371" s="67" t="str">
        <f>IF(B371="","",IFERROR(INDEX(Projects!$B$5:$B$104,MATCH(B371,Projects!$A$5:$A$104,0)),"?"))</f>
        <v/>
      </c>
      <c r="D371" s="73"/>
      <c r="E371" s="73"/>
      <c r="F371" s="73"/>
      <c r="G371" s="73"/>
      <c r="H371" s="75" t="str">
        <f t="shared" si="25"/>
        <v/>
      </c>
      <c r="I371" s="75" t="str">
        <f t="shared" si="26"/>
        <v/>
      </c>
      <c r="J371" s="77" t="str">
        <f t="shared" si="27"/>
        <v/>
      </c>
      <c r="K371" s="77" t="str">
        <f t="shared" si="28"/>
        <v/>
      </c>
      <c r="L371" s="78" t="str">
        <f t="shared" si="29"/>
        <v/>
      </c>
      <c r="M371" s="69"/>
    </row>
    <row r="372" spans="1:13" x14ac:dyDescent="0.3">
      <c r="A372" s="76"/>
      <c r="B372" s="69"/>
      <c r="C372" s="67" t="str">
        <f>IF(B372="","",IFERROR(INDEX(Projects!$B$5:$B$104,MATCH(B372,Projects!$A$5:$A$104,0)),"?"))</f>
        <v/>
      </c>
      <c r="D372" s="73"/>
      <c r="E372" s="73"/>
      <c r="F372" s="73"/>
      <c r="G372" s="73"/>
      <c r="H372" s="75" t="str">
        <f t="shared" si="25"/>
        <v/>
      </c>
      <c r="I372" s="75" t="str">
        <f t="shared" si="26"/>
        <v/>
      </c>
      <c r="J372" s="77" t="str">
        <f t="shared" si="27"/>
        <v/>
      </c>
      <c r="K372" s="77" t="str">
        <f t="shared" si="28"/>
        <v/>
      </c>
      <c r="L372" s="78" t="str">
        <f t="shared" si="29"/>
        <v/>
      </c>
      <c r="M372" s="69"/>
    </row>
    <row r="373" spans="1:13" x14ac:dyDescent="0.3">
      <c r="A373" s="76"/>
      <c r="B373" s="69"/>
      <c r="C373" s="67" t="str">
        <f>IF(B373="","",IFERROR(INDEX(Projects!$B$5:$B$104,MATCH(B373,Projects!$A$5:$A$104,0)),"?"))</f>
        <v/>
      </c>
      <c r="D373" s="73"/>
      <c r="E373" s="73"/>
      <c r="F373" s="73"/>
      <c r="G373" s="73"/>
      <c r="H373" s="75" t="str">
        <f t="shared" si="25"/>
        <v/>
      </c>
      <c r="I373" s="75" t="str">
        <f t="shared" si="26"/>
        <v/>
      </c>
      <c r="J373" s="77" t="str">
        <f t="shared" si="27"/>
        <v/>
      </c>
      <c r="K373" s="77" t="str">
        <f t="shared" si="28"/>
        <v/>
      </c>
      <c r="L373" s="78" t="str">
        <f t="shared" si="29"/>
        <v/>
      </c>
      <c r="M373" s="69"/>
    </row>
    <row r="374" spans="1:13" x14ac:dyDescent="0.3">
      <c r="A374" s="76"/>
      <c r="B374" s="69"/>
      <c r="C374" s="67" t="str">
        <f>IF(B374="","",IFERROR(INDEX(Projects!$B$5:$B$104,MATCH(B374,Projects!$A$5:$A$104,0)),"?"))</f>
        <v/>
      </c>
      <c r="D374" s="73"/>
      <c r="E374" s="73"/>
      <c r="F374" s="73"/>
      <c r="G374" s="73"/>
      <c r="H374" s="75" t="str">
        <f t="shared" si="25"/>
        <v/>
      </c>
      <c r="I374" s="75" t="str">
        <f t="shared" si="26"/>
        <v/>
      </c>
      <c r="J374" s="77" t="str">
        <f t="shared" si="27"/>
        <v/>
      </c>
      <c r="K374" s="77" t="str">
        <f t="shared" si="28"/>
        <v/>
      </c>
      <c r="L374" s="78" t="str">
        <f t="shared" si="29"/>
        <v/>
      </c>
      <c r="M374" s="69"/>
    </row>
    <row r="375" spans="1:13" x14ac:dyDescent="0.3">
      <c r="A375" s="76"/>
      <c r="B375" s="69"/>
      <c r="C375" s="67" t="str">
        <f>IF(B375="","",IFERROR(INDEX(Projects!$B$5:$B$104,MATCH(B375,Projects!$A$5:$A$104,0)),"?"))</f>
        <v/>
      </c>
      <c r="D375" s="73"/>
      <c r="E375" s="73"/>
      <c r="F375" s="73"/>
      <c r="G375" s="73"/>
      <c r="H375" s="75" t="str">
        <f t="shared" si="25"/>
        <v/>
      </c>
      <c r="I375" s="75" t="str">
        <f t="shared" si="26"/>
        <v/>
      </c>
      <c r="J375" s="77" t="str">
        <f t="shared" si="27"/>
        <v/>
      </c>
      <c r="K375" s="77" t="str">
        <f t="shared" si="28"/>
        <v/>
      </c>
      <c r="L375" s="78" t="str">
        <f t="shared" si="29"/>
        <v/>
      </c>
      <c r="M375" s="69"/>
    </row>
    <row r="376" spans="1:13" x14ac:dyDescent="0.3">
      <c r="A376" s="76"/>
      <c r="B376" s="69"/>
      <c r="C376" s="67" t="str">
        <f>IF(B376="","",IFERROR(INDEX(Projects!$B$5:$B$104,MATCH(B376,Projects!$A$5:$A$104,0)),"?"))</f>
        <v/>
      </c>
      <c r="D376" s="73"/>
      <c r="E376" s="73"/>
      <c r="F376" s="73"/>
      <c r="G376" s="73"/>
      <c r="H376" s="75" t="str">
        <f t="shared" si="25"/>
        <v/>
      </c>
      <c r="I376" s="75" t="str">
        <f t="shared" si="26"/>
        <v/>
      </c>
      <c r="J376" s="77" t="str">
        <f t="shared" si="27"/>
        <v/>
      </c>
      <c r="K376" s="77" t="str">
        <f t="shared" si="28"/>
        <v/>
      </c>
      <c r="L376" s="78" t="str">
        <f t="shared" si="29"/>
        <v/>
      </c>
      <c r="M376" s="69"/>
    </row>
    <row r="377" spans="1:13" x14ac:dyDescent="0.3">
      <c r="A377" s="76"/>
      <c r="B377" s="69"/>
      <c r="C377" s="67" t="str">
        <f>IF(B377="","",IFERROR(INDEX(Projects!$B$5:$B$104,MATCH(B377,Projects!$A$5:$A$104,0)),"?"))</f>
        <v/>
      </c>
      <c r="D377" s="73"/>
      <c r="E377" s="73"/>
      <c r="F377" s="73"/>
      <c r="G377" s="73"/>
      <c r="H377" s="75" t="str">
        <f t="shared" si="25"/>
        <v/>
      </c>
      <c r="I377" s="75" t="str">
        <f t="shared" si="26"/>
        <v/>
      </c>
      <c r="J377" s="77" t="str">
        <f t="shared" si="27"/>
        <v/>
      </c>
      <c r="K377" s="77" t="str">
        <f t="shared" si="28"/>
        <v/>
      </c>
      <c r="L377" s="78" t="str">
        <f t="shared" si="29"/>
        <v/>
      </c>
      <c r="M377" s="69"/>
    </row>
    <row r="378" spans="1:13" x14ac:dyDescent="0.3">
      <c r="A378" s="76"/>
      <c r="B378" s="69"/>
      <c r="C378" s="67" t="str">
        <f>IF(B378="","",IFERROR(INDEX(Projects!$B$5:$B$104,MATCH(B378,Projects!$A$5:$A$104,0)),"?"))</f>
        <v/>
      </c>
      <c r="D378" s="73"/>
      <c r="E378" s="73"/>
      <c r="F378" s="73"/>
      <c r="G378" s="73"/>
      <c r="H378" s="75" t="str">
        <f t="shared" si="25"/>
        <v/>
      </c>
      <c r="I378" s="75" t="str">
        <f t="shared" si="26"/>
        <v/>
      </c>
      <c r="J378" s="77" t="str">
        <f t="shared" si="27"/>
        <v/>
      </c>
      <c r="K378" s="77" t="str">
        <f t="shared" si="28"/>
        <v/>
      </c>
      <c r="L378" s="78" t="str">
        <f t="shared" si="29"/>
        <v/>
      </c>
      <c r="M378" s="69"/>
    </row>
    <row r="379" spans="1:13" x14ac:dyDescent="0.3">
      <c r="A379" s="76"/>
      <c r="B379" s="69"/>
      <c r="C379" s="67" t="str">
        <f>IF(B379="","",IFERROR(INDEX(Projects!$B$5:$B$104,MATCH(B379,Projects!$A$5:$A$104,0)),"?"))</f>
        <v/>
      </c>
      <c r="D379" s="73"/>
      <c r="E379" s="73"/>
      <c r="F379" s="73"/>
      <c r="G379" s="73"/>
      <c r="H379" s="75" t="str">
        <f t="shared" si="25"/>
        <v/>
      </c>
      <c r="I379" s="75" t="str">
        <f t="shared" si="26"/>
        <v/>
      </c>
      <c r="J379" s="77" t="str">
        <f t="shared" si="27"/>
        <v/>
      </c>
      <c r="K379" s="77" t="str">
        <f t="shared" si="28"/>
        <v/>
      </c>
      <c r="L379" s="78" t="str">
        <f t="shared" si="29"/>
        <v/>
      </c>
      <c r="M379" s="69"/>
    </row>
    <row r="380" spans="1:13" x14ac:dyDescent="0.3">
      <c r="A380" s="76"/>
      <c r="B380" s="69"/>
      <c r="C380" s="67" t="str">
        <f>IF(B380="","",IFERROR(INDEX(Projects!$B$5:$B$104,MATCH(B380,Projects!$A$5:$A$104,0)),"?"))</f>
        <v/>
      </c>
      <c r="D380" s="73"/>
      <c r="E380" s="73"/>
      <c r="F380" s="73"/>
      <c r="G380" s="73"/>
      <c r="H380" s="75" t="str">
        <f t="shared" si="25"/>
        <v/>
      </c>
      <c r="I380" s="75" t="str">
        <f t="shared" si="26"/>
        <v/>
      </c>
      <c r="J380" s="77" t="str">
        <f t="shared" si="27"/>
        <v/>
      </c>
      <c r="K380" s="77" t="str">
        <f t="shared" si="28"/>
        <v/>
      </c>
      <c r="L380" s="78" t="str">
        <f t="shared" si="29"/>
        <v/>
      </c>
      <c r="M380" s="69"/>
    </row>
    <row r="381" spans="1:13" x14ac:dyDescent="0.3">
      <c r="A381" s="76"/>
      <c r="B381" s="69"/>
      <c r="C381" s="67" t="str">
        <f>IF(B381="","",IFERROR(INDEX(Projects!$B$5:$B$104,MATCH(B381,Projects!$A$5:$A$104,0)),"?"))</f>
        <v/>
      </c>
      <c r="D381" s="73"/>
      <c r="E381" s="73"/>
      <c r="F381" s="73"/>
      <c r="G381" s="73"/>
      <c r="H381" s="75" t="str">
        <f t="shared" si="25"/>
        <v/>
      </c>
      <c r="I381" s="75" t="str">
        <f t="shared" si="26"/>
        <v/>
      </c>
      <c r="J381" s="77" t="str">
        <f t="shared" si="27"/>
        <v/>
      </c>
      <c r="K381" s="77" t="str">
        <f t="shared" si="28"/>
        <v/>
      </c>
      <c r="L381" s="78" t="str">
        <f t="shared" si="29"/>
        <v/>
      </c>
      <c r="M381" s="69"/>
    </row>
    <row r="382" spans="1:13" x14ac:dyDescent="0.3">
      <c r="A382" s="76"/>
      <c r="B382" s="69"/>
      <c r="C382" s="67" t="str">
        <f>IF(B382="","",IFERROR(INDEX(Projects!$B$5:$B$104,MATCH(B382,Projects!$A$5:$A$104,0)),"?"))</f>
        <v/>
      </c>
      <c r="D382" s="73"/>
      <c r="E382" s="73"/>
      <c r="F382" s="73"/>
      <c r="G382" s="73"/>
      <c r="H382" s="75" t="str">
        <f t="shared" si="25"/>
        <v/>
      </c>
      <c r="I382" s="75" t="str">
        <f t="shared" si="26"/>
        <v/>
      </c>
      <c r="J382" s="77" t="str">
        <f t="shared" si="27"/>
        <v/>
      </c>
      <c r="K382" s="77" t="str">
        <f t="shared" si="28"/>
        <v/>
      </c>
      <c r="L382" s="78" t="str">
        <f t="shared" si="29"/>
        <v/>
      </c>
      <c r="M382" s="69"/>
    </row>
    <row r="383" spans="1:13" x14ac:dyDescent="0.3">
      <c r="A383" s="76"/>
      <c r="B383" s="69"/>
      <c r="C383" s="67" t="str">
        <f>IF(B383="","",IFERROR(INDEX(Projects!$B$5:$B$104,MATCH(B383,Projects!$A$5:$A$104,0)),"?"))</f>
        <v/>
      </c>
      <c r="D383" s="73"/>
      <c r="E383" s="73"/>
      <c r="F383" s="73"/>
      <c r="G383" s="73"/>
      <c r="H383" s="75" t="str">
        <f t="shared" si="25"/>
        <v/>
      </c>
      <c r="I383" s="75" t="str">
        <f t="shared" si="26"/>
        <v/>
      </c>
      <c r="J383" s="77" t="str">
        <f t="shared" si="27"/>
        <v/>
      </c>
      <c r="K383" s="77" t="str">
        <f t="shared" si="28"/>
        <v/>
      </c>
      <c r="L383" s="78" t="str">
        <f t="shared" si="29"/>
        <v/>
      </c>
      <c r="M383" s="69"/>
    </row>
    <row r="384" spans="1:13" x14ac:dyDescent="0.3">
      <c r="A384" s="76"/>
      <c r="B384" s="69"/>
      <c r="C384" s="67" t="str">
        <f>IF(B384="","",IFERROR(INDEX(Projects!$B$5:$B$104,MATCH(B384,Projects!$A$5:$A$104,0)),"?"))</f>
        <v/>
      </c>
      <c r="D384" s="73"/>
      <c r="E384" s="73"/>
      <c r="F384" s="73"/>
      <c r="G384" s="73"/>
      <c r="H384" s="75" t="str">
        <f t="shared" si="25"/>
        <v/>
      </c>
      <c r="I384" s="75" t="str">
        <f t="shared" si="26"/>
        <v/>
      </c>
      <c r="J384" s="77" t="str">
        <f t="shared" si="27"/>
        <v/>
      </c>
      <c r="K384" s="77" t="str">
        <f t="shared" si="28"/>
        <v/>
      </c>
      <c r="L384" s="78" t="str">
        <f t="shared" si="29"/>
        <v/>
      </c>
      <c r="M384" s="69"/>
    </row>
    <row r="385" spans="1:13" x14ac:dyDescent="0.3">
      <c r="A385" s="76"/>
      <c r="B385" s="69"/>
      <c r="C385" s="67" t="str">
        <f>IF(B385="","",IFERROR(INDEX(Projects!$B$5:$B$104,MATCH(B385,Projects!$A$5:$A$104,0)),"?"))</f>
        <v/>
      </c>
      <c r="D385" s="73"/>
      <c r="E385" s="73"/>
      <c r="F385" s="73"/>
      <c r="G385" s="73"/>
      <c r="H385" s="75" t="str">
        <f t="shared" si="25"/>
        <v/>
      </c>
      <c r="I385" s="75" t="str">
        <f t="shared" si="26"/>
        <v/>
      </c>
      <c r="J385" s="77" t="str">
        <f t="shared" si="27"/>
        <v/>
      </c>
      <c r="K385" s="77" t="str">
        <f t="shared" si="28"/>
        <v/>
      </c>
      <c r="L385" s="78" t="str">
        <f t="shared" si="29"/>
        <v/>
      </c>
      <c r="M385" s="69"/>
    </row>
    <row r="386" spans="1:13" x14ac:dyDescent="0.3">
      <c r="A386" s="76"/>
      <c r="B386" s="69"/>
      <c r="C386" s="67" t="str">
        <f>IF(B386="","",IFERROR(INDEX(Projects!$B$5:$B$104,MATCH(B386,Projects!$A$5:$A$104,0)),"?"))</f>
        <v/>
      </c>
      <c r="D386" s="73"/>
      <c r="E386" s="73"/>
      <c r="F386" s="73"/>
      <c r="G386" s="73"/>
      <c r="H386" s="75" t="str">
        <f t="shared" si="25"/>
        <v/>
      </c>
      <c r="I386" s="75" t="str">
        <f t="shared" si="26"/>
        <v/>
      </c>
      <c r="J386" s="77" t="str">
        <f t="shared" si="27"/>
        <v/>
      </c>
      <c r="K386" s="77" t="str">
        <f t="shared" si="28"/>
        <v/>
      </c>
      <c r="L386" s="78" t="str">
        <f t="shared" si="29"/>
        <v/>
      </c>
      <c r="M386" s="69"/>
    </row>
    <row r="387" spans="1:13" x14ac:dyDescent="0.3">
      <c r="A387" s="76"/>
      <c r="B387" s="69"/>
      <c r="C387" s="67" t="str">
        <f>IF(B387="","",IFERROR(INDEX(Projects!$B$5:$B$104,MATCH(B387,Projects!$A$5:$A$104,0)),"?"))</f>
        <v/>
      </c>
      <c r="D387" s="73"/>
      <c r="E387" s="73"/>
      <c r="F387" s="73"/>
      <c r="G387" s="73"/>
      <c r="H387" s="75" t="str">
        <f t="shared" si="25"/>
        <v/>
      </c>
      <c r="I387" s="75" t="str">
        <f t="shared" si="26"/>
        <v/>
      </c>
      <c r="J387" s="77" t="str">
        <f t="shared" si="27"/>
        <v/>
      </c>
      <c r="K387" s="77" t="str">
        <f t="shared" si="28"/>
        <v/>
      </c>
      <c r="L387" s="78" t="str">
        <f t="shared" si="29"/>
        <v/>
      </c>
      <c r="M387" s="69"/>
    </row>
    <row r="388" spans="1:13" x14ac:dyDescent="0.3">
      <c r="A388" s="76"/>
      <c r="B388" s="69"/>
      <c r="C388" s="67" t="str">
        <f>IF(B388="","",IFERROR(INDEX(Projects!$B$5:$B$104,MATCH(B388,Projects!$A$5:$A$104,0)),"?"))</f>
        <v/>
      </c>
      <c r="D388" s="73"/>
      <c r="E388" s="73"/>
      <c r="F388" s="73"/>
      <c r="G388" s="73"/>
      <c r="H388" s="75" t="str">
        <f t="shared" si="25"/>
        <v/>
      </c>
      <c r="I388" s="75" t="str">
        <f t="shared" si="26"/>
        <v/>
      </c>
      <c r="J388" s="77" t="str">
        <f t="shared" si="27"/>
        <v/>
      </c>
      <c r="K388" s="77" t="str">
        <f t="shared" si="28"/>
        <v/>
      </c>
      <c r="L388" s="78" t="str">
        <f t="shared" si="29"/>
        <v/>
      </c>
      <c r="M388" s="69"/>
    </row>
    <row r="389" spans="1:13" x14ac:dyDescent="0.3">
      <c r="A389" s="76"/>
      <c r="B389" s="69"/>
      <c r="C389" s="67" t="str">
        <f>IF(B389="","",IFERROR(INDEX(Projects!$B$5:$B$104,MATCH(B389,Projects!$A$5:$A$104,0)),"?"))</f>
        <v/>
      </c>
      <c r="D389" s="73"/>
      <c r="E389" s="73"/>
      <c r="F389" s="73"/>
      <c r="G389" s="73"/>
      <c r="H389" s="75" t="str">
        <f t="shared" ref="H389:H452" si="30">IF(OR(E389="",F389=""),"",F389-E389)</f>
        <v/>
      </c>
      <c r="I389" s="75" t="str">
        <f t="shared" ref="I389:I452" si="31">IF(OR(F389="",G389=""),"",F389-G389)</f>
        <v/>
      </c>
      <c r="J389" s="77" t="str">
        <f t="shared" ref="J389:J452" si="32">IF(OR(E389="",E389=0,F389=""),"",F389/E389)</f>
        <v/>
      </c>
      <c r="K389" s="77" t="str">
        <f t="shared" ref="K389:K452" si="33">IF(OR(G389="",G389=0,F389=""),"",F389/G389)</f>
        <v/>
      </c>
      <c r="L389" s="78" t="str">
        <f t="shared" ref="L389:L452" si="34">IF(OR(D389="",D389=0,G389=""),"",G389/D389)</f>
        <v/>
      </c>
      <c r="M389" s="69"/>
    </row>
    <row r="390" spans="1:13" x14ac:dyDescent="0.3">
      <c r="A390" s="76"/>
      <c r="B390" s="69"/>
      <c r="C390" s="67" t="str">
        <f>IF(B390="","",IFERROR(INDEX(Projects!$B$5:$B$104,MATCH(B390,Projects!$A$5:$A$104,0)),"?"))</f>
        <v/>
      </c>
      <c r="D390" s="73"/>
      <c r="E390" s="73"/>
      <c r="F390" s="73"/>
      <c r="G390" s="73"/>
      <c r="H390" s="75" t="str">
        <f t="shared" si="30"/>
        <v/>
      </c>
      <c r="I390" s="75" t="str">
        <f t="shared" si="31"/>
        <v/>
      </c>
      <c r="J390" s="77" t="str">
        <f t="shared" si="32"/>
        <v/>
      </c>
      <c r="K390" s="77" t="str">
        <f t="shared" si="33"/>
        <v/>
      </c>
      <c r="L390" s="78" t="str">
        <f t="shared" si="34"/>
        <v/>
      </c>
      <c r="M390" s="69"/>
    </row>
    <row r="391" spans="1:13" x14ac:dyDescent="0.3">
      <c r="A391" s="76"/>
      <c r="B391" s="69"/>
      <c r="C391" s="67" t="str">
        <f>IF(B391="","",IFERROR(INDEX(Projects!$B$5:$B$104,MATCH(B391,Projects!$A$5:$A$104,0)),"?"))</f>
        <v/>
      </c>
      <c r="D391" s="73"/>
      <c r="E391" s="73"/>
      <c r="F391" s="73"/>
      <c r="G391" s="73"/>
      <c r="H391" s="75" t="str">
        <f t="shared" si="30"/>
        <v/>
      </c>
      <c r="I391" s="75" t="str">
        <f t="shared" si="31"/>
        <v/>
      </c>
      <c r="J391" s="77" t="str">
        <f t="shared" si="32"/>
        <v/>
      </c>
      <c r="K391" s="77" t="str">
        <f t="shared" si="33"/>
        <v/>
      </c>
      <c r="L391" s="78" t="str">
        <f t="shared" si="34"/>
        <v/>
      </c>
      <c r="M391" s="69"/>
    </row>
    <row r="392" spans="1:13" x14ac:dyDescent="0.3">
      <c r="A392" s="76"/>
      <c r="B392" s="69"/>
      <c r="C392" s="67" t="str">
        <f>IF(B392="","",IFERROR(INDEX(Projects!$B$5:$B$104,MATCH(B392,Projects!$A$5:$A$104,0)),"?"))</f>
        <v/>
      </c>
      <c r="D392" s="73"/>
      <c r="E392" s="73"/>
      <c r="F392" s="73"/>
      <c r="G392" s="73"/>
      <c r="H392" s="75" t="str">
        <f t="shared" si="30"/>
        <v/>
      </c>
      <c r="I392" s="75" t="str">
        <f t="shared" si="31"/>
        <v/>
      </c>
      <c r="J392" s="77" t="str">
        <f t="shared" si="32"/>
        <v/>
      </c>
      <c r="K392" s="77" t="str">
        <f t="shared" si="33"/>
        <v/>
      </c>
      <c r="L392" s="78" t="str">
        <f t="shared" si="34"/>
        <v/>
      </c>
      <c r="M392" s="69"/>
    </row>
    <row r="393" spans="1:13" x14ac:dyDescent="0.3">
      <c r="A393" s="76"/>
      <c r="B393" s="69"/>
      <c r="C393" s="67" t="str">
        <f>IF(B393="","",IFERROR(INDEX(Projects!$B$5:$B$104,MATCH(B393,Projects!$A$5:$A$104,0)),"?"))</f>
        <v/>
      </c>
      <c r="D393" s="73"/>
      <c r="E393" s="73"/>
      <c r="F393" s="73"/>
      <c r="G393" s="73"/>
      <c r="H393" s="75" t="str">
        <f t="shared" si="30"/>
        <v/>
      </c>
      <c r="I393" s="75" t="str">
        <f t="shared" si="31"/>
        <v/>
      </c>
      <c r="J393" s="77" t="str">
        <f t="shared" si="32"/>
        <v/>
      </c>
      <c r="K393" s="77" t="str">
        <f t="shared" si="33"/>
        <v/>
      </c>
      <c r="L393" s="78" t="str">
        <f t="shared" si="34"/>
        <v/>
      </c>
      <c r="M393" s="69"/>
    </row>
    <row r="394" spans="1:13" x14ac:dyDescent="0.3">
      <c r="A394" s="76"/>
      <c r="B394" s="69"/>
      <c r="C394" s="67" t="str">
        <f>IF(B394="","",IFERROR(INDEX(Projects!$B$5:$B$104,MATCH(B394,Projects!$A$5:$A$104,0)),"?"))</f>
        <v/>
      </c>
      <c r="D394" s="73"/>
      <c r="E394" s="73"/>
      <c r="F394" s="73"/>
      <c r="G394" s="73"/>
      <c r="H394" s="75" t="str">
        <f t="shared" si="30"/>
        <v/>
      </c>
      <c r="I394" s="75" t="str">
        <f t="shared" si="31"/>
        <v/>
      </c>
      <c r="J394" s="77" t="str">
        <f t="shared" si="32"/>
        <v/>
      </c>
      <c r="K394" s="77" t="str">
        <f t="shared" si="33"/>
        <v/>
      </c>
      <c r="L394" s="78" t="str">
        <f t="shared" si="34"/>
        <v/>
      </c>
      <c r="M394" s="69"/>
    </row>
    <row r="395" spans="1:13" x14ac:dyDescent="0.3">
      <c r="A395" s="76"/>
      <c r="B395" s="69"/>
      <c r="C395" s="67" t="str">
        <f>IF(B395="","",IFERROR(INDEX(Projects!$B$5:$B$104,MATCH(B395,Projects!$A$5:$A$104,0)),"?"))</f>
        <v/>
      </c>
      <c r="D395" s="73"/>
      <c r="E395" s="73"/>
      <c r="F395" s="73"/>
      <c r="G395" s="73"/>
      <c r="H395" s="75" t="str">
        <f t="shared" si="30"/>
        <v/>
      </c>
      <c r="I395" s="75" t="str">
        <f t="shared" si="31"/>
        <v/>
      </c>
      <c r="J395" s="77" t="str">
        <f t="shared" si="32"/>
        <v/>
      </c>
      <c r="K395" s="77" t="str">
        <f t="shared" si="33"/>
        <v/>
      </c>
      <c r="L395" s="78" t="str">
        <f t="shared" si="34"/>
        <v/>
      </c>
      <c r="M395" s="69"/>
    </row>
    <row r="396" spans="1:13" x14ac:dyDescent="0.3">
      <c r="A396" s="76"/>
      <c r="B396" s="69"/>
      <c r="C396" s="67" t="str">
        <f>IF(B396="","",IFERROR(INDEX(Projects!$B$5:$B$104,MATCH(B396,Projects!$A$5:$A$104,0)),"?"))</f>
        <v/>
      </c>
      <c r="D396" s="73"/>
      <c r="E396" s="73"/>
      <c r="F396" s="73"/>
      <c r="G396" s="73"/>
      <c r="H396" s="75" t="str">
        <f t="shared" si="30"/>
        <v/>
      </c>
      <c r="I396" s="75" t="str">
        <f t="shared" si="31"/>
        <v/>
      </c>
      <c r="J396" s="77" t="str">
        <f t="shared" si="32"/>
        <v/>
      </c>
      <c r="K396" s="77" t="str">
        <f t="shared" si="33"/>
        <v/>
      </c>
      <c r="L396" s="78" t="str">
        <f t="shared" si="34"/>
        <v/>
      </c>
      <c r="M396" s="69"/>
    </row>
    <row r="397" spans="1:13" x14ac:dyDescent="0.3">
      <c r="A397" s="76"/>
      <c r="B397" s="69"/>
      <c r="C397" s="67" t="str">
        <f>IF(B397="","",IFERROR(INDEX(Projects!$B$5:$B$104,MATCH(B397,Projects!$A$5:$A$104,0)),"?"))</f>
        <v/>
      </c>
      <c r="D397" s="73"/>
      <c r="E397" s="73"/>
      <c r="F397" s="73"/>
      <c r="G397" s="73"/>
      <c r="H397" s="75" t="str">
        <f t="shared" si="30"/>
        <v/>
      </c>
      <c r="I397" s="75" t="str">
        <f t="shared" si="31"/>
        <v/>
      </c>
      <c r="J397" s="77" t="str">
        <f t="shared" si="32"/>
        <v/>
      </c>
      <c r="K397" s="77" t="str">
        <f t="shared" si="33"/>
        <v/>
      </c>
      <c r="L397" s="78" t="str">
        <f t="shared" si="34"/>
        <v/>
      </c>
      <c r="M397" s="69"/>
    </row>
    <row r="398" spans="1:13" x14ac:dyDescent="0.3">
      <c r="A398" s="76"/>
      <c r="B398" s="69"/>
      <c r="C398" s="67" t="str">
        <f>IF(B398="","",IFERROR(INDEX(Projects!$B$5:$B$104,MATCH(B398,Projects!$A$5:$A$104,0)),"?"))</f>
        <v/>
      </c>
      <c r="D398" s="73"/>
      <c r="E398" s="73"/>
      <c r="F398" s="73"/>
      <c r="G398" s="73"/>
      <c r="H398" s="75" t="str">
        <f t="shared" si="30"/>
        <v/>
      </c>
      <c r="I398" s="75" t="str">
        <f t="shared" si="31"/>
        <v/>
      </c>
      <c r="J398" s="77" t="str">
        <f t="shared" si="32"/>
        <v/>
      </c>
      <c r="K398" s="77" t="str">
        <f t="shared" si="33"/>
        <v/>
      </c>
      <c r="L398" s="78" t="str">
        <f t="shared" si="34"/>
        <v/>
      </c>
      <c r="M398" s="69"/>
    </row>
    <row r="399" spans="1:13" x14ac:dyDescent="0.3">
      <c r="A399" s="76"/>
      <c r="B399" s="69"/>
      <c r="C399" s="67" t="str">
        <f>IF(B399="","",IFERROR(INDEX(Projects!$B$5:$B$104,MATCH(B399,Projects!$A$5:$A$104,0)),"?"))</f>
        <v/>
      </c>
      <c r="D399" s="73"/>
      <c r="E399" s="73"/>
      <c r="F399" s="73"/>
      <c r="G399" s="73"/>
      <c r="H399" s="75" t="str">
        <f t="shared" si="30"/>
        <v/>
      </c>
      <c r="I399" s="75" t="str">
        <f t="shared" si="31"/>
        <v/>
      </c>
      <c r="J399" s="77" t="str">
        <f t="shared" si="32"/>
        <v/>
      </c>
      <c r="K399" s="77" t="str">
        <f t="shared" si="33"/>
        <v/>
      </c>
      <c r="L399" s="78" t="str">
        <f t="shared" si="34"/>
        <v/>
      </c>
      <c r="M399" s="69"/>
    </row>
    <row r="400" spans="1:13" x14ac:dyDescent="0.3">
      <c r="A400" s="76"/>
      <c r="B400" s="69"/>
      <c r="C400" s="67" t="str">
        <f>IF(B400="","",IFERROR(INDEX(Projects!$B$5:$B$104,MATCH(B400,Projects!$A$5:$A$104,0)),"?"))</f>
        <v/>
      </c>
      <c r="D400" s="73"/>
      <c r="E400" s="73"/>
      <c r="F400" s="73"/>
      <c r="G400" s="73"/>
      <c r="H400" s="75" t="str">
        <f t="shared" si="30"/>
        <v/>
      </c>
      <c r="I400" s="75" t="str">
        <f t="shared" si="31"/>
        <v/>
      </c>
      <c r="J400" s="77" t="str">
        <f t="shared" si="32"/>
        <v/>
      </c>
      <c r="K400" s="77" t="str">
        <f t="shared" si="33"/>
        <v/>
      </c>
      <c r="L400" s="78" t="str">
        <f t="shared" si="34"/>
        <v/>
      </c>
      <c r="M400" s="69"/>
    </row>
    <row r="401" spans="1:13" x14ac:dyDescent="0.3">
      <c r="A401" s="76"/>
      <c r="B401" s="69"/>
      <c r="C401" s="67" t="str">
        <f>IF(B401="","",IFERROR(INDEX(Projects!$B$5:$B$104,MATCH(B401,Projects!$A$5:$A$104,0)),"?"))</f>
        <v/>
      </c>
      <c r="D401" s="73"/>
      <c r="E401" s="73"/>
      <c r="F401" s="73"/>
      <c r="G401" s="73"/>
      <c r="H401" s="75" t="str">
        <f t="shared" si="30"/>
        <v/>
      </c>
      <c r="I401" s="75" t="str">
        <f t="shared" si="31"/>
        <v/>
      </c>
      <c r="J401" s="77" t="str">
        <f t="shared" si="32"/>
        <v/>
      </c>
      <c r="K401" s="77" t="str">
        <f t="shared" si="33"/>
        <v/>
      </c>
      <c r="L401" s="78" t="str">
        <f t="shared" si="34"/>
        <v/>
      </c>
      <c r="M401" s="69"/>
    </row>
    <row r="402" spans="1:13" x14ac:dyDescent="0.3">
      <c r="A402" s="76"/>
      <c r="B402" s="69"/>
      <c r="C402" s="67" t="str">
        <f>IF(B402="","",IFERROR(INDEX(Projects!$B$5:$B$104,MATCH(B402,Projects!$A$5:$A$104,0)),"?"))</f>
        <v/>
      </c>
      <c r="D402" s="73"/>
      <c r="E402" s="73"/>
      <c r="F402" s="73"/>
      <c r="G402" s="73"/>
      <c r="H402" s="75" t="str">
        <f t="shared" si="30"/>
        <v/>
      </c>
      <c r="I402" s="75" t="str">
        <f t="shared" si="31"/>
        <v/>
      </c>
      <c r="J402" s="77" t="str">
        <f t="shared" si="32"/>
        <v/>
      </c>
      <c r="K402" s="77" t="str">
        <f t="shared" si="33"/>
        <v/>
      </c>
      <c r="L402" s="78" t="str">
        <f t="shared" si="34"/>
        <v/>
      </c>
      <c r="M402" s="69"/>
    </row>
    <row r="403" spans="1:13" x14ac:dyDescent="0.3">
      <c r="A403" s="76"/>
      <c r="B403" s="69"/>
      <c r="C403" s="67" t="str">
        <f>IF(B403="","",IFERROR(INDEX(Projects!$B$5:$B$104,MATCH(B403,Projects!$A$5:$A$104,0)),"?"))</f>
        <v/>
      </c>
      <c r="D403" s="73"/>
      <c r="E403" s="73"/>
      <c r="F403" s="73"/>
      <c r="G403" s="73"/>
      <c r="H403" s="75" t="str">
        <f t="shared" si="30"/>
        <v/>
      </c>
      <c r="I403" s="75" t="str">
        <f t="shared" si="31"/>
        <v/>
      </c>
      <c r="J403" s="77" t="str">
        <f t="shared" si="32"/>
        <v/>
      </c>
      <c r="K403" s="77" t="str">
        <f t="shared" si="33"/>
        <v/>
      </c>
      <c r="L403" s="78" t="str">
        <f t="shared" si="34"/>
        <v/>
      </c>
      <c r="M403" s="69"/>
    </row>
    <row r="404" spans="1:13" x14ac:dyDescent="0.3">
      <c r="A404" s="76"/>
      <c r="B404" s="69"/>
      <c r="C404" s="67" t="str">
        <f>IF(B404="","",IFERROR(INDEX(Projects!$B$5:$B$104,MATCH(B404,Projects!$A$5:$A$104,0)),"?"))</f>
        <v/>
      </c>
      <c r="D404" s="73"/>
      <c r="E404" s="73"/>
      <c r="F404" s="73"/>
      <c r="G404" s="73"/>
      <c r="H404" s="75" t="str">
        <f t="shared" si="30"/>
        <v/>
      </c>
      <c r="I404" s="75" t="str">
        <f t="shared" si="31"/>
        <v/>
      </c>
      <c r="J404" s="77" t="str">
        <f t="shared" si="32"/>
        <v/>
      </c>
      <c r="K404" s="77" t="str">
        <f t="shared" si="33"/>
        <v/>
      </c>
      <c r="L404" s="78" t="str">
        <f t="shared" si="34"/>
        <v/>
      </c>
      <c r="M404" s="69"/>
    </row>
    <row r="405" spans="1:13" x14ac:dyDescent="0.3">
      <c r="A405" s="76"/>
      <c r="B405" s="69"/>
      <c r="C405" s="67" t="str">
        <f>IF(B405="","",IFERROR(INDEX(Projects!$B$5:$B$104,MATCH(B405,Projects!$A$5:$A$104,0)),"?"))</f>
        <v/>
      </c>
      <c r="D405" s="73"/>
      <c r="E405" s="73"/>
      <c r="F405" s="73"/>
      <c r="G405" s="73"/>
      <c r="H405" s="75" t="str">
        <f t="shared" si="30"/>
        <v/>
      </c>
      <c r="I405" s="75" t="str">
        <f t="shared" si="31"/>
        <v/>
      </c>
      <c r="J405" s="77" t="str">
        <f t="shared" si="32"/>
        <v/>
      </c>
      <c r="K405" s="77" t="str">
        <f t="shared" si="33"/>
        <v/>
      </c>
      <c r="L405" s="78" t="str">
        <f t="shared" si="34"/>
        <v/>
      </c>
      <c r="M405" s="69"/>
    </row>
    <row r="406" spans="1:13" x14ac:dyDescent="0.3">
      <c r="A406" s="76"/>
      <c r="B406" s="69"/>
      <c r="C406" s="67" t="str">
        <f>IF(B406="","",IFERROR(INDEX(Projects!$B$5:$B$104,MATCH(B406,Projects!$A$5:$A$104,0)),"?"))</f>
        <v/>
      </c>
      <c r="D406" s="73"/>
      <c r="E406" s="73"/>
      <c r="F406" s="73"/>
      <c r="G406" s="73"/>
      <c r="H406" s="75" t="str">
        <f t="shared" si="30"/>
        <v/>
      </c>
      <c r="I406" s="75" t="str">
        <f t="shared" si="31"/>
        <v/>
      </c>
      <c r="J406" s="77" t="str">
        <f t="shared" si="32"/>
        <v/>
      </c>
      <c r="K406" s="77" t="str">
        <f t="shared" si="33"/>
        <v/>
      </c>
      <c r="L406" s="78" t="str">
        <f t="shared" si="34"/>
        <v/>
      </c>
      <c r="M406" s="69"/>
    </row>
    <row r="407" spans="1:13" x14ac:dyDescent="0.3">
      <c r="A407" s="76"/>
      <c r="B407" s="69"/>
      <c r="C407" s="67" t="str">
        <f>IF(B407="","",IFERROR(INDEX(Projects!$B$5:$B$104,MATCH(B407,Projects!$A$5:$A$104,0)),"?"))</f>
        <v/>
      </c>
      <c r="D407" s="73"/>
      <c r="E407" s="73"/>
      <c r="F407" s="73"/>
      <c r="G407" s="73"/>
      <c r="H407" s="75" t="str">
        <f t="shared" si="30"/>
        <v/>
      </c>
      <c r="I407" s="75" t="str">
        <f t="shared" si="31"/>
        <v/>
      </c>
      <c r="J407" s="77" t="str">
        <f t="shared" si="32"/>
        <v/>
      </c>
      <c r="K407" s="77" t="str">
        <f t="shared" si="33"/>
        <v/>
      </c>
      <c r="L407" s="78" t="str">
        <f t="shared" si="34"/>
        <v/>
      </c>
      <c r="M407" s="69"/>
    </row>
    <row r="408" spans="1:13" x14ac:dyDescent="0.3">
      <c r="A408" s="76"/>
      <c r="B408" s="69"/>
      <c r="C408" s="67" t="str">
        <f>IF(B408="","",IFERROR(INDEX(Projects!$B$5:$B$104,MATCH(B408,Projects!$A$5:$A$104,0)),"?"))</f>
        <v/>
      </c>
      <c r="D408" s="73"/>
      <c r="E408" s="73"/>
      <c r="F408" s="73"/>
      <c r="G408" s="73"/>
      <c r="H408" s="75" t="str">
        <f t="shared" si="30"/>
        <v/>
      </c>
      <c r="I408" s="75" t="str">
        <f t="shared" si="31"/>
        <v/>
      </c>
      <c r="J408" s="77" t="str">
        <f t="shared" si="32"/>
        <v/>
      </c>
      <c r="K408" s="77" t="str">
        <f t="shared" si="33"/>
        <v/>
      </c>
      <c r="L408" s="78" t="str">
        <f t="shared" si="34"/>
        <v/>
      </c>
      <c r="M408" s="69"/>
    </row>
    <row r="409" spans="1:13" x14ac:dyDescent="0.3">
      <c r="A409" s="76"/>
      <c r="B409" s="69"/>
      <c r="C409" s="67" t="str">
        <f>IF(B409="","",IFERROR(INDEX(Projects!$B$5:$B$104,MATCH(B409,Projects!$A$5:$A$104,0)),"?"))</f>
        <v/>
      </c>
      <c r="D409" s="73"/>
      <c r="E409" s="73"/>
      <c r="F409" s="73"/>
      <c r="G409" s="73"/>
      <c r="H409" s="75" t="str">
        <f t="shared" si="30"/>
        <v/>
      </c>
      <c r="I409" s="75" t="str">
        <f t="shared" si="31"/>
        <v/>
      </c>
      <c r="J409" s="77" t="str">
        <f t="shared" si="32"/>
        <v/>
      </c>
      <c r="K409" s="77" t="str">
        <f t="shared" si="33"/>
        <v/>
      </c>
      <c r="L409" s="78" t="str">
        <f t="shared" si="34"/>
        <v/>
      </c>
      <c r="M409" s="69"/>
    </row>
    <row r="410" spans="1:13" x14ac:dyDescent="0.3">
      <c r="A410" s="76"/>
      <c r="B410" s="69"/>
      <c r="C410" s="67" t="str">
        <f>IF(B410="","",IFERROR(INDEX(Projects!$B$5:$B$104,MATCH(B410,Projects!$A$5:$A$104,0)),"?"))</f>
        <v/>
      </c>
      <c r="D410" s="73"/>
      <c r="E410" s="73"/>
      <c r="F410" s="73"/>
      <c r="G410" s="73"/>
      <c r="H410" s="75" t="str">
        <f t="shared" si="30"/>
        <v/>
      </c>
      <c r="I410" s="75" t="str">
        <f t="shared" si="31"/>
        <v/>
      </c>
      <c r="J410" s="77" t="str">
        <f t="shared" si="32"/>
        <v/>
      </c>
      <c r="K410" s="77" t="str">
        <f t="shared" si="33"/>
        <v/>
      </c>
      <c r="L410" s="78" t="str">
        <f t="shared" si="34"/>
        <v/>
      </c>
      <c r="M410" s="69"/>
    </row>
    <row r="411" spans="1:13" x14ac:dyDescent="0.3">
      <c r="A411" s="76"/>
      <c r="B411" s="69"/>
      <c r="C411" s="67" t="str">
        <f>IF(B411="","",IFERROR(INDEX(Projects!$B$5:$B$104,MATCH(B411,Projects!$A$5:$A$104,0)),"?"))</f>
        <v/>
      </c>
      <c r="D411" s="73"/>
      <c r="E411" s="73"/>
      <c r="F411" s="73"/>
      <c r="G411" s="73"/>
      <c r="H411" s="75" t="str">
        <f t="shared" si="30"/>
        <v/>
      </c>
      <c r="I411" s="75" t="str">
        <f t="shared" si="31"/>
        <v/>
      </c>
      <c r="J411" s="77" t="str">
        <f t="shared" si="32"/>
        <v/>
      </c>
      <c r="K411" s="77" t="str">
        <f t="shared" si="33"/>
        <v/>
      </c>
      <c r="L411" s="78" t="str">
        <f t="shared" si="34"/>
        <v/>
      </c>
      <c r="M411" s="69"/>
    </row>
    <row r="412" spans="1:13" x14ac:dyDescent="0.3">
      <c r="A412" s="76"/>
      <c r="B412" s="69"/>
      <c r="C412" s="67" t="str">
        <f>IF(B412="","",IFERROR(INDEX(Projects!$B$5:$B$104,MATCH(B412,Projects!$A$5:$A$104,0)),"?"))</f>
        <v/>
      </c>
      <c r="D412" s="73"/>
      <c r="E412" s="73"/>
      <c r="F412" s="73"/>
      <c r="G412" s="73"/>
      <c r="H412" s="75" t="str">
        <f t="shared" si="30"/>
        <v/>
      </c>
      <c r="I412" s="75" t="str">
        <f t="shared" si="31"/>
        <v/>
      </c>
      <c r="J412" s="77" t="str">
        <f t="shared" si="32"/>
        <v/>
      </c>
      <c r="K412" s="77" t="str">
        <f t="shared" si="33"/>
        <v/>
      </c>
      <c r="L412" s="78" t="str">
        <f t="shared" si="34"/>
        <v/>
      </c>
      <c r="M412" s="69"/>
    </row>
    <row r="413" spans="1:13" x14ac:dyDescent="0.3">
      <c r="A413" s="76"/>
      <c r="B413" s="69"/>
      <c r="C413" s="67" t="str">
        <f>IF(B413="","",IFERROR(INDEX(Projects!$B$5:$B$104,MATCH(B413,Projects!$A$5:$A$104,0)),"?"))</f>
        <v/>
      </c>
      <c r="D413" s="73"/>
      <c r="E413" s="73"/>
      <c r="F413" s="73"/>
      <c r="G413" s="73"/>
      <c r="H413" s="75" t="str">
        <f t="shared" si="30"/>
        <v/>
      </c>
      <c r="I413" s="75" t="str">
        <f t="shared" si="31"/>
        <v/>
      </c>
      <c r="J413" s="77" t="str">
        <f t="shared" si="32"/>
        <v/>
      </c>
      <c r="K413" s="77" t="str">
        <f t="shared" si="33"/>
        <v/>
      </c>
      <c r="L413" s="78" t="str">
        <f t="shared" si="34"/>
        <v/>
      </c>
      <c r="M413" s="69"/>
    </row>
    <row r="414" spans="1:13" x14ac:dyDescent="0.3">
      <c r="A414" s="76"/>
      <c r="B414" s="69"/>
      <c r="C414" s="67" t="str">
        <f>IF(B414="","",IFERROR(INDEX(Projects!$B$5:$B$104,MATCH(B414,Projects!$A$5:$A$104,0)),"?"))</f>
        <v/>
      </c>
      <c r="D414" s="73"/>
      <c r="E414" s="73"/>
      <c r="F414" s="73"/>
      <c r="G414" s="73"/>
      <c r="H414" s="75" t="str">
        <f t="shared" si="30"/>
        <v/>
      </c>
      <c r="I414" s="75" t="str">
        <f t="shared" si="31"/>
        <v/>
      </c>
      <c r="J414" s="77" t="str">
        <f t="shared" si="32"/>
        <v/>
      </c>
      <c r="K414" s="77" t="str">
        <f t="shared" si="33"/>
        <v/>
      </c>
      <c r="L414" s="78" t="str">
        <f t="shared" si="34"/>
        <v/>
      </c>
      <c r="M414" s="69"/>
    </row>
    <row r="415" spans="1:13" x14ac:dyDescent="0.3">
      <c r="A415" s="76"/>
      <c r="B415" s="69"/>
      <c r="C415" s="67" t="str">
        <f>IF(B415="","",IFERROR(INDEX(Projects!$B$5:$B$104,MATCH(B415,Projects!$A$5:$A$104,0)),"?"))</f>
        <v/>
      </c>
      <c r="D415" s="73"/>
      <c r="E415" s="73"/>
      <c r="F415" s="73"/>
      <c r="G415" s="73"/>
      <c r="H415" s="75" t="str">
        <f t="shared" si="30"/>
        <v/>
      </c>
      <c r="I415" s="75" t="str">
        <f t="shared" si="31"/>
        <v/>
      </c>
      <c r="J415" s="77" t="str">
        <f t="shared" si="32"/>
        <v/>
      </c>
      <c r="K415" s="77" t="str">
        <f t="shared" si="33"/>
        <v/>
      </c>
      <c r="L415" s="78" t="str">
        <f t="shared" si="34"/>
        <v/>
      </c>
      <c r="M415" s="69"/>
    </row>
    <row r="416" spans="1:13" x14ac:dyDescent="0.3">
      <c r="A416" s="76"/>
      <c r="B416" s="69"/>
      <c r="C416" s="67" t="str">
        <f>IF(B416="","",IFERROR(INDEX(Projects!$B$5:$B$104,MATCH(B416,Projects!$A$5:$A$104,0)),"?"))</f>
        <v/>
      </c>
      <c r="D416" s="73"/>
      <c r="E416" s="73"/>
      <c r="F416" s="73"/>
      <c r="G416" s="73"/>
      <c r="H416" s="75" t="str">
        <f t="shared" si="30"/>
        <v/>
      </c>
      <c r="I416" s="75" t="str">
        <f t="shared" si="31"/>
        <v/>
      </c>
      <c r="J416" s="77" t="str">
        <f t="shared" si="32"/>
        <v/>
      </c>
      <c r="K416" s="77" t="str">
        <f t="shared" si="33"/>
        <v/>
      </c>
      <c r="L416" s="78" t="str">
        <f t="shared" si="34"/>
        <v/>
      </c>
      <c r="M416" s="69"/>
    </row>
    <row r="417" spans="1:13" x14ac:dyDescent="0.3">
      <c r="A417" s="76"/>
      <c r="B417" s="69"/>
      <c r="C417" s="67" t="str">
        <f>IF(B417="","",IFERROR(INDEX(Projects!$B$5:$B$104,MATCH(B417,Projects!$A$5:$A$104,0)),"?"))</f>
        <v/>
      </c>
      <c r="D417" s="73"/>
      <c r="E417" s="73"/>
      <c r="F417" s="73"/>
      <c r="G417" s="73"/>
      <c r="H417" s="75" t="str">
        <f t="shared" si="30"/>
        <v/>
      </c>
      <c r="I417" s="75" t="str">
        <f t="shared" si="31"/>
        <v/>
      </c>
      <c r="J417" s="77" t="str">
        <f t="shared" si="32"/>
        <v/>
      </c>
      <c r="K417" s="77" t="str">
        <f t="shared" si="33"/>
        <v/>
      </c>
      <c r="L417" s="78" t="str">
        <f t="shared" si="34"/>
        <v/>
      </c>
      <c r="M417" s="69"/>
    </row>
    <row r="418" spans="1:13" x14ac:dyDescent="0.3">
      <c r="A418" s="76"/>
      <c r="B418" s="69"/>
      <c r="C418" s="67" t="str">
        <f>IF(B418="","",IFERROR(INDEX(Projects!$B$5:$B$104,MATCH(B418,Projects!$A$5:$A$104,0)),"?"))</f>
        <v/>
      </c>
      <c r="D418" s="73"/>
      <c r="E418" s="73"/>
      <c r="F418" s="73"/>
      <c r="G418" s="73"/>
      <c r="H418" s="75" t="str">
        <f t="shared" si="30"/>
        <v/>
      </c>
      <c r="I418" s="75" t="str">
        <f t="shared" si="31"/>
        <v/>
      </c>
      <c r="J418" s="77" t="str">
        <f t="shared" si="32"/>
        <v/>
      </c>
      <c r="K418" s="77" t="str">
        <f t="shared" si="33"/>
        <v/>
      </c>
      <c r="L418" s="78" t="str">
        <f t="shared" si="34"/>
        <v/>
      </c>
      <c r="M418" s="69"/>
    </row>
    <row r="419" spans="1:13" x14ac:dyDescent="0.3">
      <c r="A419" s="76"/>
      <c r="B419" s="69"/>
      <c r="C419" s="67" t="str">
        <f>IF(B419="","",IFERROR(INDEX(Projects!$B$5:$B$104,MATCH(B419,Projects!$A$5:$A$104,0)),"?"))</f>
        <v/>
      </c>
      <c r="D419" s="73"/>
      <c r="E419" s="73"/>
      <c r="F419" s="73"/>
      <c r="G419" s="73"/>
      <c r="H419" s="75" t="str">
        <f t="shared" si="30"/>
        <v/>
      </c>
      <c r="I419" s="75" t="str">
        <f t="shared" si="31"/>
        <v/>
      </c>
      <c r="J419" s="77" t="str">
        <f t="shared" si="32"/>
        <v/>
      </c>
      <c r="K419" s="77" t="str">
        <f t="shared" si="33"/>
        <v/>
      </c>
      <c r="L419" s="78" t="str">
        <f t="shared" si="34"/>
        <v/>
      </c>
      <c r="M419" s="69"/>
    </row>
    <row r="420" spans="1:13" x14ac:dyDescent="0.3">
      <c r="A420" s="76"/>
      <c r="B420" s="69"/>
      <c r="C420" s="67" t="str">
        <f>IF(B420="","",IFERROR(INDEX(Projects!$B$5:$B$104,MATCH(B420,Projects!$A$5:$A$104,0)),"?"))</f>
        <v/>
      </c>
      <c r="D420" s="73"/>
      <c r="E420" s="73"/>
      <c r="F420" s="73"/>
      <c r="G420" s="73"/>
      <c r="H420" s="75" t="str">
        <f t="shared" si="30"/>
        <v/>
      </c>
      <c r="I420" s="75" t="str">
        <f t="shared" si="31"/>
        <v/>
      </c>
      <c r="J420" s="77" t="str">
        <f t="shared" si="32"/>
        <v/>
      </c>
      <c r="K420" s="77" t="str">
        <f t="shared" si="33"/>
        <v/>
      </c>
      <c r="L420" s="78" t="str">
        <f t="shared" si="34"/>
        <v/>
      </c>
      <c r="M420" s="69"/>
    </row>
    <row r="421" spans="1:13" x14ac:dyDescent="0.3">
      <c r="A421" s="76"/>
      <c r="B421" s="69"/>
      <c r="C421" s="67" t="str">
        <f>IF(B421="","",IFERROR(INDEX(Projects!$B$5:$B$104,MATCH(B421,Projects!$A$5:$A$104,0)),"?"))</f>
        <v/>
      </c>
      <c r="D421" s="73"/>
      <c r="E421" s="73"/>
      <c r="F421" s="73"/>
      <c r="G421" s="73"/>
      <c r="H421" s="75" t="str">
        <f t="shared" si="30"/>
        <v/>
      </c>
      <c r="I421" s="75" t="str">
        <f t="shared" si="31"/>
        <v/>
      </c>
      <c r="J421" s="77" t="str">
        <f t="shared" si="32"/>
        <v/>
      </c>
      <c r="K421" s="77" t="str">
        <f t="shared" si="33"/>
        <v/>
      </c>
      <c r="L421" s="78" t="str">
        <f t="shared" si="34"/>
        <v/>
      </c>
      <c r="M421" s="69"/>
    </row>
    <row r="422" spans="1:13" x14ac:dyDescent="0.3">
      <c r="A422" s="76"/>
      <c r="B422" s="69"/>
      <c r="C422" s="67" t="str">
        <f>IF(B422="","",IFERROR(INDEX(Projects!$B$5:$B$104,MATCH(B422,Projects!$A$5:$A$104,0)),"?"))</f>
        <v/>
      </c>
      <c r="D422" s="73"/>
      <c r="E422" s="73"/>
      <c r="F422" s="73"/>
      <c r="G422" s="73"/>
      <c r="H422" s="75" t="str">
        <f t="shared" si="30"/>
        <v/>
      </c>
      <c r="I422" s="75" t="str">
        <f t="shared" si="31"/>
        <v/>
      </c>
      <c r="J422" s="77" t="str">
        <f t="shared" si="32"/>
        <v/>
      </c>
      <c r="K422" s="77" t="str">
        <f t="shared" si="33"/>
        <v/>
      </c>
      <c r="L422" s="78" t="str">
        <f t="shared" si="34"/>
        <v/>
      </c>
      <c r="M422" s="69"/>
    </row>
    <row r="423" spans="1:13" x14ac:dyDescent="0.3">
      <c r="A423" s="76"/>
      <c r="B423" s="69"/>
      <c r="C423" s="67" t="str">
        <f>IF(B423="","",IFERROR(INDEX(Projects!$B$5:$B$104,MATCH(B423,Projects!$A$5:$A$104,0)),"?"))</f>
        <v/>
      </c>
      <c r="D423" s="73"/>
      <c r="E423" s="73"/>
      <c r="F423" s="73"/>
      <c r="G423" s="73"/>
      <c r="H423" s="75" t="str">
        <f t="shared" si="30"/>
        <v/>
      </c>
      <c r="I423" s="75" t="str">
        <f t="shared" si="31"/>
        <v/>
      </c>
      <c r="J423" s="77" t="str">
        <f t="shared" si="32"/>
        <v/>
      </c>
      <c r="K423" s="77" t="str">
        <f t="shared" si="33"/>
        <v/>
      </c>
      <c r="L423" s="78" t="str">
        <f t="shared" si="34"/>
        <v/>
      </c>
      <c r="M423" s="69"/>
    </row>
    <row r="424" spans="1:13" x14ac:dyDescent="0.3">
      <c r="A424" s="76"/>
      <c r="B424" s="69"/>
      <c r="C424" s="67" t="str">
        <f>IF(B424="","",IFERROR(INDEX(Projects!$B$5:$B$104,MATCH(B424,Projects!$A$5:$A$104,0)),"?"))</f>
        <v/>
      </c>
      <c r="D424" s="73"/>
      <c r="E424" s="73"/>
      <c r="F424" s="73"/>
      <c r="G424" s="73"/>
      <c r="H424" s="75" t="str">
        <f t="shared" si="30"/>
        <v/>
      </c>
      <c r="I424" s="75" t="str">
        <f t="shared" si="31"/>
        <v/>
      </c>
      <c r="J424" s="77" t="str">
        <f t="shared" si="32"/>
        <v/>
      </c>
      <c r="K424" s="77" t="str">
        <f t="shared" si="33"/>
        <v/>
      </c>
      <c r="L424" s="78" t="str">
        <f t="shared" si="34"/>
        <v/>
      </c>
      <c r="M424" s="69"/>
    </row>
    <row r="425" spans="1:13" x14ac:dyDescent="0.3">
      <c r="A425" s="76"/>
      <c r="B425" s="69"/>
      <c r="C425" s="67" t="str">
        <f>IF(B425="","",IFERROR(INDEX(Projects!$B$5:$B$104,MATCH(B425,Projects!$A$5:$A$104,0)),"?"))</f>
        <v/>
      </c>
      <c r="D425" s="73"/>
      <c r="E425" s="73"/>
      <c r="F425" s="73"/>
      <c r="G425" s="73"/>
      <c r="H425" s="75" t="str">
        <f t="shared" si="30"/>
        <v/>
      </c>
      <c r="I425" s="75" t="str">
        <f t="shared" si="31"/>
        <v/>
      </c>
      <c r="J425" s="77" t="str">
        <f t="shared" si="32"/>
        <v/>
      </c>
      <c r="K425" s="77" t="str">
        <f t="shared" si="33"/>
        <v/>
      </c>
      <c r="L425" s="78" t="str">
        <f t="shared" si="34"/>
        <v/>
      </c>
      <c r="M425" s="69"/>
    </row>
    <row r="426" spans="1:13" x14ac:dyDescent="0.3">
      <c r="A426" s="76"/>
      <c r="B426" s="69"/>
      <c r="C426" s="67" t="str">
        <f>IF(B426="","",IFERROR(INDEX(Projects!$B$5:$B$104,MATCH(B426,Projects!$A$5:$A$104,0)),"?"))</f>
        <v/>
      </c>
      <c r="D426" s="73"/>
      <c r="E426" s="73"/>
      <c r="F426" s="73"/>
      <c r="G426" s="73"/>
      <c r="H426" s="75" t="str">
        <f t="shared" si="30"/>
        <v/>
      </c>
      <c r="I426" s="75" t="str">
        <f t="shared" si="31"/>
        <v/>
      </c>
      <c r="J426" s="77" t="str">
        <f t="shared" si="32"/>
        <v/>
      </c>
      <c r="K426" s="77" t="str">
        <f t="shared" si="33"/>
        <v/>
      </c>
      <c r="L426" s="78" t="str">
        <f t="shared" si="34"/>
        <v/>
      </c>
      <c r="M426" s="69"/>
    </row>
    <row r="427" spans="1:13" x14ac:dyDescent="0.3">
      <c r="A427" s="76"/>
      <c r="B427" s="69"/>
      <c r="C427" s="67" t="str">
        <f>IF(B427="","",IFERROR(INDEX(Projects!$B$5:$B$104,MATCH(B427,Projects!$A$5:$A$104,0)),"?"))</f>
        <v/>
      </c>
      <c r="D427" s="73"/>
      <c r="E427" s="73"/>
      <c r="F427" s="73"/>
      <c r="G427" s="73"/>
      <c r="H427" s="75" t="str">
        <f t="shared" si="30"/>
        <v/>
      </c>
      <c r="I427" s="75" t="str">
        <f t="shared" si="31"/>
        <v/>
      </c>
      <c r="J427" s="77" t="str">
        <f t="shared" si="32"/>
        <v/>
      </c>
      <c r="K427" s="77" t="str">
        <f t="shared" si="33"/>
        <v/>
      </c>
      <c r="L427" s="78" t="str">
        <f t="shared" si="34"/>
        <v/>
      </c>
      <c r="M427" s="69"/>
    </row>
    <row r="428" spans="1:13" x14ac:dyDescent="0.3">
      <c r="A428" s="76"/>
      <c r="B428" s="69"/>
      <c r="C428" s="67" t="str">
        <f>IF(B428="","",IFERROR(INDEX(Projects!$B$5:$B$104,MATCH(B428,Projects!$A$5:$A$104,0)),"?"))</f>
        <v/>
      </c>
      <c r="D428" s="73"/>
      <c r="E428" s="73"/>
      <c r="F428" s="73"/>
      <c r="G428" s="73"/>
      <c r="H428" s="75" t="str">
        <f t="shared" si="30"/>
        <v/>
      </c>
      <c r="I428" s="75" t="str">
        <f t="shared" si="31"/>
        <v/>
      </c>
      <c r="J428" s="77" t="str">
        <f t="shared" si="32"/>
        <v/>
      </c>
      <c r="K428" s="77" t="str">
        <f t="shared" si="33"/>
        <v/>
      </c>
      <c r="L428" s="78" t="str">
        <f t="shared" si="34"/>
        <v/>
      </c>
      <c r="M428" s="69"/>
    </row>
    <row r="429" spans="1:13" x14ac:dyDescent="0.3">
      <c r="A429" s="76"/>
      <c r="B429" s="69"/>
      <c r="C429" s="67" t="str">
        <f>IF(B429="","",IFERROR(INDEX(Projects!$B$5:$B$104,MATCH(B429,Projects!$A$5:$A$104,0)),"?"))</f>
        <v/>
      </c>
      <c r="D429" s="73"/>
      <c r="E429" s="73"/>
      <c r="F429" s="73"/>
      <c r="G429" s="73"/>
      <c r="H429" s="75" t="str">
        <f t="shared" si="30"/>
        <v/>
      </c>
      <c r="I429" s="75" t="str">
        <f t="shared" si="31"/>
        <v/>
      </c>
      <c r="J429" s="77" t="str">
        <f t="shared" si="32"/>
        <v/>
      </c>
      <c r="K429" s="77" t="str">
        <f t="shared" si="33"/>
        <v/>
      </c>
      <c r="L429" s="78" t="str">
        <f t="shared" si="34"/>
        <v/>
      </c>
      <c r="M429" s="69"/>
    </row>
    <row r="430" spans="1:13" x14ac:dyDescent="0.3">
      <c r="A430" s="76"/>
      <c r="B430" s="69"/>
      <c r="C430" s="67" t="str">
        <f>IF(B430="","",IFERROR(INDEX(Projects!$B$5:$B$104,MATCH(B430,Projects!$A$5:$A$104,0)),"?"))</f>
        <v/>
      </c>
      <c r="D430" s="73"/>
      <c r="E430" s="73"/>
      <c r="F430" s="73"/>
      <c r="G430" s="73"/>
      <c r="H430" s="75" t="str">
        <f t="shared" si="30"/>
        <v/>
      </c>
      <c r="I430" s="75" t="str">
        <f t="shared" si="31"/>
        <v/>
      </c>
      <c r="J430" s="77" t="str">
        <f t="shared" si="32"/>
        <v/>
      </c>
      <c r="K430" s="77" t="str">
        <f t="shared" si="33"/>
        <v/>
      </c>
      <c r="L430" s="78" t="str">
        <f t="shared" si="34"/>
        <v/>
      </c>
      <c r="M430" s="69"/>
    </row>
    <row r="431" spans="1:13" x14ac:dyDescent="0.3">
      <c r="A431" s="76"/>
      <c r="B431" s="69"/>
      <c r="C431" s="67" t="str">
        <f>IF(B431="","",IFERROR(INDEX(Projects!$B$5:$B$104,MATCH(B431,Projects!$A$5:$A$104,0)),"?"))</f>
        <v/>
      </c>
      <c r="D431" s="73"/>
      <c r="E431" s="73"/>
      <c r="F431" s="73"/>
      <c r="G431" s="73"/>
      <c r="H431" s="75" t="str">
        <f t="shared" si="30"/>
        <v/>
      </c>
      <c r="I431" s="75" t="str">
        <f t="shared" si="31"/>
        <v/>
      </c>
      <c r="J431" s="77" t="str">
        <f t="shared" si="32"/>
        <v/>
      </c>
      <c r="K431" s="77" t="str">
        <f t="shared" si="33"/>
        <v/>
      </c>
      <c r="L431" s="78" t="str">
        <f t="shared" si="34"/>
        <v/>
      </c>
      <c r="M431" s="69"/>
    </row>
    <row r="432" spans="1:13" x14ac:dyDescent="0.3">
      <c r="A432" s="76"/>
      <c r="B432" s="69"/>
      <c r="C432" s="67" t="str">
        <f>IF(B432="","",IFERROR(INDEX(Projects!$B$5:$B$104,MATCH(B432,Projects!$A$5:$A$104,0)),"?"))</f>
        <v/>
      </c>
      <c r="D432" s="73"/>
      <c r="E432" s="73"/>
      <c r="F432" s="73"/>
      <c r="G432" s="73"/>
      <c r="H432" s="75" t="str">
        <f t="shared" si="30"/>
        <v/>
      </c>
      <c r="I432" s="75" t="str">
        <f t="shared" si="31"/>
        <v/>
      </c>
      <c r="J432" s="77" t="str">
        <f t="shared" si="32"/>
        <v/>
      </c>
      <c r="K432" s="77" t="str">
        <f t="shared" si="33"/>
        <v/>
      </c>
      <c r="L432" s="78" t="str">
        <f t="shared" si="34"/>
        <v/>
      </c>
      <c r="M432" s="69"/>
    </row>
    <row r="433" spans="1:13" x14ac:dyDescent="0.3">
      <c r="A433" s="76"/>
      <c r="B433" s="69"/>
      <c r="C433" s="67" t="str">
        <f>IF(B433="","",IFERROR(INDEX(Projects!$B$5:$B$104,MATCH(B433,Projects!$A$5:$A$104,0)),"?"))</f>
        <v/>
      </c>
      <c r="D433" s="73"/>
      <c r="E433" s="73"/>
      <c r="F433" s="73"/>
      <c r="G433" s="73"/>
      <c r="H433" s="75" t="str">
        <f t="shared" si="30"/>
        <v/>
      </c>
      <c r="I433" s="75" t="str">
        <f t="shared" si="31"/>
        <v/>
      </c>
      <c r="J433" s="77" t="str">
        <f t="shared" si="32"/>
        <v/>
      </c>
      <c r="K433" s="77" t="str">
        <f t="shared" si="33"/>
        <v/>
      </c>
      <c r="L433" s="78" t="str">
        <f t="shared" si="34"/>
        <v/>
      </c>
      <c r="M433" s="69"/>
    </row>
    <row r="434" spans="1:13" x14ac:dyDescent="0.3">
      <c r="A434" s="76"/>
      <c r="B434" s="69"/>
      <c r="C434" s="67" t="str">
        <f>IF(B434="","",IFERROR(INDEX(Projects!$B$5:$B$104,MATCH(B434,Projects!$A$5:$A$104,0)),"?"))</f>
        <v/>
      </c>
      <c r="D434" s="73"/>
      <c r="E434" s="73"/>
      <c r="F434" s="73"/>
      <c r="G434" s="73"/>
      <c r="H434" s="75" t="str">
        <f t="shared" si="30"/>
        <v/>
      </c>
      <c r="I434" s="75" t="str">
        <f t="shared" si="31"/>
        <v/>
      </c>
      <c r="J434" s="77" t="str">
        <f t="shared" si="32"/>
        <v/>
      </c>
      <c r="K434" s="77" t="str">
        <f t="shared" si="33"/>
        <v/>
      </c>
      <c r="L434" s="78" t="str">
        <f t="shared" si="34"/>
        <v/>
      </c>
      <c r="M434" s="69"/>
    </row>
    <row r="435" spans="1:13" x14ac:dyDescent="0.3">
      <c r="A435" s="76"/>
      <c r="B435" s="69"/>
      <c r="C435" s="67" t="str">
        <f>IF(B435="","",IFERROR(INDEX(Projects!$B$5:$B$104,MATCH(B435,Projects!$A$5:$A$104,0)),"?"))</f>
        <v/>
      </c>
      <c r="D435" s="73"/>
      <c r="E435" s="73"/>
      <c r="F435" s="73"/>
      <c r="G435" s="73"/>
      <c r="H435" s="75" t="str">
        <f t="shared" si="30"/>
        <v/>
      </c>
      <c r="I435" s="75" t="str">
        <f t="shared" si="31"/>
        <v/>
      </c>
      <c r="J435" s="77" t="str">
        <f t="shared" si="32"/>
        <v/>
      </c>
      <c r="K435" s="77" t="str">
        <f t="shared" si="33"/>
        <v/>
      </c>
      <c r="L435" s="78" t="str">
        <f t="shared" si="34"/>
        <v/>
      </c>
      <c r="M435" s="69"/>
    </row>
    <row r="436" spans="1:13" x14ac:dyDescent="0.3">
      <c r="A436" s="76"/>
      <c r="B436" s="69"/>
      <c r="C436" s="67" t="str">
        <f>IF(B436="","",IFERROR(INDEX(Projects!$B$5:$B$104,MATCH(B436,Projects!$A$5:$A$104,0)),"?"))</f>
        <v/>
      </c>
      <c r="D436" s="73"/>
      <c r="E436" s="73"/>
      <c r="F436" s="73"/>
      <c r="G436" s="73"/>
      <c r="H436" s="75" t="str">
        <f t="shared" si="30"/>
        <v/>
      </c>
      <c r="I436" s="75" t="str">
        <f t="shared" si="31"/>
        <v/>
      </c>
      <c r="J436" s="77" t="str">
        <f t="shared" si="32"/>
        <v/>
      </c>
      <c r="K436" s="77" t="str">
        <f t="shared" si="33"/>
        <v/>
      </c>
      <c r="L436" s="78" t="str">
        <f t="shared" si="34"/>
        <v/>
      </c>
      <c r="M436" s="69"/>
    </row>
    <row r="437" spans="1:13" x14ac:dyDescent="0.3">
      <c r="A437" s="76"/>
      <c r="B437" s="69"/>
      <c r="C437" s="67" t="str">
        <f>IF(B437="","",IFERROR(INDEX(Projects!$B$5:$B$104,MATCH(B437,Projects!$A$5:$A$104,0)),"?"))</f>
        <v/>
      </c>
      <c r="D437" s="73"/>
      <c r="E437" s="73"/>
      <c r="F437" s="73"/>
      <c r="G437" s="73"/>
      <c r="H437" s="75" t="str">
        <f t="shared" si="30"/>
        <v/>
      </c>
      <c r="I437" s="75" t="str">
        <f t="shared" si="31"/>
        <v/>
      </c>
      <c r="J437" s="77" t="str">
        <f t="shared" si="32"/>
        <v/>
      </c>
      <c r="K437" s="77" t="str">
        <f t="shared" si="33"/>
        <v/>
      </c>
      <c r="L437" s="78" t="str">
        <f t="shared" si="34"/>
        <v/>
      </c>
      <c r="M437" s="69"/>
    </row>
    <row r="438" spans="1:13" x14ac:dyDescent="0.3">
      <c r="A438" s="76"/>
      <c r="B438" s="69"/>
      <c r="C438" s="67" t="str">
        <f>IF(B438="","",IFERROR(INDEX(Projects!$B$5:$B$104,MATCH(B438,Projects!$A$5:$A$104,0)),"?"))</f>
        <v/>
      </c>
      <c r="D438" s="73"/>
      <c r="E438" s="73"/>
      <c r="F438" s="73"/>
      <c r="G438" s="73"/>
      <c r="H438" s="75" t="str">
        <f t="shared" si="30"/>
        <v/>
      </c>
      <c r="I438" s="75" t="str">
        <f t="shared" si="31"/>
        <v/>
      </c>
      <c r="J438" s="77" t="str">
        <f t="shared" si="32"/>
        <v/>
      </c>
      <c r="K438" s="77" t="str">
        <f t="shared" si="33"/>
        <v/>
      </c>
      <c r="L438" s="78" t="str">
        <f t="shared" si="34"/>
        <v/>
      </c>
      <c r="M438" s="69"/>
    </row>
    <row r="439" spans="1:13" x14ac:dyDescent="0.3">
      <c r="A439" s="76"/>
      <c r="B439" s="69"/>
      <c r="C439" s="67" t="str">
        <f>IF(B439="","",IFERROR(INDEX(Projects!$B$5:$B$104,MATCH(B439,Projects!$A$5:$A$104,0)),"?"))</f>
        <v/>
      </c>
      <c r="D439" s="73"/>
      <c r="E439" s="73"/>
      <c r="F439" s="73"/>
      <c r="G439" s="73"/>
      <c r="H439" s="75" t="str">
        <f t="shared" si="30"/>
        <v/>
      </c>
      <c r="I439" s="75" t="str">
        <f t="shared" si="31"/>
        <v/>
      </c>
      <c r="J439" s="77" t="str">
        <f t="shared" si="32"/>
        <v/>
      </c>
      <c r="K439" s="77" t="str">
        <f t="shared" si="33"/>
        <v/>
      </c>
      <c r="L439" s="78" t="str">
        <f t="shared" si="34"/>
        <v/>
      </c>
      <c r="M439" s="69"/>
    </row>
    <row r="440" spans="1:13" x14ac:dyDescent="0.3">
      <c r="A440" s="76"/>
      <c r="B440" s="69"/>
      <c r="C440" s="67" t="str">
        <f>IF(B440="","",IFERROR(INDEX(Projects!$B$5:$B$104,MATCH(B440,Projects!$A$5:$A$104,0)),"?"))</f>
        <v/>
      </c>
      <c r="D440" s="73"/>
      <c r="E440" s="73"/>
      <c r="F440" s="73"/>
      <c r="G440" s="73"/>
      <c r="H440" s="75" t="str">
        <f t="shared" si="30"/>
        <v/>
      </c>
      <c r="I440" s="75" t="str">
        <f t="shared" si="31"/>
        <v/>
      </c>
      <c r="J440" s="77" t="str">
        <f t="shared" si="32"/>
        <v/>
      </c>
      <c r="K440" s="77" t="str">
        <f t="shared" si="33"/>
        <v/>
      </c>
      <c r="L440" s="78" t="str">
        <f t="shared" si="34"/>
        <v/>
      </c>
      <c r="M440" s="69"/>
    </row>
    <row r="441" spans="1:13" x14ac:dyDescent="0.3">
      <c r="A441" s="76"/>
      <c r="B441" s="69"/>
      <c r="C441" s="67" t="str">
        <f>IF(B441="","",IFERROR(INDEX(Projects!$B$5:$B$104,MATCH(B441,Projects!$A$5:$A$104,0)),"?"))</f>
        <v/>
      </c>
      <c r="D441" s="73"/>
      <c r="E441" s="73"/>
      <c r="F441" s="73"/>
      <c r="G441" s="73"/>
      <c r="H441" s="75" t="str">
        <f t="shared" si="30"/>
        <v/>
      </c>
      <c r="I441" s="75" t="str">
        <f t="shared" si="31"/>
        <v/>
      </c>
      <c r="J441" s="77" t="str">
        <f t="shared" si="32"/>
        <v/>
      </c>
      <c r="K441" s="77" t="str">
        <f t="shared" si="33"/>
        <v/>
      </c>
      <c r="L441" s="78" t="str">
        <f t="shared" si="34"/>
        <v/>
      </c>
      <c r="M441" s="69"/>
    </row>
    <row r="442" spans="1:13" x14ac:dyDescent="0.3">
      <c r="A442" s="76"/>
      <c r="B442" s="69"/>
      <c r="C442" s="67" t="str">
        <f>IF(B442="","",IFERROR(INDEX(Projects!$B$5:$B$104,MATCH(B442,Projects!$A$5:$A$104,0)),"?"))</f>
        <v/>
      </c>
      <c r="D442" s="73"/>
      <c r="E442" s="73"/>
      <c r="F442" s="73"/>
      <c r="G442" s="73"/>
      <c r="H442" s="75" t="str">
        <f t="shared" si="30"/>
        <v/>
      </c>
      <c r="I442" s="75" t="str">
        <f t="shared" si="31"/>
        <v/>
      </c>
      <c r="J442" s="77" t="str">
        <f t="shared" si="32"/>
        <v/>
      </c>
      <c r="K442" s="77" t="str">
        <f t="shared" si="33"/>
        <v/>
      </c>
      <c r="L442" s="78" t="str">
        <f t="shared" si="34"/>
        <v/>
      </c>
      <c r="M442" s="69"/>
    </row>
    <row r="443" spans="1:13" x14ac:dyDescent="0.3">
      <c r="A443" s="76"/>
      <c r="B443" s="69"/>
      <c r="C443" s="67" t="str">
        <f>IF(B443="","",IFERROR(INDEX(Projects!$B$5:$B$104,MATCH(B443,Projects!$A$5:$A$104,0)),"?"))</f>
        <v/>
      </c>
      <c r="D443" s="73"/>
      <c r="E443" s="73"/>
      <c r="F443" s="73"/>
      <c r="G443" s="73"/>
      <c r="H443" s="75" t="str">
        <f t="shared" si="30"/>
        <v/>
      </c>
      <c r="I443" s="75" t="str">
        <f t="shared" si="31"/>
        <v/>
      </c>
      <c r="J443" s="77" t="str">
        <f t="shared" si="32"/>
        <v/>
      </c>
      <c r="K443" s="77" t="str">
        <f t="shared" si="33"/>
        <v/>
      </c>
      <c r="L443" s="78" t="str">
        <f t="shared" si="34"/>
        <v/>
      </c>
      <c r="M443" s="69"/>
    </row>
    <row r="444" spans="1:13" x14ac:dyDescent="0.3">
      <c r="A444" s="76"/>
      <c r="B444" s="69"/>
      <c r="C444" s="67" t="str">
        <f>IF(B444="","",IFERROR(INDEX(Projects!$B$5:$B$104,MATCH(B444,Projects!$A$5:$A$104,0)),"?"))</f>
        <v/>
      </c>
      <c r="D444" s="73"/>
      <c r="E444" s="73"/>
      <c r="F444" s="73"/>
      <c r="G444" s="73"/>
      <c r="H444" s="75" t="str">
        <f t="shared" si="30"/>
        <v/>
      </c>
      <c r="I444" s="75" t="str">
        <f t="shared" si="31"/>
        <v/>
      </c>
      <c r="J444" s="77" t="str">
        <f t="shared" si="32"/>
        <v/>
      </c>
      <c r="K444" s="77" t="str">
        <f t="shared" si="33"/>
        <v/>
      </c>
      <c r="L444" s="78" t="str">
        <f t="shared" si="34"/>
        <v/>
      </c>
      <c r="M444" s="69"/>
    </row>
    <row r="445" spans="1:13" x14ac:dyDescent="0.3">
      <c r="A445" s="76"/>
      <c r="B445" s="69"/>
      <c r="C445" s="67" t="str">
        <f>IF(B445="","",IFERROR(INDEX(Projects!$B$5:$B$104,MATCH(B445,Projects!$A$5:$A$104,0)),"?"))</f>
        <v/>
      </c>
      <c r="D445" s="73"/>
      <c r="E445" s="73"/>
      <c r="F445" s="73"/>
      <c r="G445" s="73"/>
      <c r="H445" s="75" t="str">
        <f t="shared" si="30"/>
        <v/>
      </c>
      <c r="I445" s="75" t="str">
        <f t="shared" si="31"/>
        <v/>
      </c>
      <c r="J445" s="77" t="str">
        <f t="shared" si="32"/>
        <v/>
      </c>
      <c r="K445" s="77" t="str">
        <f t="shared" si="33"/>
        <v/>
      </c>
      <c r="L445" s="78" t="str">
        <f t="shared" si="34"/>
        <v/>
      </c>
      <c r="M445" s="69"/>
    </row>
    <row r="446" spans="1:13" x14ac:dyDescent="0.3">
      <c r="A446" s="76"/>
      <c r="B446" s="69"/>
      <c r="C446" s="67" t="str">
        <f>IF(B446="","",IFERROR(INDEX(Projects!$B$5:$B$104,MATCH(B446,Projects!$A$5:$A$104,0)),"?"))</f>
        <v/>
      </c>
      <c r="D446" s="73"/>
      <c r="E446" s="73"/>
      <c r="F446" s="73"/>
      <c r="G446" s="73"/>
      <c r="H446" s="75" t="str">
        <f t="shared" si="30"/>
        <v/>
      </c>
      <c r="I446" s="75" t="str">
        <f t="shared" si="31"/>
        <v/>
      </c>
      <c r="J446" s="77" t="str">
        <f t="shared" si="32"/>
        <v/>
      </c>
      <c r="K446" s="77" t="str">
        <f t="shared" si="33"/>
        <v/>
      </c>
      <c r="L446" s="78" t="str">
        <f t="shared" si="34"/>
        <v/>
      </c>
      <c r="M446" s="69"/>
    </row>
    <row r="447" spans="1:13" x14ac:dyDescent="0.3">
      <c r="A447" s="76"/>
      <c r="B447" s="69"/>
      <c r="C447" s="67" t="str">
        <f>IF(B447="","",IFERROR(INDEX(Projects!$B$5:$B$104,MATCH(B447,Projects!$A$5:$A$104,0)),"?"))</f>
        <v/>
      </c>
      <c r="D447" s="73"/>
      <c r="E447" s="73"/>
      <c r="F447" s="73"/>
      <c r="G447" s="73"/>
      <c r="H447" s="75" t="str">
        <f t="shared" si="30"/>
        <v/>
      </c>
      <c r="I447" s="75" t="str">
        <f t="shared" si="31"/>
        <v/>
      </c>
      <c r="J447" s="77" t="str">
        <f t="shared" si="32"/>
        <v/>
      </c>
      <c r="K447" s="77" t="str">
        <f t="shared" si="33"/>
        <v/>
      </c>
      <c r="L447" s="78" t="str">
        <f t="shared" si="34"/>
        <v/>
      </c>
      <c r="M447" s="69"/>
    </row>
    <row r="448" spans="1:13" x14ac:dyDescent="0.3">
      <c r="A448" s="76"/>
      <c r="B448" s="69"/>
      <c r="C448" s="67" t="str">
        <f>IF(B448="","",IFERROR(INDEX(Projects!$B$5:$B$104,MATCH(B448,Projects!$A$5:$A$104,0)),"?"))</f>
        <v/>
      </c>
      <c r="D448" s="73"/>
      <c r="E448" s="73"/>
      <c r="F448" s="73"/>
      <c r="G448" s="73"/>
      <c r="H448" s="75" t="str">
        <f t="shared" si="30"/>
        <v/>
      </c>
      <c r="I448" s="75" t="str">
        <f t="shared" si="31"/>
        <v/>
      </c>
      <c r="J448" s="77" t="str">
        <f t="shared" si="32"/>
        <v/>
      </c>
      <c r="K448" s="77" t="str">
        <f t="shared" si="33"/>
        <v/>
      </c>
      <c r="L448" s="78" t="str">
        <f t="shared" si="34"/>
        <v/>
      </c>
      <c r="M448" s="69"/>
    </row>
    <row r="449" spans="1:13" x14ac:dyDescent="0.3">
      <c r="A449" s="76"/>
      <c r="B449" s="69"/>
      <c r="C449" s="67" t="str">
        <f>IF(B449="","",IFERROR(INDEX(Projects!$B$5:$B$104,MATCH(B449,Projects!$A$5:$A$104,0)),"?"))</f>
        <v/>
      </c>
      <c r="D449" s="73"/>
      <c r="E449" s="73"/>
      <c r="F449" s="73"/>
      <c r="G449" s="73"/>
      <c r="H449" s="75" t="str">
        <f t="shared" si="30"/>
        <v/>
      </c>
      <c r="I449" s="75" t="str">
        <f t="shared" si="31"/>
        <v/>
      </c>
      <c r="J449" s="77" t="str">
        <f t="shared" si="32"/>
        <v/>
      </c>
      <c r="K449" s="77" t="str">
        <f t="shared" si="33"/>
        <v/>
      </c>
      <c r="L449" s="78" t="str">
        <f t="shared" si="34"/>
        <v/>
      </c>
      <c r="M449" s="69"/>
    </row>
    <row r="450" spans="1:13" x14ac:dyDescent="0.3">
      <c r="A450" s="76"/>
      <c r="B450" s="69"/>
      <c r="C450" s="67" t="str">
        <f>IF(B450="","",IFERROR(INDEX(Projects!$B$5:$B$104,MATCH(B450,Projects!$A$5:$A$104,0)),"?"))</f>
        <v/>
      </c>
      <c r="D450" s="73"/>
      <c r="E450" s="73"/>
      <c r="F450" s="73"/>
      <c r="G450" s="73"/>
      <c r="H450" s="75" t="str">
        <f t="shared" si="30"/>
        <v/>
      </c>
      <c r="I450" s="75" t="str">
        <f t="shared" si="31"/>
        <v/>
      </c>
      <c r="J450" s="77" t="str">
        <f t="shared" si="32"/>
        <v/>
      </c>
      <c r="K450" s="77" t="str">
        <f t="shared" si="33"/>
        <v/>
      </c>
      <c r="L450" s="78" t="str">
        <f t="shared" si="34"/>
        <v/>
      </c>
      <c r="M450" s="69"/>
    </row>
    <row r="451" spans="1:13" x14ac:dyDescent="0.3">
      <c r="A451" s="76"/>
      <c r="B451" s="69"/>
      <c r="C451" s="67" t="str">
        <f>IF(B451="","",IFERROR(INDEX(Projects!$B$5:$B$104,MATCH(B451,Projects!$A$5:$A$104,0)),"?"))</f>
        <v/>
      </c>
      <c r="D451" s="73"/>
      <c r="E451" s="73"/>
      <c r="F451" s="73"/>
      <c r="G451" s="73"/>
      <c r="H451" s="75" t="str">
        <f t="shared" si="30"/>
        <v/>
      </c>
      <c r="I451" s="75" t="str">
        <f t="shared" si="31"/>
        <v/>
      </c>
      <c r="J451" s="77" t="str">
        <f t="shared" si="32"/>
        <v/>
      </c>
      <c r="K451" s="77" t="str">
        <f t="shared" si="33"/>
        <v/>
      </c>
      <c r="L451" s="78" t="str">
        <f t="shared" si="34"/>
        <v/>
      </c>
      <c r="M451" s="69"/>
    </row>
    <row r="452" spans="1:13" x14ac:dyDescent="0.3">
      <c r="A452" s="76"/>
      <c r="B452" s="69"/>
      <c r="C452" s="67" t="str">
        <f>IF(B452="","",IFERROR(INDEX(Projects!$B$5:$B$104,MATCH(B452,Projects!$A$5:$A$104,0)),"?"))</f>
        <v/>
      </c>
      <c r="D452" s="73"/>
      <c r="E452" s="73"/>
      <c r="F452" s="73"/>
      <c r="G452" s="73"/>
      <c r="H452" s="75" t="str">
        <f t="shared" si="30"/>
        <v/>
      </c>
      <c r="I452" s="75" t="str">
        <f t="shared" si="31"/>
        <v/>
      </c>
      <c r="J452" s="77" t="str">
        <f t="shared" si="32"/>
        <v/>
      </c>
      <c r="K452" s="77" t="str">
        <f t="shared" si="33"/>
        <v/>
      </c>
      <c r="L452" s="78" t="str">
        <f t="shared" si="34"/>
        <v/>
      </c>
      <c r="M452" s="69"/>
    </row>
    <row r="453" spans="1:13" x14ac:dyDescent="0.3">
      <c r="A453" s="76"/>
      <c r="B453" s="69"/>
      <c r="C453" s="67" t="str">
        <f>IF(B453="","",IFERROR(INDEX(Projects!$B$5:$B$104,MATCH(B453,Projects!$A$5:$A$104,0)),"?"))</f>
        <v/>
      </c>
      <c r="D453" s="73"/>
      <c r="E453" s="73"/>
      <c r="F453" s="73"/>
      <c r="G453" s="73"/>
      <c r="H453" s="75" t="str">
        <f t="shared" ref="H453:H504" si="35">IF(OR(E453="",F453=""),"",F453-E453)</f>
        <v/>
      </c>
      <c r="I453" s="75" t="str">
        <f t="shared" ref="I453:I504" si="36">IF(OR(F453="",G453=""),"",F453-G453)</f>
        <v/>
      </c>
      <c r="J453" s="77" t="str">
        <f t="shared" ref="J453:J504" si="37">IF(OR(E453="",E453=0,F453=""),"",F453/E453)</f>
        <v/>
      </c>
      <c r="K453" s="77" t="str">
        <f t="shared" ref="K453:K504" si="38">IF(OR(G453="",G453=0,F453=""),"",F453/G453)</f>
        <v/>
      </c>
      <c r="L453" s="78" t="str">
        <f t="shared" ref="L453:L504" si="39">IF(OR(D453="",D453=0,G453=""),"",G453/D453)</f>
        <v/>
      </c>
      <c r="M453" s="69"/>
    </row>
    <row r="454" spans="1:13" x14ac:dyDescent="0.3">
      <c r="A454" s="76"/>
      <c r="B454" s="69"/>
      <c r="C454" s="67" t="str">
        <f>IF(B454="","",IFERROR(INDEX(Projects!$B$5:$B$104,MATCH(B454,Projects!$A$5:$A$104,0)),"?"))</f>
        <v/>
      </c>
      <c r="D454" s="73"/>
      <c r="E454" s="73"/>
      <c r="F454" s="73"/>
      <c r="G454" s="73"/>
      <c r="H454" s="75" t="str">
        <f t="shared" si="35"/>
        <v/>
      </c>
      <c r="I454" s="75" t="str">
        <f t="shared" si="36"/>
        <v/>
      </c>
      <c r="J454" s="77" t="str">
        <f t="shared" si="37"/>
        <v/>
      </c>
      <c r="K454" s="77" t="str">
        <f t="shared" si="38"/>
        <v/>
      </c>
      <c r="L454" s="78" t="str">
        <f t="shared" si="39"/>
        <v/>
      </c>
      <c r="M454" s="69"/>
    </row>
    <row r="455" spans="1:13" x14ac:dyDescent="0.3">
      <c r="A455" s="76"/>
      <c r="B455" s="69"/>
      <c r="C455" s="67" t="str">
        <f>IF(B455="","",IFERROR(INDEX(Projects!$B$5:$B$104,MATCH(B455,Projects!$A$5:$A$104,0)),"?"))</f>
        <v/>
      </c>
      <c r="D455" s="73"/>
      <c r="E455" s="73"/>
      <c r="F455" s="73"/>
      <c r="G455" s="73"/>
      <c r="H455" s="75" t="str">
        <f t="shared" si="35"/>
        <v/>
      </c>
      <c r="I455" s="75" t="str">
        <f t="shared" si="36"/>
        <v/>
      </c>
      <c r="J455" s="77" t="str">
        <f t="shared" si="37"/>
        <v/>
      </c>
      <c r="K455" s="77" t="str">
        <f t="shared" si="38"/>
        <v/>
      </c>
      <c r="L455" s="78" t="str">
        <f t="shared" si="39"/>
        <v/>
      </c>
      <c r="M455" s="69"/>
    </row>
    <row r="456" spans="1:13" x14ac:dyDescent="0.3">
      <c r="A456" s="76"/>
      <c r="B456" s="69"/>
      <c r="C456" s="67" t="str">
        <f>IF(B456="","",IFERROR(INDEX(Projects!$B$5:$B$104,MATCH(B456,Projects!$A$5:$A$104,0)),"?"))</f>
        <v/>
      </c>
      <c r="D456" s="73"/>
      <c r="E456" s="73"/>
      <c r="F456" s="73"/>
      <c r="G456" s="73"/>
      <c r="H456" s="75" t="str">
        <f t="shared" si="35"/>
        <v/>
      </c>
      <c r="I456" s="75" t="str">
        <f t="shared" si="36"/>
        <v/>
      </c>
      <c r="J456" s="77" t="str">
        <f t="shared" si="37"/>
        <v/>
      </c>
      <c r="K456" s="77" t="str">
        <f t="shared" si="38"/>
        <v/>
      </c>
      <c r="L456" s="78" t="str">
        <f t="shared" si="39"/>
        <v/>
      </c>
      <c r="M456" s="69"/>
    </row>
    <row r="457" spans="1:13" x14ac:dyDescent="0.3">
      <c r="A457" s="76"/>
      <c r="B457" s="69"/>
      <c r="C457" s="67" t="str">
        <f>IF(B457="","",IFERROR(INDEX(Projects!$B$5:$B$104,MATCH(B457,Projects!$A$5:$A$104,0)),"?"))</f>
        <v/>
      </c>
      <c r="D457" s="73"/>
      <c r="E457" s="73"/>
      <c r="F457" s="73"/>
      <c r="G457" s="73"/>
      <c r="H457" s="75" t="str">
        <f t="shared" si="35"/>
        <v/>
      </c>
      <c r="I457" s="75" t="str">
        <f t="shared" si="36"/>
        <v/>
      </c>
      <c r="J457" s="77" t="str">
        <f t="shared" si="37"/>
        <v/>
      </c>
      <c r="K457" s="77" t="str">
        <f t="shared" si="38"/>
        <v/>
      </c>
      <c r="L457" s="78" t="str">
        <f t="shared" si="39"/>
        <v/>
      </c>
      <c r="M457" s="69"/>
    </row>
    <row r="458" spans="1:13" x14ac:dyDescent="0.3">
      <c r="A458" s="76"/>
      <c r="B458" s="69"/>
      <c r="C458" s="67" t="str">
        <f>IF(B458="","",IFERROR(INDEX(Projects!$B$5:$B$104,MATCH(B458,Projects!$A$5:$A$104,0)),"?"))</f>
        <v/>
      </c>
      <c r="D458" s="73"/>
      <c r="E458" s="73"/>
      <c r="F458" s="73"/>
      <c r="G458" s="73"/>
      <c r="H458" s="75" t="str">
        <f t="shared" si="35"/>
        <v/>
      </c>
      <c r="I458" s="75" t="str">
        <f t="shared" si="36"/>
        <v/>
      </c>
      <c r="J458" s="77" t="str">
        <f t="shared" si="37"/>
        <v/>
      </c>
      <c r="K458" s="77" t="str">
        <f t="shared" si="38"/>
        <v/>
      </c>
      <c r="L458" s="78" t="str">
        <f t="shared" si="39"/>
        <v/>
      </c>
      <c r="M458" s="69"/>
    </row>
    <row r="459" spans="1:13" x14ac:dyDescent="0.3">
      <c r="A459" s="76"/>
      <c r="B459" s="69"/>
      <c r="C459" s="67" t="str">
        <f>IF(B459="","",IFERROR(INDEX(Projects!$B$5:$B$104,MATCH(B459,Projects!$A$5:$A$104,0)),"?"))</f>
        <v/>
      </c>
      <c r="D459" s="73"/>
      <c r="E459" s="73"/>
      <c r="F459" s="73"/>
      <c r="G459" s="73"/>
      <c r="H459" s="75" t="str">
        <f t="shared" si="35"/>
        <v/>
      </c>
      <c r="I459" s="75" t="str">
        <f t="shared" si="36"/>
        <v/>
      </c>
      <c r="J459" s="77" t="str">
        <f t="shared" si="37"/>
        <v/>
      </c>
      <c r="K459" s="77" t="str">
        <f t="shared" si="38"/>
        <v/>
      </c>
      <c r="L459" s="78" t="str">
        <f t="shared" si="39"/>
        <v/>
      </c>
      <c r="M459" s="69"/>
    </row>
    <row r="460" spans="1:13" x14ac:dyDescent="0.3">
      <c r="A460" s="76"/>
      <c r="B460" s="69"/>
      <c r="C460" s="67" t="str">
        <f>IF(B460="","",IFERROR(INDEX(Projects!$B$5:$B$104,MATCH(B460,Projects!$A$5:$A$104,0)),"?"))</f>
        <v/>
      </c>
      <c r="D460" s="73"/>
      <c r="E460" s="73"/>
      <c r="F460" s="73"/>
      <c r="G460" s="73"/>
      <c r="H460" s="75" t="str">
        <f t="shared" si="35"/>
        <v/>
      </c>
      <c r="I460" s="75" t="str">
        <f t="shared" si="36"/>
        <v/>
      </c>
      <c r="J460" s="77" t="str">
        <f t="shared" si="37"/>
        <v/>
      </c>
      <c r="K460" s="77" t="str">
        <f t="shared" si="38"/>
        <v/>
      </c>
      <c r="L460" s="78" t="str">
        <f t="shared" si="39"/>
        <v/>
      </c>
      <c r="M460" s="69"/>
    </row>
    <row r="461" spans="1:13" x14ac:dyDescent="0.3">
      <c r="A461" s="76"/>
      <c r="B461" s="69"/>
      <c r="C461" s="67" t="str">
        <f>IF(B461="","",IFERROR(INDEX(Projects!$B$5:$B$104,MATCH(B461,Projects!$A$5:$A$104,0)),"?"))</f>
        <v/>
      </c>
      <c r="D461" s="73"/>
      <c r="E461" s="73"/>
      <c r="F461" s="73"/>
      <c r="G461" s="73"/>
      <c r="H461" s="75" t="str">
        <f t="shared" si="35"/>
        <v/>
      </c>
      <c r="I461" s="75" t="str">
        <f t="shared" si="36"/>
        <v/>
      </c>
      <c r="J461" s="77" t="str">
        <f t="shared" si="37"/>
        <v/>
      </c>
      <c r="K461" s="77" t="str">
        <f t="shared" si="38"/>
        <v/>
      </c>
      <c r="L461" s="78" t="str">
        <f t="shared" si="39"/>
        <v/>
      </c>
      <c r="M461" s="69"/>
    </row>
    <row r="462" spans="1:13" x14ac:dyDescent="0.3">
      <c r="A462" s="76"/>
      <c r="B462" s="69"/>
      <c r="C462" s="67" t="str">
        <f>IF(B462="","",IFERROR(INDEX(Projects!$B$5:$B$104,MATCH(B462,Projects!$A$5:$A$104,0)),"?"))</f>
        <v/>
      </c>
      <c r="D462" s="73"/>
      <c r="E462" s="73"/>
      <c r="F462" s="73"/>
      <c r="G462" s="73"/>
      <c r="H462" s="75" t="str">
        <f t="shared" si="35"/>
        <v/>
      </c>
      <c r="I462" s="75" t="str">
        <f t="shared" si="36"/>
        <v/>
      </c>
      <c r="J462" s="77" t="str">
        <f t="shared" si="37"/>
        <v/>
      </c>
      <c r="K462" s="77" t="str">
        <f t="shared" si="38"/>
        <v/>
      </c>
      <c r="L462" s="78" t="str">
        <f t="shared" si="39"/>
        <v/>
      </c>
      <c r="M462" s="69"/>
    </row>
    <row r="463" spans="1:13" x14ac:dyDescent="0.3">
      <c r="A463" s="76"/>
      <c r="B463" s="69"/>
      <c r="C463" s="67" t="str">
        <f>IF(B463="","",IFERROR(INDEX(Projects!$B$5:$B$104,MATCH(B463,Projects!$A$5:$A$104,0)),"?"))</f>
        <v/>
      </c>
      <c r="D463" s="73"/>
      <c r="E463" s="73"/>
      <c r="F463" s="73"/>
      <c r="G463" s="73"/>
      <c r="H463" s="75" t="str">
        <f t="shared" si="35"/>
        <v/>
      </c>
      <c r="I463" s="75" t="str">
        <f t="shared" si="36"/>
        <v/>
      </c>
      <c r="J463" s="77" t="str">
        <f t="shared" si="37"/>
        <v/>
      </c>
      <c r="K463" s="77" t="str">
        <f t="shared" si="38"/>
        <v/>
      </c>
      <c r="L463" s="78" t="str">
        <f t="shared" si="39"/>
        <v/>
      </c>
      <c r="M463" s="69"/>
    </row>
    <row r="464" spans="1:13" x14ac:dyDescent="0.3">
      <c r="A464" s="76"/>
      <c r="B464" s="69"/>
      <c r="C464" s="67" t="str">
        <f>IF(B464="","",IFERROR(INDEX(Projects!$B$5:$B$104,MATCH(B464,Projects!$A$5:$A$104,0)),"?"))</f>
        <v/>
      </c>
      <c r="D464" s="73"/>
      <c r="E464" s="73"/>
      <c r="F464" s="73"/>
      <c r="G464" s="73"/>
      <c r="H464" s="75" t="str">
        <f t="shared" si="35"/>
        <v/>
      </c>
      <c r="I464" s="75" t="str">
        <f t="shared" si="36"/>
        <v/>
      </c>
      <c r="J464" s="77" t="str">
        <f t="shared" si="37"/>
        <v/>
      </c>
      <c r="K464" s="77" t="str">
        <f t="shared" si="38"/>
        <v/>
      </c>
      <c r="L464" s="78" t="str">
        <f t="shared" si="39"/>
        <v/>
      </c>
      <c r="M464" s="69"/>
    </row>
    <row r="465" spans="1:13" x14ac:dyDescent="0.3">
      <c r="A465" s="76"/>
      <c r="B465" s="69"/>
      <c r="C465" s="67" t="str">
        <f>IF(B465="","",IFERROR(INDEX(Projects!$B$5:$B$104,MATCH(B465,Projects!$A$5:$A$104,0)),"?"))</f>
        <v/>
      </c>
      <c r="D465" s="73"/>
      <c r="E465" s="73"/>
      <c r="F465" s="73"/>
      <c r="G465" s="73"/>
      <c r="H465" s="75" t="str">
        <f t="shared" si="35"/>
        <v/>
      </c>
      <c r="I465" s="75" t="str">
        <f t="shared" si="36"/>
        <v/>
      </c>
      <c r="J465" s="77" t="str">
        <f t="shared" si="37"/>
        <v/>
      </c>
      <c r="K465" s="77" t="str">
        <f t="shared" si="38"/>
        <v/>
      </c>
      <c r="L465" s="78" t="str">
        <f t="shared" si="39"/>
        <v/>
      </c>
      <c r="M465" s="69"/>
    </row>
    <row r="466" spans="1:13" x14ac:dyDescent="0.3">
      <c r="A466" s="76"/>
      <c r="B466" s="69"/>
      <c r="C466" s="67" t="str">
        <f>IF(B466="","",IFERROR(INDEX(Projects!$B$5:$B$104,MATCH(B466,Projects!$A$5:$A$104,0)),"?"))</f>
        <v/>
      </c>
      <c r="D466" s="73"/>
      <c r="E466" s="73"/>
      <c r="F466" s="73"/>
      <c r="G466" s="73"/>
      <c r="H466" s="75" t="str">
        <f t="shared" si="35"/>
        <v/>
      </c>
      <c r="I466" s="75" t="str">
        <f t="shared" si="36"/>
        <v/>
      </c>
      <c r="J466" s="77" t="str">
        <f t="shared" si="37"/>
        <v/>
      </c>
      <c r="K466" s="77" t="str">
        <f t="shared" si="38"/>
        <v/>
      </c>
      <c r="L466" s="78" t="str">
        <f t="shared" si="39"/>
        <v/>
      </c>
      <c r="M466" s="69"/>
    </row>
    <row r="467" spans="1:13" x14ac:dyDescent="0.3">
      <c r="A467" s="76"/>
      <c r="B467" s="69"/>
      <c r="C467" s="67" t="str">
        <f>IF(B467="","",IFERROR(INDEX(Projects!$B$5:$B$104,MATCH(B467,Projects!$A$5:$A$104,0)),"?"))</f>
        <v/>
      </c>
      <c r="D467" s="73"/>
      <c r="E467" s="73"/>
      <c r="F467" s="73"/>
      <c r="G467" s="73"/>
      <c r="H467" s="75" t="str">
        <f t="shared" si="35"/>
        <v/>
      </c>
      <c r="I467" s="75" t="str">
        <f t="shared" si="36"/>
        <v/>
      </c>
      <c r="J467" s="77" t="str">
        <f t="shared" si="37"/>
        <v/>
      </c>
      <c r="K467" s="77" t="str">
        <f t="shared" si="38"/>
        <v/>
      </c>
      <c r="L467" s="78" t="str">
        <f t="shared" si="39"/>
        <v/>
      </c>
      <c r="M467" s="69"/>
    </row>
    <row r="468" spans="1:13" x14ac:dyDescent="0.3">
      <c r="A468" s="76"/>
      <c r="B468" s="69"/>
      <c r="C468" s="67" t="str">
        <f>IF(B468="","",IFERROR(INDEX(Projects!$B$5:$B$104,MATCH(B468,Projects!$A$5:$A$104,0)),"?"))</f>
        <v/>
      </c>
      <c r="D468" s="73"/>
      <c r="E468" s="73"/>
      <c r="F468" s="73"/>
      <c r="G468" s="73"/>
      <c r="H468" s="75" t="str">
        <f t="shared" si="35"/>
        <v/>
      </c>
      <c r="I468" s="75" t="str">
        <f t="shared" si="36"/>
        <v/>
      </c>
      <c r="J468" s="77" t="str">
        <f t="shared" si="37"/>
        <v/>
      </c>
      <c r="K468" s="77" t="str">
        <f t="shared" si="38"/>
        <v/>
      </c>
      <c r="L468" s="78" t="str">
        <f t="shared" si="39"/>
        <v/>
      </c>
      <c r="M468" s="69"/>
    </row>
    <row r="469" spans="1:13" x14ac:dyDescent="0.3">
      <c r="A469" s="76"/>
      <c r="B469" s="69"/>
      <c r="C469" s="67" t="str">
        <f>IF(B469="","",IFERROR(INDEX(Projects!$B$5:$B$104,MATCH(B469,Projects!$A$5:$A$104,0)),"?"))</f>
        <v/>
      </c>
      <c r="D469" s="73"/>
      <c r="E469" s="73"/>
      <c r="F469" s="73"/>
      <c r="G469" s="73"/>
      <c r="H469" s="75" t="str">
        <f t="shared" si="35"/>
        <v/>
      </c>
      <c r="I469" s="75" t="str">
        <f t="shared" si="36"/>
        <v/>
      </c>
      <c r="J469" s="77" t="str">
        <f t="shared" si="37"/>
        <v/>
      </c>
      <c r="K469" s="77" t="str">
        <f t="shared" si="38"/>
        <v/>
      </c>
      <c r="L469" s="78" t="str">
        <f t="shared" si="39"/>
        <v/>
      </c>
      <c r="M469" s="69"/>
    </row>
    <row r="470" spans="1:13" x14ac:dyDescent="0.3">
      <c r="A470" s="76"/>
      <c r="B470" s="69"/>
      <c r="C470" s="67" t="str">
        <f>IF(B470="","",IFERROR(INDEX(Projects!$B$5:$B$104,MATCH(B470,Projects!$A$5:$A$104,0)),"?"))</f>
        <v/>
      </c>
      <c r="D470" s="73"/>
      <c r="E470" s="73"/>
      <c r="F470" s="73"/>
      <c r="G470" s="73"/>
      <c r="H470" s="75" t="str">
        <f t="shared" si="35"/>
        <v/>
      </c>
      <c r="I470" s="75" t="str">
        <f t="shared" si="36"/>
        <v/>
      </c>
      <c r="J470" s="77" t="str">
        <f t="shared" si="37"/>
        <v/>
      </c>
      <c r="K470" s="77" t="str">
        <f t="shared" si="38"/>
        <v/>
      </c>
      <c r="L470" s="78" t="str">
        <f t="shared" si="39"/>
        <v/>
      </c>
      <c r="M470" s="69"/>
    </row>
    <row r="471" spans="1:13" x14ac:dyDescent="0.3">
      <c r="A471" s="76"/>
      <c r="B471" s="69"/>
      <c r="C471" s="67" t="str">
        <f>IF(B471="","",IFERROR(INDEX(Projects!$B$5:$B$104,MATCH(B471,Projects!$A$5:$A$104,0)),"?"))</f>
        <v/>
      </c>
      <c r="D471" s="73"/>
      <c r="E471" s="73"/>
      <c r="F471" s="73"/>
      <c r="G471" s="73"/>
      <c r="H471" s="75" t="str">
        <f t="shared" si="35"/>
        <v/>
      </c>
      <c r="I471" s="75" t="str">
        <f t="shared" si="36"/>
        <v/>
      </c>
      <c r="J471" s="77" t="str">
        <f t="shared" si="37"/>
        <v/>
      </c>
      <c r="K471" s="77" t="str">
        <f t="shared" si="38"/>
        <v/>
      </c>
      <c r="L471" s="78" t="str">
        <f t="shared" si="39"/>
        <v/>
      </c>
      <c r="M471" s="69"/>
    </row>
    <row r="472" spans="1:13" x14ac:dyDescent="0.3">
      <c r="A472" s="76"/>
      <c r="B472" s="69"/>
      <c r="C472" s="67" t="str">
        <f>IF(B472="","",IFERROR(INDEX(Projects!$B$5:$B$104,MATCH(B472,Projects!$A$5:$A$104,0)),"?"))</f>
        <v/>
      </c>
      <c r="D472" s="73"/>
      <c r="E472" s="73"/>
      <c r="F472" s="73"/>
      <c r="G472" s="73"/>
      <c r="H472" s="75" t="str">
        <f t="shared" si="35"/>
        <v/>
      </c>
      <c r="I472" s="75" t="str">
        <f t="shared" si="36"/>
        <v/>
      </c>
      <c r="J472" s="77" t="str">
        <f t="shared" si="37"/>
        <v/>
      </c>
      <c r="K472" s="77" t="str">
        <f t="shared" si="38"/>
        <v/>
      </c>
      <c r="L472" s="78" t="str">
        <f t="shared" si="39"/>
        <v/>
      </c>
      <c r="M472" s="69"/>
    </row>
    <row r="473" spans="1:13" x14ac:dyDescent="0.3">
      <c r="A473" s="76"/>
      <c r="B473" s="69"/>
      <c r="C473" s="67" t="str">
        <f>IF(B473="","",IFERROR(INDEX(Projects!$B$5:$B$104,MATCH(B473,Projects!$A$5:$A$104,0)),"?"))</f>
        <v/>
      </c>
      <c r="D473" s="73"/>
      <c r="E473" s="73"/>
      <c r="F473" s="73"/>
      <c r="G473" s="73"/>
      <c r="H473" s="75" t="str">
        <f t="shared" si="35"/>
        <v/>
      </c>
      <c r="I473" s="75" t="str">
        <f t="shared" si="36"/>
        <v/>
      </c>
      <c r="J473" s="77" t="str">
        <f t="shared" si="37"/>
        <v/>
      </c>
      <c r="K473" s="77" t="str">
        <f t="shared" si="38"/>
        <v/>
      </c>
      <c r="L473" s="78" t="str">
        <f t="shared" si="39"/>
        <v/>
      </c>
      <c r="M473" s="69"/>
    </row>
    <row r="474" spans="1:13" x14ac:dyDescent="0.3">
      <c r="A474" s="76"/>
      <c r="B474" s="69"/>
      <c r="C474" s="67" t="str">
        <f>IF(B474="","",IFERROR(INDEX(Projects!$B$5:$B$104,MATCH(B474,Projects!$A$5:$A$104,0)),"?"))</f>
        <v/>
      </c>
      <c r="D474" s="73"/>
      <c r="E474" s="73"/>
      <c r="F474" s="73"/>
      <c r="G474" s="73"/>
      <c r="H474" s="75" t="str">
        <f t="shared" si="35"/>
        <v/>
      </c>
      <c r="I474" s="75" t="str">
        <f t="shared" si="36"/>
        <v/>
      </c>
      <c r="J474" s="77" t="str">
        <f t="shared" si="37"/>
        <v/>
      </c>
      <c r="K474" s="77" t="str">
        <f t="shared" si="38"/>
        <v/>
      </c>
      <c r="L474" s="78" t="str">
        <f t="shared" si="39"/>
        <v/>
      </c>
      <c r="M474" s="69"/>
    </row>
    <row r="475" spans="1:13" x14ac:dyDescent="0.3">
      <c r="A475" s="76"/>
      <c r="B475" s="69"/>
      <c r="C475" s="67" t="str">
        <f>IF(B475="","",IFERROR(INDEX(Projects!$B$5:$B$104,MATCH(B475,Projects!$A$5:$A$104,0)),"?"))</f>
        <v/>
      </c>
      <c r="D475" s="73"/>
      <c r="E475" s="73"/>
      <c r="F475" s="73"/>
      <c r="G475" s="73"/>
      <c r="H475" s="75" t="str">
        <f t="shared" si="35"/>
        <v/>
      </c>
      <c r="I475" s="75" t="str">
        <f t="shared" si="36"/>
        <v/>
      </c>
      <c r="J475" s="77" t="str">
        <f t="shared" si="37"/>
        <v/>
      </c>
      <c r="K475" s="77" t="str">
        <f t="shared" si="38"/>
        <v/>
      </c>
      <c r="L475" s="78" t="str">
        <f t="shared" si="39"/>
        <v/>
      </c>
      <c r="M475" s="69"/>
    </row>
    <row r="476" spans="1:13" x14ac:dyDescent="0.3">
      <c r="A476" s="76"/>
      <c r="B476" s="69"/>
      <c r="C476" s="67" t="str">
        <f>IF(B476="","",IFERROR(INDEX(Projects!$B$5:$B$104,MATCH(B476,Projects!$A$5:$A$104,0)),"?"))</f>
        <v/>
      </c>
      <c r="D476" s="73"/>
      <c r="E476" s="73"/>
      <c r="F476" s="73"/>
      <c r="G476" s="73"/>
      <c r="H476" s="75" t="str">
        <f t="shared" si="35"/>
        <v/>
      </c>
      <c r="I476" s="75" t="str">
        <f t="shared" si="36"/>
        <v/>
      </c>
      <c r="J476" s="77" t="str">
        <f t="shared" si="37"/>
        <v/>
      </c>
      <c r="K476" s="77" t="str">
        <f t="shared" si="38"/>
        <v/>
      </c>
      <c r="L476" s="78" t="str">
        <f t="shared" si="39"/>
        <v/>
      </c>
      <c r="M476" s="69"/>
    </row>
    <row r="477" spans="1:13" x14ac:dyDescent="0.3">
      <c r="A477" s="76"/>
      <c r="B477" s="69"/>
      <c r="C477" s="67" t="str">
        <f>IF(B477="","",IFERROR(INDEX(Projects!$B$5:$B$104,MATCH(B477,Projects!$A$5:$A$104,0)),"?"))</f>
        <v/>
      </c>
      <c r="D477" s="73"/>
      <c r="E477" s="73"/>
      <c r="F477" s="73"/>
      <c r="G477" s="73"/>
      <c r="H477" s="75" t="str">
        <f t="shared" si="35"/>
        <v/>
      </c>
      <c r="I477" s="75" t="str">
        <f t="shared" si="36"/>
        <v/>
      </c>
      <c r="J477" s="77" t="str">
        <f t="shared" si="37"/>
        <v/>
      </c>
      <c r="K477" s="77" t="str">
        <f t="shared" si="38"/>
        <v/>
      </c>
      <c r="L477" s="78" t="str">
        <f t="shared" si="39"/>
        <v/>
      </c>
      <c r="M477" s="69"/>
    </row>
    <row r="478" spans="1:13" x14ac:dyDescent="0.3">
      <c r="A478" s="76"/>
      <c r="B478" s="69"/>
      <c r="C478" s="67" t="str">
        <f>IF(B478="","",IFERROR(INDEX(Projects!$B$5:$B$104,MATCH(B478,Projects!$A$5:$A$104,0)),"?"))</f>
        <v/>
      </c>
      <c r="D478" s="73"/>
      <c r="E478" s="73"/>
      <c r="F478" s="73"/>
      <c r="G478" s="73"/>
      <c r="H478" s="75" t="str">
        <f t="shared" si="35"/>
        <v/>
      </c>
      <c r="I478" s="75" t="str">
        <f t="shared" si="36"/>
        <v/>
      </c>
      <c r="J478" s="77" t="str">
        <f t="shared" si="37"/>
        <v/>
      </c>
      <c r="K478" s="77" t="str">
        <f t="shared" si="38"/>
        <v/>
      </c>
      <c r="L478" s="78" t="str">
        <f t="shared" si="39"/>
        <v/>
      </c>
      <c r="M478" s="69"/>
    </row>
    <row r="479" spans="1:13" x14ac:dyDescent="0.3">
      <c r="A479" s="76"/>
      <c r="B479" s="69"/>
      <c r="C479" s="67" t="str">
        <f>IF(B479="","",IFERROR(INDEX(Projects!$B$5:$B$104,MATCH(B479,Projects!$A$5:$A$104,0)),"?"))</f>
        <v/>
      </c>
      <c r="D479" s="73"/>
      <c r="E479" s="73"/>
      <c r="F479" s="73"/>
      <c r="G479" s="73"/>
      <c r="H479" s="75" t="str">
        <f t="shared" si="35"/>
        <v/>
      </c>
      <c r="I479" s="75" t="str">
        <f t="shared" si="36"/>
        <v/>
      </c>
      <c r="J479" s="77" t="str">
        <f t="shared" si="37"/>
        <v/>
      </c>
      <c r="K479" s="77" t="str">
        <f t="shared" si="38"/>
        <v/>
      </c>
      <c r="L479" s="78" t="str">
        <f t="shared" si="39"/>
        <v/>
      </c>
      <c r="M479" s="69"/>
    </row>
    <row r="480" spans="1:13" x14ac:dyDescent="0.3">
      <c r="A480" s="76"/>
      <c r="B480" s="69"/>
      <c r="C480" s="67" t="str">
        <f>IF(B480="","",IFERROR(INDEX(Projects!$B$5:$B$104,MATCH(B480,Projects!$A$5:$A$104,0)),"?"))</f>
        <v/>
      </c>
      <c r="D480" s="73"/>
      <c r="E480" s="73"/>
      <c r="F480" s="73"/>
      <c r="G480" s="73"/>
      <c r="H480" s="75" t="str">
        <f t="shared" si="35"/>
        <v/>
      </c>
      <c r="I480" s="75" t="str">
        <f t="shared" si="36"/>
        <v/>
      </c>
      <c r="J480" s="77" t="str">
        <f t="shared" si="37"/>
        <v/>
      </c>
      <c r="K480" s="77" t="str">
        <f t="shared" si="38"/>
        <v/>
      </c>
      <c r="L480" s="78" t="str">
        <f t="shared" si="39"/>
        <v/>
      </c>
      <c r="M480" s="69"/>
    </row>
    <row r="481" spans="1:13" x14ac:dyDescent="0.3">
      <c r="A481" s="76"/>
      <c r="B481" s="69"/>
      <c r="C481" s="67" t="str">
        <f>IF(B481="","",IFERROR(INDEX(Projects!$B$5:$B$104,MATCH(B481,Projects!$A$5:$A$104,0)),"?"))</f>
        <v/>
      </c>
      <c r="D481" s="73"/>
      <c r="E481" s="73"/>
      <c r="F481" s="73"/>
      <c r="G481" s="73"/>
      <c r="H481" s="75" t="str">
        <f t="shared" si="35"/>
        <v/>
      </c>
      <c r="I481" s="75" t="str">
        <f t="shared" si="36"/>
        <v/>
      </c>
      <c r="J481" s="77" t="str">
        <f t="shared" si="37"/>
        <v/>
      </c>
      <c r="K481" s="77" t="str">
        <f t="shared" si="38"/>
        <v/>
      </c>
      <c r="L481" s="78" t="str">
        <f t="shared" si="39"/>
        <v/>
      </c>
      <c r="M481" s="69"/>
    </row>
    <row r="482" spans="1:13" x14ac:dyDescent="0.3">
      <c r="A482" s="76"/>
      <c r="B482" s="69"/>
      <c r="C482" s="67" t="str">
        <f>IF(B482="","",IFERROR(INDEX(Projects!$B$5:$B$104,MATCH(B482,Projects!$A$5:$A$104,0)),"?"))</f>
        <v/>
      </c>
      <c r="D482" s="73"/>
      <c r="E482" s="73"/>
      <c r="F482" s="73"/>
      <c r="G482" s="73"/>
      <c r="H482" s="75" t="str">
        <f t="shared" si="35"/>
        <v/>
      </c>
      <c r="I482" s="75" t="str">
        <f t="shared" si="36"/>
        <v/>
      </c>
      <c r="J482" s="77" t="str">
        <f t="shared" si="37"/>
        <v/>
      </c>
      <c r="K482" s="77" t="str">
        <f t="shared" si="38"/>
        <v/>
      </c>
      <c r="L482" s="78" t="str">
        <f t="shared" si="39"/>
        <v/>
      </c>
      <c r="M482" s="69"/>
    </row>
    <row r="483" spans="1:13" x14ac:dyDescent="0.3">
      <c r="A483" s="76"/>
      <c r="B483" s="69"/>
      <c r="C483" s="67" t="str">
        <f>IF(B483="","",IFERROR(INDEX(Projects!$B$5:$B$104,MATCH(B483,Projects!$A$5:$A$104,0)),"?"))</f>
        <v/>
      </c>
      <c r="D483" s="73"/>
      <c r="E483" s="73"/>
      <c r="F483" s="73"/>
      <c r="G483" s="73"/>
      <c r="H483" s="75" t="str">
        <f t="shared" si="35"/>
        <v/>
      </c>
      <c r="I483" s="75" t="str">
        <f t="shared" si="36"/>
        <v/>
      </c>
      <c r="J483" s="77" t="str">
        <f t="shared" si="37"/>
        <v/>
      </c>
      <c r="K483" s="77" t="str">
        <f t="shared" si="38"/>
        <v/>
      </c>
      <c r="L483" s="78" t="str">
        <f t="shared" si="39"/>
        <v/>
      </c>
      <c r="M483" s="69"/>
    </row>
    <row r="484" spans="1:13" x14ac:dyDescent="0.3">
      <c r="A484" s="76"/>
      <c r="B484" s="69"/>
      <c r="C484" s="67" t="str">
        <f>IF(B484="","",IFERROR(INDEX(Projects!$B$5:$B$104,MATCH(B484,Projects!$A$5:$A$104,0)),"?"))</f>
        <v/>
      </c>
      <c r="D484" s="73"/>
      <c r="E484" s="73"/>
      <c r="F484" s="73"/>
      <c r="G484" s="73"/>
      <c r="H484" s="75" t="str">
        <f t="shared" si="35"/>
        <v/>
      </c>
      <c r="I484" s="75" t="str">
        <f t="shared" si="36"/>
        <v/>
      </c>
      <c r="J484" s="77" t="str">
        <f t="shared" si="37"/>
        <v/>
      </c>
      <c r="K484" s="77" t="str">
        <f t="shared" si="38"/>
        <v/>
      </c>
      <c r="L484" s="78" t="str">
        <f t="shared" si="39"/>
        <v/>
      </c>
      <c r="M484" s="69"/>
    </row>
    <row r="485" spans="1:13" x14ac:dyDescent="0.3">
      <c r="A485" s="76"/>
      <c r="B485" s="69"/>
      <c r="C485" s="67" t="str">
        <f>IF(B485="","",IFERROR(INDEX(Projects!$B$5:$B$104,MATCH(B485,Projects!$A$5:$A$104,0)),"?"))</f>
        <v/>
      </c>
      <c r="D485" s="73"/>
      <c r="E485" s="73"/>
      <c r="F485" s="73"/>
      <c r="G485" s="73"/>
      <c r="H485" s="75" t="str">
        <f t="shared" si="35"/>
        <v/>
      </c>
      <c r="I485" s="75" t="str">
        <f t="shared" si="36"/>
        <v/>
      </c>
      <c r="J485" s="77" t="str">
        <f t="shared" si="37"/>
        <v/>
      </c>
      <c r="K485" s="77" t="str">
        <f t="shared" si="38"/>
        <v/>
      </c>
      <c r="L485" s="78" t="str">
        <f t="shared" si="39"/>
        <v/>
      </c>
      <c r="M485" s="69"/>
    </row>
    <row r="486" spans="1:13" x14ac:dyDescent="0.3">
      <c r="A486" s="76"/>
      <c r="B486" s="69"/>
      <c r="C486" s="67" t="str">
        <f>IF(B486="","",IFERROR(INDEX(Projects!$B$5:$B$104,MATCH(B486,Projects!$A$5:$A$104,0)),"?"))</f>
        <v/>
      </c>
      <c r="D486" s="73"/>
      <c r="E486" s="73"/>
      <c r="F486" s="73"/>
      <c r="G486" s="73"/>
      <c r="H486" s="75" t="str">
        <f t="shared" si="35"/>
        <v/>
      </c>
      <c r="I486" s="75" t="str">
        <f t="shared" si="36"/>
        <v/>
      </c>
      <c r="J486" s="77" t="str">
        <f t="shared" si="37"/>
        <v/>
      </c>
      <c r="K486" s="77" t="str">
        <f t="shared" si="38"/>
        <v/>
      </c>
      <c r="L486" s="78" t="str">
        <f t="shared" si="39"/>
        <v/>
      </c>
      <c r="M486" s="69"/>
    </row>
    <row r="487" spans="1:13" x14ac:dyDescent="0.3">
      <c r="A487" s="76"/>
      <c r="B487" s="69"/>
      <c r="C487" s="67" t="str">
        <f>IF(B487="","",IFERROR(INDEX(Projects!$B$5:$B$104,MATCH(B487,Projects!$A$5:$A$104,0)),"?"))</f>
        <v/>
      </c>
      <c r="D487" s="73"/>
      <c r="E487" s="73"/>
      <c r="F487" s="73"/>
      <c r="G487" s="73"/>
      <c r="H487" s="75" t="str">
        <f t="shared" si="35"/>
        <v/>
      </c>
      <c r="I487" s="75" t="str">
        <f t="shared" si="36"/>
        <v/>
      </c>
      <c r="J487" s="77" t="str">
        <f t="shared" si="37"/>
        <v/>
      </c>
      <c r="K487" s="77" t="str">
        <f t="shared" si="38"/>
        <v/>
      </c>
      <c r="L487" s="78" t="str">
        <f t="shared" si="39"/>
        <v/>
      </c>
      <c r="M487" s="69"/>
    </row>
    <row r="488" spans="1:13" x14ac:dyDescent="0.3">
      <c r="A488" s="76"/>
      <c r="B488" s="69"/>
      <c r="C488" s="67" t="str">
        <f>IF(B488="","",IFERROR(INDEX(Projects!$B$5:$B$104,MATCH(B488,Projects!$A$5:$A$104,0)),"?"))</f>
        <v/>
      </c>
      <c r="D488" s="73"/>
      <c r="E488" s="73"/>
      <c r="F488" s="73"/>
      <c r="G488" s="73"/>
      <c r="H488" s="75" t="str">
        <f t="shared" si="35"/>
        <v/>
      </c>
      <c r="I488" s="75" t="str">
        <f t="shared" si="36"/>
        <v/>
      </c>
      <c r="J488" s="77" t="str">
        <f t="shared" si="37"/>
        <v/>
      </c>
      <c r="K488" s="77" t="str">
        <f t="shared" si="38"/>
        <v/>
      </c>
      <c r="L488" s="78" t="str">
        <f t="shared" si="39"/>
        <v/>
      </c>
      <c r="M488" s="69"/>
    </row>
    <row r="489" spans="1:13" x14ac:dyDescent="0.3">
      <c r="A489" s="76"/>
      <c r="B489" s="69"/>
      <c r="C489" s="67" t="str">
        <f>IF(B489="","",IFERROR(INDEX(Projects!$B$5:$B$104,MATCH(B489,Projects!$A$5:$A$104,0)),"?"))</f>
        <v/>
      </c>
      <c r="D489" s="73"/>
      <c r="E489" s="73"/>
      <c r="F489" s="73"/>
      <c r="G489" s="73"/>
      <c r="H489" s="75" t="str">
        <f t="shared" si="35"/>
        <v/>
      </c>
      <c r="I489" s="75" t="str">
        <f t="shared" si="36"/>
        <v/>
      </c>
      <c r="J489" s="77" t="str">
        <f t="shared" si="37"/>
        <v/>
      </c>
      <c r="K489" s="77" t="str">
        <f t="shared" si="38"/>
        <v/>
      </c>
      <c r="L489" s="78" t="str">
        <f t="shared" si="39"/>
        <v/>
      </c>
      <c r="M489" s="69"/>
    </row>
    <row r="490" spans="1:13" x14ac:dyDescent="0.3">
      <c r="A490" s="76"/>
      <c r="B490" s="69"/>
      <c r="C490" s="67" t="str">
        <f>IF(B490="","",IFERROR(INDEX(Projects!$B$5:$B$104,MATCH(B490,Projects!$A$5:$A$104,0)),"?"))</f>
        <v/>
      </c>
      <c r="D490" s="73"/>
      <c r="E490" s="73"/>
      <c r="F490" s="73"/>
      <c r="G490" s="73"/>
      <c r="H490" s="75" t="str">
        <f t="shared" si="35"/>
        <v/>
      </c>
      <c r="I490" s="75" t="str">
        <f t="shared" si="36"/>
        <v/>
      </c>
      <c r="J490" s="77" t="str">
        <f t="shared" si="37"/>
        <v/>
      </c>
      <c r="K490" s="77" t="str">
        <f t="shared" si="38"/>
        <v/>
      </c>
      <c r="L490" s="78" t="str">
        <f t="shared" si="39"/>
        <v/>
      </c>
      <c r="M490" s="69"/>
    </row>
    <row r="491" spans="1:13" x14ac:dyDescent="0.3">
      <c r="A491" s="76"/>
      <c r="B491" s="69"/>
      <c r="C491" s="67" t="str">
        <f>IF(B491="","",IFERROR(INDEX(Projects!$B$5:$B$104,MATCH(B491,Projects!$A$5:$A$104,0)),"?"))</f>
        <v/>
      </c>
      <c r="D491" s="73"/>
      <c r="E491" s="73"/>
      <c r="F491" s="73"/>
      <c r="G491" s="73"/>
      <c r="H491" s="75" t="str">
        <f t="shared" si="35"/>
        <v/>
      </c>
      <c r="I491" s="75" t="str">
        <f t="shared" si="36"/>
        <v/>
      </c>
      <c r="J491" s="77" t="str">
        <f t="shared" si="37"/>
        <v/>
      </c>
      <c r="K491" s="77" t="str">
        <f t="shared" si="38"/>
        <v/>
      </c>
      <c r="L491" s="78" t="str">
        <f t="shared" si="39"/>
        <v/>
      </c>
      <c r="M491" s="69"/>
    </row>
    <row r="492" spans="1:13" x14ac:dyDescent="0.3">
      <c r="A492" s="76"/>
      <c r="B492" s="69"/>
      <c r="C492" s="67" t="str">
        <f>IF(B492="","",IFERROR(INDEX(Projects!$B$5:$B$104,MATCH(B492,Projects!$A$5:$A$104,0)),"?"))</f>
        <v/>
      </c>
      <c r="D492" s="73"/>
      <c r="E492" s="73"/>
      <c r="F492" s="73"/>
      <c r="G492" s="73"/>
      <c r="H492" s="75" t="str">
        <f t="shared" si="35"/>
        <v/>
      </c>
      <c r="I492" s="75" t="str">
        <f t="shared" si="36"/>
        <v/>
      </c>
      <c r="J492" s="77" t="str">
        <f t="shared" si="37"/>
        <v/>
      </c>
      <c r="K492" s="77" t="str">
        <f t="shared" si="38"/>
        <v/>
      </c>
      <c r="L492" s="78" t="str">
        <f t="shared" si="39"/>
        <v/>
      </c>
      <c r="M492" s="69"/>
    </row>
    <row r="493" spans="1:13" x14ac:dyDescent="0.3">
      <c r="A493" s="76"/>
      <c r="B493" s="69"/>
      <c r="C493" s="67" t="str">
        <f>IF(B493="","",IFERROR(INDEX(Projects!$B$5:$B$104,MATCH(B493,Projects!$A$5:$A$104,0)),"?"))</f>
        <v/>
      </c>
      <c r="D493" s="73"/>
      <c r="E493" s="73"/>
      <c r="F493" s="73"/>
      <c r="G493" s="73"/>
      <c r="H493" s="75" t="str">
        <f t="shared" si="35"/>
        <v/>
      </c>
      <c r="I493" s="75" t="str">
        <f t="shared" si="36"/>
        <v/>
      </c>
      <c r="J493" s="77" t="str">
        <f t="shared" si="37"/>
        <v/>
      </c>
      <c r="K493" s="77" t="str">
        <f t="shared" si="38"/>
        <v/>
      </c>
      <c r="L493" s="78" t="str">
        <f t="shared" si="39"/>
        <v/>
      </c>
      <c r="M493" s="69"/>
    </row>
    <row r="494" spans="1:13" x14ac:dyDescent="0.3">
      <c r="A494" s="76"/>
      <c r="B494" s="69"/>
      <c r="C494" s="67" t="str">
        <f>IF(B494="","",IFERROR(INDEX(Projects!$B$5:$B$104,MATCH(B494,Projects!$A$5:$A$104,0)),"?"))</f>
        <v/>
      </c>
      <c r="D494" s="73"/>
      <c r="E494" s="73"/>
      <c r="F494" s="73"/>
      <c r="G494" s="73"/>
      <c r="H494" s="75" t="str">
        <f t="shared" si="35"/>
        <v/>
      </c>
      <c r="I494" s="75" t="str">
        <f t="shared" si="36"/>
        <v/>
      </c>
      <c r="J494" s="77" t="str">
        <f t="shared" si="37"/>
        <v/>
      </c>
      <c r="K494" s="77" t="str">
        <f t="shared" si="38"/>
        <v/>
      </c>
      <c r="L494" s="78" t="str">
        <f t="shared" si="39"/>
        <v/>
      </c>
      <c r="M494" s="69"/>
    </row>
    <row r="495" spans="1:13" x14ac:dyDescent="0.3">
      <c r="A495" s="76"/>
      <c r="B495" s="69"/>
      <c r="C495" s="67" t="str">
        <f>IF(B495="","",IFERROR(INDEX(Projects!$B$5:$B$104,MATCH(B495,Projects!$A$5:$A$104,0)),"?"))</f>
        <v/>
      </c>
      <c r="D495" s="73"/>
      <c r="E495" s="73"/>
      <c r="F495" s="73"/>
      <c r="G495" s="73"/>
      <c r="H495" s="75" t="str">
        <f t="shared" si="35"/>
        <v/>
      </c>
      <c r="I495" s="75" t="str">
        <f t="shared" si="36"/>
        <v/>
      </c>
      <c r="J495" s="77" t="str">
        <f t="shared" si="37"/>
        <v/>
      </c>
      <c r="K495" s="77" t="str">
        <f t="shared" si="38"/>
        <v/>
      </c>
      <c r="L495" s="78" t="str">
        <f t="shared" si="39"/>
        <v/>
      </c>
      <c r="M495" s="69"/>
    </row>
    <row r="496" spans="1:13" x14ac:dyDescent="0.3">
      <c r="A496" s="76"/>
      <c r="B496" s="69"/>
      <c r="C496" s="67" t="str">
        <f>IF(B496="","",IFERROR(INDEX(Projects!$B$5:$B$104,MATCH(B496,Projects!$A$5:$A$104,0)),"?"))</f>
        <v/>
      </c>
      <c r="D496" s="73"/>
      <c r="E496" s="73"/>
      <c r="F496" s="73"/>
      <c r="G496" s="73"/>
      <c r="H496" s="75" t="str">
        <f t="shared" si="35"/>
        <v/>
      </c>
      <c r="I496" s="75" t="str">
        <f t="shared" si="36"/>
        <v/>
      </c>
      <c r="J496" s="77" t="str">
        <f t="shared" si="37"/>
        <v/>
      </c>
      <c r="K496" s="77" t="str">
        <f t="shared" si="38"/>
        <v/>
      </c>
      <c r="L496" s="78" t="str">
        <f t="shared" si="39"/>
        <v/>
      </c>
      <c r="M496" s="69"/>
    </row>
    <row r="497" spans="1:13" x14ac:dyDescent="0.3">
      <c r="A497" s="76"/>
      <c r="B497" s="69"/>
      <c r="C497" s="67" t="str">
        <f>IF(B497="","",IFERROR(INDEX(Projects!$B$5:$B$104,MATCH(B497,Projects!$A$5:$A$104,0)),"?"))</f>
        <v/>
      </c>
      <c r="D497" s="73"/>
      <c r="E497" s="73"/>
      <c r="F497" s="73"/>
      <c r="G497" s="73"/>
      <c r="H497" s="75" t="str">
        <f t="shared" si="35"/>
        <v/>
      </c>
      <c r="I497" s="75" t="str">
        <f t="shared" si="36"/>
        <v/>
      </c>
      <c r="J497" s="77" t="str">
        <f t="shared" si="37"/>
        <v/>
      </c>
      <c r="K497" s="77" t="str">
        <f t="shared" si="38"/>
        <v/>
      </c>
      <c r="L497" s="78" t="str">
        <f t="shared" si="39"/>
        <v/>
      </c>
      <c r="M497" s="69"/>
    </row>
    <row r="498" spans="1:13" x14ac:dyDescent="0.3">
      <c r="A498" s="76"/>
      <c r="B498" s="69"/>
      <c r="C498" s="67" t="str">
        <f>IF(B498="","",IFERROR(INDEX(Projects!$B$5:$B$104,MATCH(B498,Projects!$A$5:$A$104,0)),"?"))</f>
        <v/>
      </c>
      <c r="D498" s="73"/>
      <c r="E498" s="73"/>
      <c r="F498" s="73"/>
      <c r="G498" s="73"/>
      <c r="H498" s="75" t="str">
        <f t="shared" si="35"/>
        <v/>
      </c>
      <c r="I498" s="75" t="str">
        <f t="shared" si="36"/>
        <v/>
      </c>
      <c r="J498" s="77" t="str">
        <f t="shared" si="37"/>
        <v/>
      </c>
      <c r="K498" s="77" t="str">
        <f t="shared" si="38"/>
        <v/>
      </c>
      <c r="L498" s="78" t="str">
        <f t="shared" si="39"/>
        <v/>
      </c>
      <c r="M498" s="69"/>
    </row>
    <row r="499" spans="1:13" x14ac:dyDescent="0.3">
      <c r="A499" s="76"/>
      <c r="B499" s="69"/>
      <c r="C499" s="67" t="str">
        <f>IF(B499="","",IFERROR(INDEX(Projects!$B$5:$B$104,MATCH(B499,Projects!$A$5:$A$104,0)),"?"))</f>
        <v/>
      </c>
      <c r="D499" s="73"/>
      <c r="E499" s="73"/>
      <c r="F499" s="73"/>
      <c r="G499" s="73"/>
      <c r="H499" s="75" t="str">
        <f t="shared" si="35"/>
        <v/>
      </c>
      <c r="I499" s="75" t="str">
        <f t="shared" si="36"/>
        <v/>
      </c>
      <c r="J499" s="77" t="str">
        <f t="shared" si="37"/>
        <v/>
      </c>
      <c r="K499" s="77" t="str">
        <f t="shared" si="38"/>
        <v/>
      </c>
      <c r="L499" s="78" t="str">
        <f t="shared" si="39"/>
        <v/>
      </c>
      <c r="M499" s="69"/>
    </row>
    <row r="500" spans="1:13" x14ac:dyDescent="0.3">
      <c r="A500" s="76"/>
      <c r="B500" s="69"/>
      <c r="C500" s="67" t="str">
        <f>IF(B500="","",IFERROR(INDEX(Projects!$B$5:$B$104,MATCH(B500,Projects!$A$5:$A$104,0)),"?"))</f>
        <v/>
      </c>
      <c r="D500" s="73"/>
      <c r="E500" s="73"/>
      <c r="F500" s="73"/>
      <c r="G500" s="73"/>
      <c r="H500" s="75" t="str">
        <f t="shared" si="35"/>
        <v/>
      </c>
      <c r="I500" s="75" t="str">
        <f t="shared" si="36"/>
        <v/>
      </c>
      <c r="J500" s="77" t="str">
        <f t="shared" si="37"/>
        <v/>
      </c>
      <c r="K500" s="77" t="str">
        <f t="shared" si="38"/>
        <v/>
      </c>
      <c r="L500" s="78" t="str">
        <f t="shared" si="39"/>
        <v/>
      </c>
      <c r="M500" s="69"/>
    </row>
    <row r="501" spans="1:13" x14ac:dyDescent="0.3">
      <c r="A501" s="76"/>
      <c r="B501" s="69"/>
      <c r="C501" s="67" t="str">
        <f>IF(B501="","",IFERROR(INDEX(Projects!$B$5:$B$104,MATCH(B501,Projects!$A$5:$A$104,0)),"?"))</f>
        <v/>
      </c>
      <c r="D501" s="73"/>
      <c r="E501" s="73"/>
      <c r="F501" s="73"/>
      <c r="G501" s="73"/>
      <c r="H501" s="75" t="str">
        <f t="shared" si="35"/>
        <v/>
      </c>
      <c r="I501" s="75" t="str">
        <f t="shared" si="36"/>
        <v/>
      </c>
      <c r="J501" s="77" t="str">
        <f t="shared" si="37"/>
        <v/>
      </c>
      <c r="K501" s="77" t="str">
        <f t="shared" si="38"/>
        <v/>
      </c>
      <c r="L501" s="78" t="str">
        <f t="shared" si="39"/>
        <v/>
      </c>
      <c r="M501" s="69"/>
    </row>
    <row r="502" spans="1:13" x14ac:dyDescent="0.3">
      <c r="A502" s="76"/>
      <c r="B502" s="69"/>
      <c r="C502" s="67" t="str">
        <f>IF(B502="","",IFERROR(INDEX(Projects!$B$5:$B$104,MATCH(B502,Projects!$A$5:$A$104,0)),"?"))</f>
        <v/>
      </c>
      <c r="D502" s="73"/>
      <c r="E502" s="73"/>
      <c r="F502" s="73"/>
      <c r="G502" s="73"/>
      <c r="H502" s="75" t="str">
        <f t="shared" si="35"/>
        <v/>
      </c>
      <c r="I502" s="75" t="str">
        <f t="shared" si="36"/>
        <v/>
      </c>
      <c r="J502" s="77" t="str">
        <f t="shared" si="37"/>
        <v/>
      </c>
      <c r="K502" s="77" t="str">
        <f t="shared" si="38"/>
        <v/>
      </c>
      <c r="L502" s="78" t="str">
        <f t="shared" si="39"/>
        <v/>
      </c>
      <c r="M502" s="69"/>
    </row>
    <row r="503" spans="1:13" x14ac:dyDescent="0.3">
      <c r="A503" s="76"/>
      <c r="B503" s="69"/>
      <c r="C503" s="67" t="str">
        <f>IF(B503="","",IFERROR(INDEX(Projects!$B$5:$B$104,MATCH(B503,Projects!$A$5:$A$104,0)),"?"))</f>
        <v/>
      </c>
      <c r="D503" s="73"/>
      <c r="E503" s="73"/>
      <c r="F503" s="73"/>
      <c r="G503" s="73"/>
      <c r="H503" s="75" t="str">
        <f t="shared" si="35"/>
        <v/>
      </c>
      <c r="I503" s="75" t="str">
        <f t="shared" si="36"/>
        <v/>
      </c>
      <c r="J503" s="77" t="str">
        <f t="shared" si="37"/>
        <v/>
      </c>
      <c r="K503" s="77" t="str">
        <f t="shared" si="38"/>
        <v/>
      </c>
      <c r="L503" s="78" t="str">
        <f t="shared" si="39"/>
        <v/>
      </c>
      <c r="M503" s="69"/>
    </row>
    <row r="504" spans="1:13" x14ac:dyDescent="0.3">
      <c r="A504" s="76"/>
      <c r="B504" s="69"/>
      <c r="C504" s="67" t="str">
        <f>IF(B504="","",IFERROR(INDEX(Projects!$B$5:$B$104,MATCH(B504,Projects!$A$5:$A$104,0)),"?"))</f>
        <v/>
      </c>
      <c r="D504" s="73"/>
      <c r="E504" s="73"/>
      <c r="F504" s="73"/>
      <c r="G504" s="73"/>
      <c r="H504" s="75" t="str">
        <f t="shared" si="35"/>
        <v/>
      </c>
      <c r="I504" s="75" t="str">
        <f t="shared" si="36"/>
        <v/>
      </c>
      <c r="J504" s="77" t="str">
        <f t="shared" si="37"/>
        <v/>
      </c>
      <c r="K504" s="77" t="str">
        <f t="shared" si="38"/>
        <v/>
      </c>
      <c r="L504" s="78" t="str">
        <f t="shared" si="39"/>
        <v/>
      </c>
      <c r="M504" s="69"/>
    </row>
  </sheetData>
  <conditionalFormatting sqref="J5:K504">
    <cfRule type="cellIs" dxfId="7" priority="2" operator="lessThan">
      <formula>0.95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entry" error="Pick a value from the list" xr:uid="{00000000-0002-0000-0800-000000000000}">
          <x14:formula1>
            <xm:f>Projects!$A$5:$A$104</xm:f>
          </x14:formula1>
          <x14:formula2>
            <xm:f>0</xm:f>
          </x14:formula2>
          <xm:sqref>B5:B504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235"/>
  </sheetPr>
  <dimension ref="A1:N5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9" customWidth="1"/>
    <col min="2" max="2" width="10" customWidth="1"/>
    <col min="3" max="3" width="12" customWidth="1"/>
    <col min="4" max="4" width="40" customWidth="1"/>
    <col min="5" max="5" width="11" customWidth="1"/>
    <col min="6" max="6" width="13" customWidth="1"/>
    <col min="7" max="7" width="12" customWidth="1"/>
    <col min="8" max="9" width="11" customWidth="1"/>
    <col min="10" max="10" width="12" customWidth="1"/>
    <col min="11" max="12" width="11" customWidth="1"/>
    <col min="13" max="13" width="13" customWidth="1"/>
    <col min="14" max="14" width="28" customWidth="1"/>
  </cols>
  <sheetData>
    <row r="1" spans="1:14" ht="21" x14ac:dyDescent="0.4">
      <c r="A1" s="40" t="s">
        <v>359</v>
      </c>
    </row>
    <row r="2" spans="1:14" x14ac:dyDescent="0.3">
      <c r="A2" s="41" t="s">
        <v>360</v>
      </c>
    </row>
    <row r="4" spans="1:14" ht="31.5" customHeight="1" x14ac:dyDescent="0.3">
      <c r="A4" s="42" t="s">
        <v>361</v>
      </c>
      <c r="B4" s="42" t="s">
        <v>308</v>
      </c>
      <c r="C4" s="42" t="s">
        <v>362</v>
      </c>
      <c r="D4" s="42" t="s">
        <v>363</v>
      </c>
      <c r="E4" s="42" t="s">
        <v>364</v>
      </c>
      <c r="F4" s="42" t="s">
        <v>365</v>
      </c>
      <c r="G4" s="42" t="s">
        <v>366</v>
      </c>
      <c r="H4" s="42" t="s">
        <v>367</v>
      </c>
      <c r="I4" s="42" t="s">
        <v>368</v>
      </c>
      <c r="J4" s="42" t="s">
        <v>369</v>
      </c>
      <c r="K4" s="42" t="s">
        <v>370</v>
      </c>
      <c r="L4" s="42" t="s">
        <v>371</v>
      </c>
      <c r="M4" s="42" t="s">
        <v>372</v>
      </c>
      <c r="N4" s="42" t="s">
        <v>269</v>
      </c>
    </row>
    <row r="5" spans="1:14" x14ac:dyDescent="0.3">
      <c r="A5" s="69" t="s">
        <v>373</v>
      </c>
      <c r="B5" s="69" t="s">
        <v>341</v>
      </c>
      <c r="C5" s="68">
        <v>46076</v>
      </c>
      <c r="D5" s="69" t="s">
        <v>374</v>
      </c>
      <c r="E5" s="69" t="s">
        <v>375</v>
      </c>
      <c r="F5" s="69" t="s">
        <v>188</v>
      </c>
      <c r="G5" s="79">
        <v>60000</v>
      </c>
      <c r="H5" s="69">
        <v>3</v>
      </c>
      <c r="I5" s="69" t="s">
        <v>376</v>
      </c>
      <c r="J5" s="68">
        <v>46083</v>
      </c>
      <c r="K5" s="80">
        <f t="shared" ref="K5:K68" si="0">IF(OR(C5="",J5=""),"",J5-C5)</f>
        <v>7</v>
      </c>
      <c r="L5" s="69"/>
      <c r="M5" s="68"/>
      <c r="N5" s="69"/>
    </row>
    <row r="6" spans="1:14" x14ac:dyDescent="0.3">
      <c r="A6" s="69" t="s">
        <v>377</v>
      </c>
      <c r="B6" s="69" t="s">
        <v>335</v>
      </c>
      <c r="C6" s="68">
        <v>46321</v>
      </c>
      <c r="D6" s="69" t="s">
        <v>378</v>
      </c>
      <c r="E6" s="69" t="s">
        <v>379</v>
      </c>
      <c r="F6" s="69" t="s">
        <v>201</v>
      </c>
      <c r="G6" s="79">
        <v>40000</v>
      </c>
      <c r="H6" s="69">
        <v>-2</v>
      </c>
      <c r="I6" s="69" t="s">
        <v>376</v>
      </c>
      <c r="J6" s="68">
        <v>46326</v>
      </c>
      <c r="K6" s="80">
        <f t="shared" si="0"/>
        <v>5</v>
      </c>
      <c r="L6" s="69"/>
      <c r="M6" s="68"/>
      <c r="N6" s="69"/>
    </row>
    <row r="7" spans="1:14" x14ac:dyDescent="0.3">
      <c r="A7" s="69" t="s">
        <v>380</v>
      </c>
      <c r="B7" s="69" t="s">
        <v>345</v>
      </c>
      <c r="C7" s="68">
        <v>46023</v>
      </c>
      <c r="D7" s="69" t="s">
        <v>381</v>
      </c>
      <c r="E7" s="69" t="s">
        <v>379</v>
      </c>
      <c r="F7" s="69" t="s">
        <v>188</v>
      </c>
      <c r="G7" s="79">
        <v>40000</v>
      </c>
      <c r="H7" s="69">
        <v>0</v>
      </c>
      <c r="I7" s="69" t="s">
        <v>382</v>
      </c>
      <c r="J7" s="68">
        <v>46036</v>
      </c>
      <c r="K7" s="80">
        <f t="shared" si="0"/>
        <v>13</v>
      </c>
      <c r="L7" s="69" t="s">
        <v>328</v>
      </c>
      <c r="M7" s="68">
        <v>46050</v>
      </c>
      <c r="N7" s="69"/>
    </row>
    <row r="8" spans="1:14" x14ac:dyDescent="0.3">
      <c r="A8" s="69" t="s">
        <v>383</v>
      </c>
      <c r="B8" s="69" t="s">
        <v>335</v>
      </c>
      <c r="C8" s="68">
        <v>46116</v>
      </c>
      <c r="D8" s="69" t="s">
        <v>384</v>
      </c>
      <c r="E8" s="69" t="s">
        <v>385</v>
      </c>
      <c r="F8" s="69" t="s">
        <v>188</v>
      </c>
      <c r="G8" s="79">
        <v>60000</v>
      </c>
      <c r="H8" s="69">
        <v>0</v>
      </c>
      <c r="I8" s="69" t="s">
        <v>382</v>
      </c>
      <c r="J8" s="68">
        <v>46125</v>
      </c>
      <c r="K8" s="80">
        <f t="shared" si="0"/>
        <v>9</v>
      </c>
      <c r="L8" s="69" t="s">
        <v>328</v>
      </c>
      <c r="M8" s="68">
        <v>46128</v>
      </c>
      <c r="N8" s="69"/>
    </row>
    <row r="9" spans="1:14" x14ac:dyDescent="0.3">
      <c r="A9" s="69" t="s">
        <v>386</v>
      </c>
      <c r="B9" s="69" t="s">
        <v>335</v>
      </c>
      <c r="C9" s="68">
        <v>46066</v>
      </c>
      <c r="D9" s="69" t="s">
        <v>378</v>
      </c>
      <c r="E9" s="69" t="s">
        <v>379</v>
      </c>
      <c r="F9" s="69" t="s">
        <v>194</v>
      </c>
      <c r="G9" s="79">
        <v>-8000</v>
      </c>
      <c r="H9" s="69">
        <v>10</v>
      </c>
      <c r="I9" s="69" t="s">
        <v>382</v>
      </c>
      <c r="J9" s="68">
        <v>46070</v>
      </c>
      <c r="K9" s="80">
        <f t="shared" si="0"/>
        <v>4</v>
      </c>
      <c r="L9" s="69" t="s">
        <v>328</v>
      </c>
      <c r="M9" s="68">
        <v>46083</v>
      </c>
      <c r="N9" s="69"/>
    </row>
    <row r="10" spans="1:14" x14ac:dyDescent="0.3">
      <c r="A10" s="69" t="s">
        <v>387</v>
      </c>
      <c r="B10" s="69" t="s">
        <v>332</v>
      </c>
      <c r="C10" s="68">
        <v>46077</v>
      </c>
      <c r="D10" s="69" t="s">
        <v>388</v>
      </c>
      <c r="E10" s="69" t="s">
        <v>385</v>
      </c>
      <c r="F10" s="69" t="s">
        <v>201</v>
      </c>
      <c r="G10" s="79">
        <v>60000</v>
      </c>
      <c r="H10" s="69">
        <v>7</v>
      </c>
      <c r="I10" s="69" t="s">
        <v>382</v>
      </c>
      <c r="J10" s="68">
        <v>46088</v>
      </c>
      <c r="K10" s="80">
        <f t="shared" si="0"/>
        <v>11</v>
      </c>
      <c r="L10" s="69" t="s">
        <v>338</v>
      </c>
      <c r="M10" s="68"/>
      <c r="N10" s="69"/>
    </row>
    <row r="11" spans="1:14" x14ac:dyDescent="0.3">
      <c r="A11" s="69" t="s">
        <v>389</v>
      </c>
      <c r="B11" s="69" t="s">
        <v>271</v>
      </c>
      <c r="C11" s="68">
        <v>46099</v>
      </c>
      <c r="D11" s="69" t="s">
        <v>390</v>
      </c>
      <c r="E11" s="69" t="s">
        <v>391</v>
      </c>
      <c r="F11" s="69" t="s">
        <v>194</v>
      </c>
      <c r="G11" s="79">
        <v>15000</v>
      </c>
      <c r="H11" s="69">
        <v>3</v>
      </c>
      <c r="I11" s="69" t="s">
        <v>382</v>
      </c>
      <c r="J11" s="68">
        <v>46112</v>
      </c>
      <c r="K11" s="80">
        <f t="shared" si="0"/>
        <v>13</v>
      </c>
      <c r="L11" s="69" t="s">
        <v>328</v>
      </c>
      <c r="M11" s="68">
        <v>46131</v>
      </c>
      <c r="N11" s="69"/>
    </row>
    <row r="12" spans="1:14" x14ac:dyDescent="0.3">
      <c r="A12" s="69" t="s">
        <v>392</v>
      </c>
      <c r="B12" s="69" t="s">
        <v>335</v>
      </c>
      <c r="C12" s="68">
        <v>46031</v>
      </c>
      <c r="D12" s="69" t="s">
        <v>393</v>
      </c>
      <c r="E12" s="69" t="s">
        <v>385</v>
      </c>
      <c r="F12" s="69" t="s">
        <v>194</v>
      </c>
      <c r="G12" s="79">
        <v>15000</v>
      </c>
      <c r="H12" s="69">
        <v>0</v>
      </c>
      <c r="I12" s="69" t="s">
        <v>376</v>
      </c>
      <c r="J12" s="68">
        <v>46038</v>
      </c>
      <c r="K12" s="80">
        <f t="shared" si="0"/>
        <v>7</v>
      </c>
      <c r="L12" s="69"/>
      <c r="M12" s="68"/>
      <c r="N12" s="69"/>
    </row>
    <row r="13" spans="1:14" x14ac:dyDescent="0.3">
      <c r="A13" s="69" t="s">
        <v>394</v>
      </c>
      <c r="B13" s="69" t="s">
        <v>292</v>
      </c>
      <c r="C13" s="68">
        <v>46188</v>
      </c>
      <c r="D13" s="69" t="s">
        <v>378</v>
      </c>
      <c r="E13" s="69" t="s">
        <v>379</v>
      </c>
      <c r="F13" s="69" t="s">
        <v>159</v>
      </c>
      <c r="G13" s="79">
        <v>-8000</v>
      </c>
      <c r="H13" s="69">
        <v>3</v>
      </c>
      <c r="I13" s="69" t="s">
        <v>376</v>
      </c>
      <c r="J13" s="68">
        <v>46192</v>
      </c>
      <c r="K13" s="80">
        <f t="shared" si="0"/>
        <v>4</v>
      </c>
      <c r="L13" s="69"/>
      <c r="M13" s="68"/>
      <c r="N13" s="69"/>
    </row>
    <row r="14" spans="1:14" x14ac:dyDescent="0.3">
      <c r="A14" s="69" t="s">
        <v>395</v>
      </c>
      <c r="B14" s="69" t="s">
        <v>332</v>
      </c>
      <c r="C14" s="68">
        <v>46296</v>
      </c>
      <c r="D14" s="69" t="s">
        <v>381</v>
      </c>
      <c r="E14" s="69" t="s">
        <v>379</v>
      </c>
      <c r="F14" s="69" t="s">
        <v>164</v>
      </c>
      <c r="G14" s="79">
        <v>25000</v>
      </c>
      <c r="H14" s="69">
        <v>0</v>
      </c>
      <c r="I14" s="69" t="s">
        <v>396</v>
      </c>
      <c r="J14" s="68"/>
      <c r="K14" s="80" t="str">
        <f t="shared" si="0"/>
        <v/>
      </c>
      <c r="L14" s="69"/>
      <c r="M14" s="68"/>
      <c r="N14" s="69"/>
    </row>
    <row r="15" spans="1:14" x14ac:dyDescent="0.3">
      <c r="A15" s="69" t="s">
        <v>397</v>
      </c>
      <c r="B15" s="69" t="s">
        <v>345</v>
      </c>
      <c r="C15" s="68">
        <v>46195</v>
      </c>
      <c r="D15" s="69" t="s">
        <v>390</v>
      </c>
      <c r="E15" s="69" t="s">
        <v>391</v>
      </c>
      <c r="F15" s="69" t="s">
        <v>176</v>
      </c>
      <c r="G15" s="79">
        <v>15000</v>
      </c>
      <c r="H15" s="69">
        <v>7</v>
      </c>
      <c r="I15" s="69" t="s">
        <v>376</v>
      </c>
      <c r="J15" s="68">
        <v>46198</v>
      </c>
      <c r="K15" s="80">
        <f t="shared" si="0"/>
        <v>3</v>
      </c>
      <c r="L15" s="69"/>
      <c r="M15" s="68"/>
      <c r="N15" s="69"/>
    </row>
    <row r="16" spans="1:14" x14ac:dyDescent="0.3">
      <c r="A16" s="69" t="s">
        <v>398</v>
      </c>
      <c r="B16" s="69" t="s">
        <v>345</v>
      </c>
      <c r="C16" s="68">
        <v>46047</v>
      </c>
      <c r="D16" s="69" t="s">
        <v>399</v>
      </c>
      <c r="E16" s="69" t="s">
        <v>385</v>
      </c>
      <c r="F16" s="69" t="s">
        <v>201</v>
      </c>
      <c r="G16" s="79">
        <v>40000</v>
      </c>
      <c r="H16" s="69">
        <v>14</v>
      </c>
      <c r="I16" s="69" t="s">
        <v>382</v>
      </c>
      <c r="J16" s="68">
        <v>46061</v>
      </c>
      <c r="K16" s="80">
        <f t="shared" si="0"/>
        <v>14</v>
      </c>
      <c r="L16" s="69" t="s">
        <v>338</v>
      </c>
      <c r="M16" s="68"/>
      <c r="N16" s="69"/>
    </row>
    <row r="17" spans="1:14" x14ac:dyDescent="0.3">
      <c r="A17" s="69" t="s">
        <v>400</v>
      </c>
      <c r="B17" s="69" t="s">
        <v>282</v>
      </c>
      <c r="C17" s="68">
        <v>46285</v>
      </c>
      <c r="D17" s="69" t="s">
        <v>401</v>
      </c>
      <c r="E17" s="69" t="s">
        <v>391</v>
      </c>
      <c r="F17" s="69" t="s">
        <v>176</v>
      </c>
      <c r="G17" s="79">
        <v>-8000</v>
      </c>
      <c r="H17" s="69">
        <v>3</v>
      </c>
      <c r="I17" s="69" t="s">
        <v>382</v>
      </c>
      <c r="J17" s="68">
        <v>46294</v>
      </c>
      <c r="K17" s="80">
        <f t="shared" si="0"/>
        <v>9</v>
      </c>
      <c r="L17" s="69" t="s">
        <v>328</v>
      </c>
      <c r="M17" s="68">
        <v>46304</v>
      </c>
      <c r="N17" s="69"/>
    </row>
    <row r="18" spans="1:14" x14ac:dyDescent="0.3">
      <c r="A18" s="69" t="s">
        <v>402</v>
      </c>
      <c r="B18" s="69" t="s">
        <v>341</v>
      </c>
      <c r="C18" s="68">
        <v>46207</v>
      </c>
      <c r="D18" s="69" t="s">
        <v>393</v>
      </c>
      <c r="E18" s="69" t="s">
        <v>385</v>
      </c>
      <c r="F18" s="69" t="s">
        <v>164</v>
      </c>
      <c r="G18" s="79">
        <v>15000</v>
      </c>
      <c r="H18" s="69">
        <v>-2</v>
      </c>
      <c r="I18" s="69" t="s">
        <v>382</v>
      </c>
      <c r="J18" s="68">
        <v>46212</v>
      </c>
      <c r="K18" s="80">
        <f t="shared" si="0"/>
        <v>5</v>
      </c>
      <c r="L18" s="69" t="s">
        <v>328</v>
      </c>
      <c r="M18" s="68">
        <v>46221</v>
      </c>
      <c r="N18" s="69"/>
    </row>
    <row r="19" spans="1:14" x14ac:dyDescent="0.3">
      <c r="A19" s="69" t="s">
        <v>403</v>
      </c>
      <c r="B19" s="69" t="s">
        <v>332</v>
      </c>
      <c r="C19" s="68">
        <v>46178</v>
      </c>
      <c r="D19" s="69" t="s">
        <v>399</v>
      </c>
      <c r="E19" s="69" t="s">
        <v>385</v>
      </c>
      <c r="F19" s="69" t="s">
        <v>194</v>
      </c>
      <c r="G19" s="79">
        <v>-8000</v>
      </c>
      <c r="H19" s="69">
        <v>3</v>
      </c>
      <c r="I19" s="69" t="s">
        <v>376</v>
      </c>
      <c r="J19" s="68">
        <v>46183</v>
      </c>
      <c r="K19" s="80">
        <f t="shared" si="0"/>
        <v>5</v>
      </c>
      <c r="L19" s="69"/>
      <c r="M19" s="68"/>
      <c r="N19" s="69"/>
    </row>
    <row r="20" spans="1:14" x14ac:dyDescent="0.3">
      <c r="A20" s="69" t="s">
        <v>404</v>
      </c>
      <c r="B20" s="69" t="s">
        <v>292</v>
      </c>
      <c r="C20" s="68">
        <v>46118</v>
      </c>
      <c r="D20" s="69" t="s">
        <v>381</v>
      </c>
      <c r="E20" s="69" t="s">
        <v>379</v>
      </c>
      <c r="F20" s="69" t="s">
        <v>159</v>
      </c>
      <c r="G20" s="79">
        <v>40000</v>
      </c>
      <c r="H20" s="69">
        <v>14</v>
      </c>
      <c r="I20" s="69" t="s">
        <v>382</v>
      </c>
      <c r="J20" s="68">
        <v>46123</v>
      </c>
      <c r="K20" s="80">
        <f t="shared" si="0"/>
        <v>5</v>
      </c>
      <c r="L20" s="69" t="s">
        <v>328</v>
      </c>
      <c r="M20" s="68">
        <v>46128</v>
      </c>
      <c r="N20" s="69"/>
    </row>
    <row r="21" spans="1:14" x14ac:dyDescent="0.3">
      <c r="A21" s="69" t="s">
        <v>405</v>
      </c>
      <c r="B21" s="69" t="s">
        <v>292</v>
      </c>
      <c r="C21" s="68">
        <v>46249</v>
      </c>
      <c r="D21" s="69" t="s">
        <v>378</v>
      </c>
      <c r="E21" s="69" t="s">
        <v>379</v>
      </c>
      <c r="F21" s="69" t="s">
        <v>176</v>
      </c>
      <c r="G21" s="79">
        <v>0</v>
      </c>
      <c r="H21" s="69">
        <v>0</v>
      </c>
      <c r="I21" s="69" t="s">
        <v>382</v>
      </c>
      <c r="J21" s="68">
        <v>46255</v>
      </c>
      <c r="K21" s="80">
        <f t="shared" si="0"/>
        <v>6</v>
      </c>
      <c r="L21" s="69" t="s">
        <v>328</v>
      </c>
      <c r="M21" s="68">
        <v>46260</v>
      </c>
      <c r="N21" s="69"/>
    </row>
    <row r="22" spans="1:14" x14ac:dyDescent="0.3">
      <c r="A22" s="69" t="s">
        <v>406</v>
      </c>
      <c r="B22" s="69" t="s">
        <v>332</v>
      </c>
      <c r="C22" s="68">
        <v>46151</v>
      </c>
      <c r="D22" s="69" t="s">
        <v>393</v>
      </c>
      <c r="E22" s="69" t="s">
        <v>385</v>
      </c>
      <c r="F22" s="69" t="s">
        <v>194</v>
      </c>
      <c r="G22" s="79">
        <v>15000</v>
      </c>
      <c r="H22" s="69">
        <v>14</v>
      </c>
      <c r="I22" s="69" t="s">
        <v>382</v>
      </c>
      <c r="J22" s="68">
        <v>46155</v>
      </c>
      <c r="K22" s="80">
        <f t="shared" si="0"/>
        <v>4</v>
      </c>
      <c r="L22" s="69" t="s">
        <v>338</v>
      </c>
      <c r="M22" s="68"/>
      <c r="N22" s="69"/>
    </row>
    <row r="23" spans="1:14" x14ac:dyDescent="0.3">
      <c r="A23" s="69" t="s">
        <v>407</v>
      </c>
      <c r="B23" s="69" t="s">
        <v>341</v>
      </c>
      <c r="C23" s="68">
        <v>46284</v>
      </c>
      <c r="D23" s="69" t="s">
        <v>401</v>
      </c>
      <c r="E23" s="69" t="s">
        <v>391</v>
      </c>
      <c r="F23" s="69" t="s">
        <v>164</v>
      </c>
      <c r="G23" s="79">
        <v>40000</v>
      </c>
      <c r="H23" s="69">
        <v>0</v>
      </c>
      <c r="I23" s="69" t="s">
        <v>382</v>
      </c>
      <c r="J23" s="68">
        <v>46286</v>
      </c>
      <c r="K23" s="80">
        <f t="shared" si="0"/>
        <v>2</v>
      </c>
      <c r="L23" s="69" t="s">
        <v>328</v>
      </c>
      <c r="M23" s="68">
        <v>46294</v>
      </c>
      <c r="N23" s="69"/>
    </row>
    <row r="24" spans="1:14" x14ac:dyDescent="0.3">
      <c r="A24" s="69" t="s">
        <v>408</v>
      </c>
      <c r="B24" s="69" t="s">
        <v>335</v>
      </c>
      <c r="C24" s="68">
        <v>46079</v>
      </c>
      <c r="D24" s="69" t="s">
        <v>409</v>
      </c>
      <c r="E24" s="69" t="s">
        <v>385</v>
      </c>
      <c r="F24" s="69" t="s">
        <v>194</v>
      </c>
      <c r="G24" s="79">
        <v>40000</v>
      </c>
      <c r="H24" s="69">
        <v>14</v>
      </c>
      <c r="I24" s="69" t="s">
        <v>382</v>
      </c>
      <c r="J24" s="68">
        <v>46082</v>
      </c>
      <c r="K24" s="80">
        <f t="shared" si="0"/>
        <v>3</v>
      </c>
      <c r="L24" s="69" t="s">
        <v>328</v>
      </c>
      <c r="M24" s="68">
        <v>46095</v>
      </c>
      <c r="N24" s="69"/>
    </row>
    <row r="25" spans="1:14" x14ac:dyDescent="0.3">
      <c r="A25" s="69" t="s">
        <v>410</v>
      </c>
      <c r="B25" s="69" t="s">
        <v>335</v>
      </c>
      <c r="C25" s="68">
        <v>46083</v>
      </c>
      <c r="D25" s="69" t="s">
        <v>401</v>
      </c>
      <c r="E25" s="69" t="s">
        <v>391</v>
      </c>
      <c r="F25" s="69" t="s">
        <v>159</v>
      </c>
      <c r="G25" s="79">
        <v>15000</v>
      </c>
      <c r="H25" s="69">
        <v>3</v>
      </c>
      <c r="I25" s="69" t="s">
        <v>376</v>
      </c>
      <c r="J25" s="68">
        <v>46087</v>
      </c>
      <c r="K25" s="80">
        <f t="shared" si="0"/>
        <v>4</v>
      </c>
      <c r="L25" s="69"/>
      <c r="M25" s="68"/>
      <c r="N25" s="69"/>
    </row>
    <row r="26" spans="1:14" x14ac:dyDescent="0.3">
      <c r="A26" s="69" t="s">
        <v>411</v>
      </c>
      <c r="B26" s="69" t="s">
        <v>335</v>
      </c>
      <c r="C26" s="68">
        <v>46163</v>
      </c>
      <c r="D26" s="69" t="s">
        <v>393</v>
      </c>
      <c r="E26" s="69" t="s">
        <v>385</v>
      </c>
      <c r="F26" s="69" t="s">
        <v>159</v>
      </c>
      <c r="G26" s="79">
        <v>0</v>
      </c>
      <c r="H26" s="69">
        <v>0</v>
      </c>
      <c r="I26" s="69" t="s">
        <v>382</v>
      </c>
      <c r="J26" s="68">
        <v>46167</v>
      </c>
      <c r="K26" s="80">
        <f t="shared" si="0"/>
        <v>4</v>
      </c>
      <c r="L26" s="69" t="s">
        <v>328</v>
      </c>
      <c r="M26" s="68">
        <v>46170</v>
      </c>
      <c r="N26" s="69"/>
    </row>
    <row r="27" spans="1:14" x14ac:dyDescent="0.3">
      <c r="A27" s="69" t="s">
        <v>412</v>
      </c>
      <c r="B27" s="69" t="s">
        <v>345</v>
      </c>
      <c r="C27" s="68">
        <v>46283</v>
      </c>
      <c r="D27" s="69" t="s">
        <v>413</v>
      </c>
      <c r="E27" s="69" t="s">
        <v>414</v>
      </c>
      <c r="F27" s="69" t="s">
        <v>194</v>
      </c>
      <c r="G27" s="79">
        <v>25000</v>
      </c>
      <c r="H27" s="69">
        <v>7</v>
      </c>
      <c r="I27" s="69" t="s">
        <v>382</v>
      </c>
      <c r="J27" s="68">
        <v>46292</v>
      </c>
      <c r="K27" s="80">
        <f t="shared" si="0"/>
        <v>9</v>
      </c>
      <c r="L27" s="69" t="s">
        <v>328</v>
      </c>
      <c r="M27" s="68">
        <v>46308</v>
      </c>
      <c r="N27" s="69"/>
    </row>
    <row r="28" spans="1:14" x14ac:dyDescent="0.3">
      <c r="A28" s="69" t="s">
        <v>415</v>
      </c>
      <c r="B28" s="69" t="s">
        <v>332</v>
      </c>
      <c r="C28" s="68">
        <v>46120</v>
      </c>
      <c r="D28" s="69" t="s">
        <v>388</v>
      </c>
      <c r="E28" s="69" t="s">
        <v>385</v>
      </c>
      <c r="F28" s="69" t="s">
        <v>159</v>
      </c>
      <c r="G28" s="79">
        <v>0</v>
      </c>
      <c r="H28" s="69">
        <v>-2</v>
      </c>
      <c r="I28" s="69" t="s">
        <v>382</v>
      </c>
      <c r="J28" s="68">
        <v>46127</v>
      </c>
      <c r="K28" s="80">
        <f t="shared" si="0"/>
        <v>7</v>
      </c>
      <c r="L28" s="69" t="s">
        <v>338</v>
      </c>
      <c r="M28" s="68"/>
      <c r="N28" s="69"/>
    </row>
    <row r="29" spans="1:14" x14ac:dyDescent="0.3">
      <c r="A29" s="69" t="s">
        <v>416</v>
      </c>
      <c r="B29" s="69" t="s">
        <v>329</v>
      </c>
      <c r="C29" s="68">
        <v>46156</v>
      </c>
      <c r="D29" s="69" t="s">
        <v>393</v>
      </c>
      <c r="E29" s="69" t="s">
        <v>385</v>
      </c>
      <c r="F29" s="69" t="s">
        <v>176</v>
      </c>
      <c r="G29" s="79">
        <v>60000</v>
      </c>
      <c r="H29" s="69">
        <v>7</v>
      </c>
      <c r="I29" s="69" t="s">
        <v>382</v>
      </c>
      <c r="J29" s="68">
        <v>46164</v>
      </c>
      <c r="K29" s="80">
        <f t="shared" si="0"/>
        <v>8</v>
      </c>
      <c r="L29" s="69" t="s">
        <v>338</v>
      </c>
      <c r="M29" s="68"/>
      <c r="N29" s="69"/>
    </row>
    <row r="30" spans="1:14" x14ac:dyDescent="0.3">
      <c r="A30" s="69" t="s">
        <v>417</v>
      </c>
      <c r="B30" s="69" t="s">
        <v>282</v>
      </c>
      <c r="C30" s="68">
        <v>46037</v>
      </c>
      <c r="D30" s="69" t="s">
        <v>409</v>
      </c>
      <c r="E30" s="69" t="s">
        <v>385</v>
      </c>
      <c r="F30" s="69" t="s">
        <v>188</v>
      </c>
      <c r="G30" s="79">
        <v>15000</v>
      </c>
      <c r="H30" s="69">
        <v>0</v>
      </c>
      <c r="I30" s="69" t="s">
        <v>382</v>
      </c>
      <c r="J30" s="68">
        <v>46043</v>
      </c>
      <c r="K30" s="80">
        <f t="shared" si="0"/>
        <v>6</v>
      </c>
      <c r="L30" s="69" t="s">
        <v>328</v>
      </c>
      <c r="M30" s="68">
        <v>46056</v>
      </c>
      <c r="N30" s="69"/>
    </row>
    <row r="31" spans="1:14" x14ac:dyDescent="0.3">
      <c r="A31" s="69"/>
      <c r="B31" s="69"/>
      <c r="C31" s="68"/>
      <c r="D31" s="69"/>
      <c r="E31" s="69"/>
      <c r="F31" s="69"/>
      <c r="G31" s="79"/>
      <c r="H31" s="69"/>
      <c r="I31" s="69"/>
      <c r="J31" s="68"/>
      <c r="K31" s="80" t="str">
        <f t="shared" si="0"/>
        <v/>
      </c>
      <c r="L31" s="69"/>
      <c r="M31" s="68"/>
      <c r="N31" s="69"/>
    </row>
    <row r="32" spans="1:14" x14ac:dyDescent="0.3">
      <c r="A32" s="69"/>
      <c r="B32" s="69"/>
      <c r="C32" s="68"/>
      <c r="D32" s="69"/>
      <c r="E32" s="69"/>
      <c r="F32" s="69"/>
      <c r="G32" s="79"/>
      <c r="H32" s="69"/>
      <c r="I32" s="69"/>
      <c r="J32" s="68"/>
      <c r="K32" s="80" t="str">
        <f t="shared" si="0"/>
        <v/>
      </c>
      <c r="L32" s="69"/>
      <c r="M32" s="68"/>
      <c r="N32" s="69"/>
    </row>
    <row r="33" spans="1:14" x14ac:dyDescent="0.3">
      <c r="A33" s="69"/>
      <c r="B33" s="69"/>
      <c r="C33" s="68"/>
      <c r="D33" s="69"/>
      <c r="E33" s="69"/>
      <c r="F33" s="69"/>
      <c r="G33" s="79"/>
      <c r="H33" s="69"/>
      <c r="I33" s="69"/>
      <c r="J33" s="68"/>
      <c r="K33" s="80" t="str">
        <f t="shared" si="0"/>
        <v/>
      </c>
      <c r="L33" s="69"/>
      <c r="M33" s="68"/>
      <c r="N33" s="69"/>
    </row>
    <row r="34" spans="1:14" x14ac:dyDescent="0.3">
      <c r="A34" s="69"/>
      <c r="B34" s="69"/>
      <c r="C34" s="68"/>
      <c r="D34" s="69"/>
      <c r="E34" s="69"/>
      <c r="F34" s="69"/>
      <c r="G34" s="79"/>
      <c r="H34" s="69"/>
      <c r="I34" s="69"/>
      <c r="J34" s="68"/>
      <c r="K34" s="80" t="str">
        <f t="shared" si="0"/>
        <v/>
      </c>
      <c r="L34" s="69"/>
      <c r="M34" s="68"/>
      <c r="N34" s="69"/>
    </row>
    <row r="35" spans="1:14" x14ac:dyDescent="0.3">
      <c r="A35" s="69"/>
      <c r="B35" s="69"/>
      <c r="C35" s="68"/>
      <c r="D35" s="69"/>
      <c r="E35" s="69"/>
      <c r="F35" s="69"/>
      <c r="G35" s="79"/>
      <c r="H35" s="69"/>
      <c r="I35" s="69"/>
      <c r="J35" s="68"/>
      <c r="K35" s="80" t="str">
        <f t="shared" si="0"/>
        <v/>
      </c>
      <c r="L35" s="69"/>
      <c r="M35" s="68"/>
      <c r="N35" s="69"/>
    </row>
    <row r="36" spans="1:14" x14ac:dyDescent="0.3">
      <c r="A36" s="69"/>
      <c r="B36" s="69"/>
      <c r="C36" s="68"/>
      <c r="D36" s="69"/>
      <c r="E36" s="69"/>
      <c r="F36" s="69"/>
      <c r="G36" s="79"/>
      <c r="H36" s="69"/>
      <c r="I36" s="69"/>
      <c r="J36" s="68"/>
      <c r="K36" s="80" t="str">
        <f t="shared" si="0"/>
        <v/>
      </c>
      <c r="L36" s="69"/>
      <c r="M36" s="68"/>
      <c r="N36" s="69"/>
    </row>
    <row r="37" spans="1:14" x14ac:dyDescent="0.3">
      <c r="A37" s="69"/>
      <c r="B37" s="69"/>
      <c r="C37" s="68"/>
      <c r="D37" s="69"/>
      <c r="E37" s="69"/>
      <c r="F37" s="69"/>
      <c r="G37" s="79"/>
      <c r="H37" s="69"/>
      <c r="I37" s="69"/>
      <c r="J37" s="68"/>
      <c r="K37" s="80" t="str">
        <f t="shared" si="0"/>
        <v/>
      </c>
      <c r="L37" s="69"/>
      <c r="M37" s="68"/>
      <c r="N37" s="69"/>
    </row>
    <row r="38" spans="1:14" x14ac:dyDescent="0.3">
      <c r="A38" s="69"/>
      <c r="B38" s="69"/>
      <c r="C38" s="68"/>
      <c r="D38" s="69"/>
      <c r="E38" s="69"/>
      <c r="F38" s="69"/>
      <c r="G38" s="79"/>
      <c r="H38" s="69"/>
      <c r="I38" s="69"/>
      <c r="J38" s="68"/>
      <c r="K38" s="80" t="str">
        <f t="shared" si="0"/>
        <v/>
      </c>
      <c r="L38" s="69"/>
      <c r="M38" s="68"/>
      <c r="N38" s="69"/>
    </row>
    <row r="39" spans="1:14" x14ac:dyDescent="0.3">
      <c r="A39" s="69"/>
      <c r="B39" s="69"/>
      <c r="C39" s="68"/>
      <c r="D39" s="69"/>
      <c r="E39" s="69"/>
      <c r="F39" s="69"/>
      <c r="G39" s="79"/>
      <c r="H39" s="69"/>
      <c r="I39" s="69"/>
      <c r="J39" s="68"/>
      <c r="K39" s="80" t="str">
        <f t="shared" si="0"/>
        <v/>
      </c>
      <c r="L39" s="69"/>
      <c r="M39" s="68"/>
      <c r="N39" s="69"/>
    </row>
    <row r="40" spans="1:14" x14ac:dyDescent="0.3">
      <c r="A40" s="69"/>
      <c r="B40" s="69"/>
      <c r="C40" s="68"/>
      <c r="D40" s="69"/>
      <c r="E40" s="69"/>
      <c r="F40" s="69"/>
      <c r="G40" s="79"/>
      <c r="H40" s="69"/>
      <c r="I40" s="69"/>
      <c r="J40" s="68"/>
      <c r="K40" s="80" t="str">
        <f t="shared" si="0"/>
        <v/>
      </c>
      <c r="L40" s="69"/>
      <c r="M40" s="68"/>
      <c r="N40" s="69"/>
    </row>
    <row r="41" spans="1:14" x14ac:dyDescent="0.3">
      <c r="A41" s="69"/>
      <c r="B41" s="69"/>
      <c r="C41" s="68"/>
      <c r="D41" s="69"/>
      <c r="E41" s="69"/>
      <c r="F41" s="69"/>
      <c r="G41" s="79"/>
      <c r="H41" s="69"/>
      <c r="I41" s="69"/>
      <c r="J41" s="68"/>
      <c r="K41" s="80" t="str">
        <f t="shared" si="0"/>
        <v/>
      </c>
      <c r="L41" s="69"/>
      <c r="M41" s="68"/>
      <c r="N41" s="69"/>
    </row>
    <row r="42" spans="1:14" x14ac:dyDescent="0.3">
      <c r="A42" s="69"/>
      <c r="B42" s="69"/>
      <c r="C42" s="68"/>
      <c r="D42" s="69"/>
      <c r="E42" s="69"/>
      <c r="F42" s="69"/>
      <c r="G42" s="79"/>
      <c r="H42" s="69"/>
      <c r="I42" s="69"/>
      <c r="J42" s="68"/>
      <c r="K42" s="80" t="str">
        <f t="shared" si="0"/>
        <v/>
      </c>
      <c r="L42" s="69"/>
      <c r="M42" s="68"/>
      <c r="N42" s="69"/>
    </row>
    <row r="43" spans="1:14" x14ac:dyDescent="0.3">
      <c r="A43" s="69"/>
      <c r="B43" s="69"/>
      <c r="C43" s="68"/>
      <c r="D43" s="69"/>
      <c r="E43" s="69"/>
      <c r="F43" s="69"/>
      <c r="G43" s="79"/>
      <c r="H43" s="69"/>
      <c r="I43" s="69"/>
      <c r="J43" s="68"/>
      <c r="K43" s="80" t="str">
        <f t="shared" si="0"/>
        <v/>
      </c>
      <c r="L43" s="69"/>
      <c r="M43" s="68"/>
      <c r="N43" s="69"/>
    </row>
    <row r="44" spans="1:14" x14ac:dyDescent="0.3">
      <c r="A44" s="69"/>
      <c r="B44" s="69"/>
      <c r="C44" s="68"/>
      <c r="D44" s="69"/>
      <c r="E44" s="69"/>
      <c r="F44" s="69"/>
      <c r="G44" s="79"/>
      <c r="H44" s="69"/>
      <c r="I44" s="69"/>
      <c r="J44" s="68"/>
      <c r="K44" s="80" t="str">
        <f t="shared" si="0"/>
        <v/>
      </c>
      <c r="L44" s="69"/>
      <c r="M44" s="68"/>
      <c r="N44" s="69"/>
    </row>
    <row r="45" spans="1:14" x14ac:dyDescent="0.3">
      <c r="A45" s="69"/>
      <c r="B45" s="69"/>
      <c r="C45" s="68"/>
      <c r="D45" s="69"/>
      <c r="E45" s="69"/>
      <c r="F45" s="69"/>
      <c r="G45" s="79"/>
      <c r="H45" s="69"/>
      <c r="I45" s="69"/>
      <c r="J45" s="68"/>
      <c r="K45" s="80" t="str">
        <f t="shared" si="0"/>
        <v/>
      </c>
      <c r="L45" s="69"/>
      <c r="M45" s="68"/>
      <c r="N45" s="69"/>
    </row>
    <row r="46" spans="1:14" x14ac:dyDescent="0.3">
      <c r="A46" s="69"/>
      <c r="B46" s="69"/>
      <c r="C46" s="68"/>
      <c r="D46" s="69"/>
      <c r="E46" s="69"/>
      <c r="F46" s="69"/>
      <c r="G46" s="79"/>
      <c r="H46" s="69"/>
      <c r="I46" s="69"/>
      <c r="J46" s="68"/>
      <c r="K46" s="80" t="str">
        <f t="shared" si="0"/>
        <v/>
      </c>
      <c r="L46" s="69"/>
      <c r="M46" s="68"/>
      <c r="N46" s="69"/>
    </row>
    <row r="47" spans="1:14" x14ac:dyDescent="0.3">
      <c r="A47" s="69"/>
      <c r="B47" s="69"/>
      <c r="C47" s="68"/>
      <c r="D47" s="69"/>
      <c r="E47" s="69"/>
      <c r="F47" s="69"/>
      <c r="G47" s="79"/>
      <c r="H47" s="69"/>
      <c r="I47" s="69"/>
      <c r="J47" s="68"/>
      <c r="K47" s="80" t="str">
        <f t="shared" si="0"/>
        <v/>
      </c>
      <c r="L47" s="69"/>
      <c r="M47" s="68"/>
      <c r="N47" s="69"/>
    </row>
    <row r="48" spans="1:14" x14ac:dyDescent="0.3">
      <c r="A48" s="69"/>
      <c r="B48" s="69"/>
      <c r="C48" s="68"/>
      <c r="D48" s="69"/>
      <c r="E48" s="69"/>
      <c r="F48" s="69"/>
      <c r="G48" s="79"/>
      <c r="H48" s="69"/>
      <c r="I48" s="69"/>
      <c r="J48" s="68"/>
      <c r="K48" s="80" t="str">
        <f t="shared" si="0"/>
        <v/>
      </c>
      <c r="L48" s="69"/>
      <c r="M48" s="68"/>
      <c r="N48" s="69"/>
    </row>
    <row r="49" spans="1:14" x14ac:dyDescent="0.3">
      <c r="A49" s="69"/>
      <c r="B49" s="69"/>
      <c r="C49" s="68"/>
      <c r="D49" s="69"/>
      <c r="E49" s="69"/>
      <c r="F49" s="69"/>
      <c r="G49" s="79"/>
      <c r="H49" s="69"/>
      <c r="I49" s="69"/>
      <c r="J49" s="68"/>
      <c r="K49" s="80" t="str">
        <f t="shared" si="0"/>
        <v/>
      </c>
      <c r="L49" s="69"/>
      <c r="M49" s="68"/>
      <c r="N49" s="69"/>
    </row>
    <row r="50" spans="1:14" x14ac:dyDescent="0.3">
      <c r="A50" s="69"/>
      <c r="B50" s="69"/>
      <c r="C50" s="68"/>
      <c r="D50" s="69"/>
      <c r="E50" s="69"/>
      <c r="F50" s="69"/>
      <c r="G50" s="79"/>
      <c r="H50" s="69"/>
      <c r="I50" s="69"/>
      <c r="J50" s="68"/>
      <c r="K50" s="80" t="str">
        <f t="shared" si="0"/>
        <v/>
      </c>
      <c r="L50" s="69"/>
      <c r="M50" s="68"/>
      <c r="N50" s="69"/>
    </row>
    <row r="51" spans="1:14" x14ac:dyDescent="0.3">
      <c r="A51" s="69"/>
      <c r="B51" s="69"/>
      <c r="C51" s="68"/>
      <c r="D51" s="69"/>
      <c r="E51" s="69"/>
      <c r="F51" s="69"/>
      <c r="G51" s="79"/>
      <c r="H51" s="69"/>
      <c r="I51" s="69"/>
      <c r="J51" s="68"/>
      <c r="K51" s="80" t="str">
        <f t="shared" si="0"/>
        <v/>
      </c>
      <c r="L51" s="69"/>
      <c r="M51" s="68"/>
      <c r="N51" s="69"/>
    </row>
    <row r="52" spans="1:14" x14ac:dyDescent="0.3">
      <c r="A52" s="69"/>
      <c r="B52" s="69"/>
      <c r="C52" s="68"/>
      <c r="D52" s="69"/>
      <c r="E52" s="69"/>
      <c r="F52" s="69"/>
      <c r="G52" s="79"/>
      <c r="H52" s="69"/>
      <c r="I52" s="69"/>
      <c r="J52" s="68"/>
      <c r="K52" s="80" t="str">
        <f t="shared" si="0"/>
        <v/>
      </c>
      <c r="L52" s="69"/>
      <c r="M52" s="68"/>
      <c r="N52" s="69"/>
    </row>
    <row r="53" spans="1:14" x14ac:dyDescent="0.3">
      <c r="A53" s="69"/>
      <c r="B53" s="69"/>
      <c r="C53" s="68"/>
      <c r="D53" s="69"/>
      <c r="E53" s="69"/>
      <c r="F53" s="69"/>
      <c r="G53" s="79"/>
      <c r="H53" s="69"/>
      <c r="I53" s="69"/>
      <c r="J53" s="68"/>
      <c r="K53" s="80" t="str">
        <f t="shared" si="0"/>
        <v/>
      </c>
      <c r="L53" s="69"/>
      <c r="M53" s="68"/>
      <c r="N53" s="69"/>
    </row>
    <row r="54" spans="1:14" x14ac:dyDescent="0.3">
      <c r="A54" s="69"/>
      <c r="B54" s="69"/>
      <c r="C54" s="68"/>
      <c r="D54" s="69"/>
      <c r="E54" s="69"/>
      <c r="F54" s="69"/>
      <c r="G54" s="79"/>
      <c r="H54" s="69"/>
      <c r="I54" s="69"/>
      <c r="J54" s="68"/>
      <c r="K54" s="80" t="str">
        <f t="shared" si="0"/>
        <v/>
      </c>
      <c r="L54" s="69"/>
      <c r="M54" s="68"/>
      <c r="N54" s="69"/>
    </row>
    <row r="55" spans="1:14" x14ac:dyDescent="0.3">
      <c r="A55" s="69"/>
      <c r="B55" s="69"/>
      <c r="C55" s="68"/>
      <c r="D55" s="69"/>
      <c r="E55" s="69"/>
      <c r="F55" s="69"/>
      <c r="G55" s="79"/>
      <c r="H55" s="69"/>
      <c r="I55" s="69"/>
      <c r="J55" s="68"/>
      <c r="K55" s="80" t="str">
        <f t="shared" si="0"/>
        <v/>
      </c>
      <c r="L55" s="69"/>
      <c r="M55" s="68"/>
      <c r="N55" s="69"/>
    </row>
    <row r="56" spans="1:14" x14ac:dyDescent="0.3">
      <c r="A56" s="69"/>
      <c r="B56" s="69"/>
      <c r="C56" s="68"/>
      <c r="D56" s="69"/>
      <c r="E56" s="69"/>
      <c r="F56" s="69"/>
      <c r="G56" s="79"/>
      <c r="H56" s="69"/>
      <c r="I56" s="69"/>
      <c r="J56" s="68"/>
      <c r="K56" s="80" t="str">
        <f t="shared" si="0"/>
        <v/>
      </c>
      <c r="L56" s="69"/>
      <c r="M56" s="68"/>
      <c r="N56" s="69"/>
    </row>
    <row r="57" spans="1:14" x14ac:dyDescent="0.3">
      <c r="A57" s="69"/>
      <c r="B57" s="69"/>
      <c r="C57" s="68"/>
      <c r="D57" s="69"/>
      <c r="E57" s="69"/>
      <c r="F57" s="69"/>
      <c r="G57" s="79"/>
      <c r="H57" s="69"/>
      <c r="I57" s="69"/>
      <c r="J57" s="68"/>
      <c r="K57" s="80" t="str">
        <f t="shared" si="0"/>
        <v/>
      </c>
      <c r="L57" s="69"/>
      <c r="M57" s="68"/>
      <c r="N57" s="69"/>
    </row>
    <row r="58" spans="1:14" x14ac:dyDescent="0.3">
      <c r="A58" s="69"/>
      <c r="B58" s="69"/>
      <c r="C58" s="68"/>
      <c r="D58" s="69"/>
      <c r="E58" s="69"/>
      <c r="F58" s="69"/>
      <c r="G58" s="79"/>
      <c r="H58" s="69"/>
      <c r="I58" s="69"/>
      <c r="J58" s="68"/>
      <c r="K58" s="80" t="str">
        <f t="shared" si="0"/>
        <v/>
      </c>
      <c r="L58" s="69"/>
      <c r="M58" s="68"/>
      <c r="N58" s="69"/>
    </row>
    <row r="59" spans="1:14" x14ac:dyDescent="0.3">
      <c r="A59" s="69"/>
      <c r="B59" s="69"/>
      <c r="C59" s="68"/>
      <c r="D59" s="69"/>
      <c r="E59" s="69"/>
      <c r="F59" s="69"/>
      <c r="G59" s="79"/>
      <c r="H59" s="69"/>
      <c r="I59" s="69"/>
      <c r="J59" s="68"/>
      <c r="K59" s="80" t="str">
        <f t="shared" si="0"/>
        <v/>
      </c>
      <c r="L59" s="69"/>
      <c r="M59" s="68"/>
      <c r="N59" s="69"/>
    </row>
    <row r="60" spans="1:14" x14ac:dyDescent="0.3">
      <c r="A60" s="69"/>
      <c r="B60" s="69"/>
      <c r="C60" s="68"/>
      <c r="D60" s="69"/>
      <c r="E60" s="69"/>
      <c r="F60" s="69"/>
      <c r="G60" s="79"/>
      <c r="H60" s="69"/>
      <c r="I60" s="69"/>
      <c r="J60" s="68"/>
      <c r="K60" s="80" t="str">
        <f t="shared" si="0"/>
        <v/>
      </c>
      <c r="L60" s="69"/>
      <c r="M60" s="68"/>
      <c r="N60" s="69"/>
    </row>
    <row r="61" spans="1:14" x14ac:dyDescent="0.3">
      <c r="A61" s="69"/>
      <c r="B61" s="69"/>
      <c r="C61" s="68"/>
      <c r="D61" s="69"/>
      <c r="E61" s="69"/>
      <c r="F61" s="69"/>
      <c r="G61" s="79"/>
      <c r="H61" s="69"/>
      <c r="I61" s="69"/>
      <c r="J61" s="68"/>
      <c r="K61" s="80" t="str">
        <f t="shared" si="0"/>
        <v/>
      </c>
      <c r="L61" s="69"/>
      <c r="M61" s="68"/>
      <c r="N61" s="69"/>
    </row>
    <row r="62" spans="1:14" x14ac:dyDescent="0.3">
      <c r="A62" s="69"/>
      <c r="B62" s="69"/>
      <c r="C62" s="68"/>
      <c r="D62" s="69"/>
      <c r="E62" s="69"/>
      <c r="F62" s="69"/>
      <c r="G62" s="79"/>
      <c r="H62" s="69"/>
      <c r="I62" s="69"/>
      <c r="J62" s="68"/>
      <c r="K62" s="80" t="str">
        <f t="shared" si="0"/>
        <v/>
      </c>
      <c r="L62" s="69"/>
      <c r="M62" s="68"/>
      <c r="N62" s="69"/>
    </row>
    <row r="63" spans="1:14" x14ac:dyDescent="0.3">
      <c r="A63" s="69"/>
      <c r="B63" s="69"/>
      <c r="C63" s="68"/>
      <c r="D63" s="69"/>
      <c r="E63" s="69"/>
      <c r="F63" s="69"/>
      <c r="G63" s="79"/>
      <c r="H63" s="69"/>
      <c r="I63" s="69"/>
      <c r="J63" s="68"/>
      <c r="K63" s="80" t="str">
        <f t="shared" si="0"/>
        <v/>
      </c>
      <c r="L63" s="69"/>
      <c r="M63" s="68"/>
      <c r="N63" s="69"/>
    </row>
    <row r="64" spans="1:14" x14ac:dyDescent="0.3">
      <c r="A64" s="69"/>
      <c r="B64" s="69"/>
      <c r="C64" s="68"/>
      <c r="D64" s="69"/>
      <c r="E64" s="69"/>
      <c r="F64" s="69"/>
      <c r="G64" s="79"/>
      <c r="H64" s="69"/>
      <c r="I64" s="69"/>
      <c r="J64" s="68"/>
      <c r="K64" s="80" t="str">
        <f t="shared" si="0"/>
        <v/>
      </c>
      <c r="L64" s="69"/>
      <c r="M64" s="68"/>
      <c r="N64" s="69"/>
    </row>
    <row r="65" spans="1:14" x14ac:dyDescent="0.3">
      <c r="A65" s="69"/>
      <c r="B65" s="69"/>
      <c r="C65" s="68"/>
      <c r="D65" s="69"/>
      <c r="E65" s="69"/>
      <c r="F65" s="69"/>
      <c r="G65" s="79"/>
      <c r="H65" s="69"/>
      <c r="I65" s="69"/>
      <c r="J65" s="68"/>
      <c r="K65" s="80" t="str">
        <f t="shared" si="0"/>
        <v/>
      </c>
      <c r="L65" s="69"/>
      <c r="M65" s="68"/>
      <c r="N65" s="69"/>
    </row>
    <row r="66" spans="1:14" x14ac:dyDescent="0.3">
      <c r="A66" s="69"/>
      <c r="B66" s="69"/>
      <c r="C66" s="68"/>
      <c r="D66" s="69"/>
      <c r="E66" s="69"/>
      <c r="F66" s="69"/>
      <c r="G66" s="79"/>
      <c r="H66" s="69"/>
      <c r="I66" s="69"/>
      <c r="J66" s="68"/>
      <c r="K66" s="80" t="str">
        <f t="shared" si="0"/>
        <v/>
      </c>
      <c r="L66" s="69"/>
      <c r="M66" s="68"/>
      <c r="N66" s="69"/>
    </row>
    <row r="67" spans="1:14" x14ac:dyDescent="0.3">
      <c r="A67" s="69"/>
      <c r="B67" s="69"/>
      <c r="C67" s="68"/>
      <c r="D67" s="69"/>
      <c r="E67" s="69"/>
      <c r="F67" s="69"/>
      <c r="G67" s="79"/>
      <c r="H67" s="69"/>
      <c r="I67" s="69"/>
      <c r="J67" s="68"/>
      <c r="K67" s="80" t="str">
        <f t="shared" si="0"/>
        <v/>
      </c>
      <c r="L67" s="69"/>
      <c r="M67" s="68"/>
      <c r="N67" s="69"/>
    </row>
    <row r="68" spans="1:14" x14ac:dyDescent="0.3">
      <c r="A68" s="69"/>
      <c r="B68" s="69"/>
      <c r="C68" s="68"/>
      <c r="D68" s="69"/>
      <c r="E68" s="69"/>
      <c r="F68" s="69"/>
      <c r="G68" s="79"/>
      <c r="H68" s="69"/>
      <c r="I68" s="69"/>
      <c r="J68" s="68"/>
      <c r="K68" s="80" t="str">
        <f t="shared" si="0"/>
        <v/>
      </c>
      <c r="L68" s="69"/>
      <c r="M68" s="68"/>
      <c r="N68" s="69"/>
    </row>
    <row r="69" spans="1:14" x14ac:dyDescent="0.3">
      <c r="A69" s="69"/>
      <c r="B69" s="69"/>
      <c r="C69" s="68"/>
      <c r="D69" s="69"/>
      <c r="E69" s="69"/>
      <c r="F69" s="69"/>
      <c r="G69" s="79"/>
      <c r="H69" s="69"/>
      <c r="I69" s="69"/>
      <c r="J69" s="68"/>
      <c r="K69" s="80" t="str">
        <f t="shared" ref="K69:K132" si="1">IF(OR(C69="",J69=""),"",J69-C69)</f>
        <v/>
      </c>
      <c r="L69" s="69"/>
      <c r="M69" s="68"/>
      <c r="N69" s="69"/>
    </row>
    <row r="70" spans="1:14" x14ac:dyDescent="0.3">
      <c r="A70" s="69"/>
      <c r="B70" s="69"/>
      <c r="C70" s="68"/>
      <c r="D70" s="69"/>
      <c r="E70" s="69"/>
      <c r="F70" s="69"/>
      <c r="G70" s="79"/>
      <c r="H70" s="69"/>
      <c r="I70" s="69"/>
      <c r="J70" s="68"/>
      <c r="K70" s="80" t="str">
        <f t="shared" si="1"/>
        <v/>
      </c>
      <c r="L70" s="69"/>
      <c r="M70" s="68"/>
      <c r="N70" s="69"/>
    </row>
    <row r="71" spans="1:14" x14ac:dyDescent="0.3">
      <c r="A71" s="69"/>
      <c r="B71" s="69"/>
      <c r="C71" s="68"/>
      <c r="D71" s="69"/>
      <c r="E71" s="69"/>
      <c r="F71" s="69"/>
      <c r="G71" s="79"/>
      <c r="H71" s="69"/>
      <c r="I71" s="69"/>
      <c r="J71" s="68"/>
      <c r="K71" s="80" t="str">
        <f t="shared" si="1"/>
        <v/>
      </c>
      <c r="L71" s="69"/>
      <c r="M71" s="68"/>
      <c r="N71" s="69"/>
    </row>
    <row r="72" spans="1:14" x14ac:dyDescent="0.3">
      <c r="A72" s="69"/>
      <c r="B72" s="69"/>
      <c r="C72" s="68"/>
      <c r="D72" s="69"/>
      <c r="E72" s="69"/>
      <c r="F72" s="69"/>
      <c r="G72" s="79"/>
      <c r="H72" s="69"/>
      <c r="I72" s="69"/>
      <c r="J72" s="68"/>
      <c r="K72" s="80" t="str">
        <f t="shared" si="1"/>
        <v/>
      </c>
      <c r="L72" s="69"/>
      <c r="M72" s="68"/>
      <c r="N72" s="69"/>
    </row>
    <row r="73" spans="1:14" x14ac:dyDescent="0.3">
      <c r="A73" s="69"/>
      <c r="B73" s="69"/>
      <c r="C73" s="68"/>
      <c r="D73" s="69"/>
      <c r="E73" s="69"/>
      <c r="F73" s="69"/>
      <c r="G73" s="79"/>
      <c r="H73" s="69"/>
      <c r="I73" s="69"/>
      <c r="J73" s="68"/>
      <c r="K73" s="80" t="str">
        <f t="shared" si="1"/>
        <v/>
      </c>
      <c r="L73" s="69"/>
      <c r="M73" s="68"/>
      <c r="N73" s="69"/>
    </row>
    <row r="74" spans="1:14" x14ac:dyDescent="0.3">
      <c r="A74" s="69"/>
      <c r="B74" s="69"/>
      <c r="C74" s="68"/>
      <c r="D74" s="69"/>
      <c r="E74" s="69"/>
      <c r="F74" s="69"/>
      <c r="G74" s="79"/>
      <c r="H74" s="69"/>
      <c r="I74" s="69"/>
      <c r="J74" s="68"/>
      <c r="K74" s="80" t="str">
        <f t="shared" si="1"/>
        <v/>
      </c>
      <c r="L74" s="69"/>
      <c r="M74" s="68"/>
      <c r="N74" s="69"/>
    </row>
    <row r="75" spans="1:14" x14ac:dyDescent="0.3">
      <c r="A75" s="69"/>
      <c r="B75" s="69"/>
      <c r="C75" s="68"/>
      <c r="D75" s="69"/>
      <c r="E75" s="69"/>
      <c r="F75" s="69"/>
      <c r="G75" s="79"/>
      <c r="H75" s="69"/>
      <c r="I75" s="69"/>
      <c r="J75" s="68"/>
      <c r="K75" s="80" t="str">
        <f t="shared" si="1"/>
        <v/>
      </c>
      <c r="L75" s="69"/>
      <c r="M75" s="68"/>
      <c r="N75" s="69"/>
    </row>
    <row r="76" spans="1:14" x14ac:dyDescent="0.3">
      <c r="A76" s="69"/>
      <c r="B76" s="69"/>
      <c r="C76" s="68"/>
      <c r="D76" s="69"/>
      <c r="E76" s="69"/>
      <c r="F76" s="69"/>
      <c r="G76" s="79"/>
      <c r="H76" s="69"/>
      <c r="I76" s="69"/>
      <c r="J76" s="68"/>
      <c r="K76" s="80" t="str">
        <f t="shared" si="1"/>
        <v/>
      </c>
      <c r="L76" s="69"/>
      <c r="M76" s="68"/>
      <c r="N76" s="69"/>
    </row>
    <row r="77" spans="1:14" x14ac:dyDescent="0.3">
      <c r="A77" s="69"/>
      <c r="B77" s="69"/>
      <c r="C77" s="68"/>
      <c r="D77" s="69"/>
      <c r="E77" s="69"/>
      <c r="F77" s="69"/>
      <c r="G77" s="79"/>
      <c r="H77" s="69"/>
      <c r="I77" s="69"/>
      <c r="J77" s="68"/>
      <c r="K77" s="80" t="str">
        <f t="shared" si="1"/>
        <v/>
      </c>
      <c r="L77" s="69"/>
      <c r="M77" s="68"/>
      <c r="N77" s="69"/>
    </row>
    <row r="78" spans="1:14" x14ac:dyDescent="0.3">
      <c r="A78" s="69"/>
      <c r="B78" s="69"/>
      <c r="C78" s="68"/>
      <c r="D78" s="69"/>
      <c r="E78" s="69"/>
      <c r="F78" s="69"/>
      <c r="G78" s="79"/>
      <c r="H78" s="69"/>
      <c r="I78" s="69"/>
      <c r="J78" s="68"/>
      <c r="K78" s="80" t="str">
        <f t="shared" si="1"/>
        <v/>
      </c>
      <c r="L78" s="69"/>
      <c r="M78" s="68"/>
      <c r="N78" s="69"/>
    </row>
    <row r="79" spans="1:14" x14ac:dyDescent="0.3">
      <c r="A79" s="69"/>
      <c r="B79" s="69"/>
      <c r="C79" s="68"/>
      <c r="D79" s="69"/>
      <c r="E79" s="69"/>
      <c r="F79" s="69"/>
      <c r="G79" s="79"/>
      <c r="H79" s="69"/>
      <c r="I79" s="69"/>
      <c r="J79" s="68"/>
      <c r="K79" s="80" t="str">
        <f t="shared" si="1"/>
        <v/>
      </c>
      <c r="L79" s="69"/>
      <c r="M79" s="68"/>
      <c r="N79" s="69"/>
    </row>
    <row r="80" spans="1:14" x14ac:dyDescent="0.3">
      <c r="A80" s="69"/>
      <c r="B80" s="69"/>
      <c r="C80" s="68"/>
      <c r="D80" s="69"/>
      <c r="E80" s="69"/>
      <c r="F80" s="69"/>
      <c r="G80" s="79"/>
      <c r="H80" s="69"/>
      <c r="I80" s="69"/>
      <c r="J80" s="68"/>
      <c r="K80" s="80" t="str">
        <f t="shared" si="1"/>
        <v/>
      </c>
      <c r="L80" s="69"/>
      <c r="M80" s="68"/>
      <c r="N80" s="69"/>
    </row>
    <row r="81" spans="1:14" x14ac:dyDescent="0.3">
      <c r="A81" s="69"/>
      <c r="B81" s="69"/>
      <c r="C81" s="68"/>
      <c r="D81" s="69"/>
      <c r="E81" s="69"/>
      <c r="F81" s="69"/>
      <c r="G81" s="79"/>
      <c r="H81" s="69"/>
      <c r="I81" s="69"/>
      <c r="J81" s="68"/>
      <c r="K81" s="80" t="str">
        <f t="shared" si="1"/>
        <v/>
      </c>
      <c r="L81" s="69"/>
      <c r="M81" s="68"/>
      <c r="N81" s="69"/>
    </row>
    <row r="82" spans="1:14" x14ac:dyDescent="0.3">
      <c r="A82" s="69"/>
      <c r="B82" s="69"/>
      <c r="C82" s="68"/>
      <c r="D82" s="69"/>
      <c r="E82" s="69"/>
      <c r="F82" s="69"/>
      <c r="G82" s="79"/>
      <c r="H82" s="69"/>
      <c r="I82" s="69"/>
      <c r="J82" s="68"/>
      <c r="K82" s="80" t="str">
        <f t="shared" si="1"/>
        <v/>
      </c>
      <c r="L82" s="69"/>
      <c r="M82" s="68"/>
      <c r="N82" s="69"/>
    </row>
    <row r="83" spans="1:14" x14ac:dyDescent="0.3">
      <c r="A83" s="69"/>
      <c r="B83" s="69"/>
      <c r="C83" s="68"/>
      <c r="D83" s="69"/>
      <c r="E83" s="69"/>
      <c r="F83" s="69"/>
      <c r="G83" s="79"/>
      <c r="H83" s="69"/>
      <c r="I83" s="69"/>
      <c r="J83" s="68"/>
      <c r="K83" s="80" t="str">
        <f t="shared" si="1"/>
        <v/>
      </c>
      <c r="L83" s="69"/>
      <c r="M83" s="68"/>
      <c r="N83" s="69"/>
    </row>
    <row r="84" spans="1:14" x14ac:dyDescent="0.3">
      <c r="A84" s="69"/>
      <c r="B84" s="69"/>
      <c r="C84" s="68"/>
      <c r="D84" s="69"/>
      <c r="E84" s="69"/>
      <c r="F84" s="69"/>
      <c r="G84" s="79"/>
      <c r="H84" s="69"/>
      <c r="I84" s="69"/>
      <c r="J84" s="68"/>
      <c r="K84" s="80" t="str">
        <f t="shared" si="1"/>
        <v/>
      </c>
      <c r="L84" s="69"/>
      <c r="M84" s="68"/>
      <c r="N84" s="69"/>
    </row>
    <row r="85" spans="1:14" x14ac:dyDescent="0.3">
      <c r="A85" s="69"/>
      <c r="B85" s="69"/>
      <c r="C85" s="68"/>
      <c r="D85" s="69"/>
      <c r="E85" s="69"/>
      <c r="F85" s="69"/>
      <c r="G85" s="79"/>
      <c r="H85" s="69"/>
      <c r="I85" s="69"/>
      <c r="J85" s="68"/>
      <c r="K85" s="80" t="str">
        <f t="shared" si="1"/>
        <v/>
      </c>
      <c r="L85" s="69"/>
      <c r="M85" s="68"/>
      <c r="N85" s="69"/>
    </row>
    <row r="86" spans="1:14" x14ac:dyDescent="0.3">
      <c r="A86" s="69"/>
      <c r="B86" s="69"/>
      <c r="C86" s="68"/>
      <c r="D86" s="69"/>
      <c r="E86" s="69"/>
      <c r="F86" s="69"/>
      <c r="G86" s="79"/>
      <c r="H86" s="69"/>
      <c r="I86" s="69"/>
      <c r="J86" s="68"/>
      <c r="K86" s="80" t="str">
        <f t="shared" si="1"/>
        <v/>
      </c>
      <c r="L86" s="69"/>
      <c r="M86" s="68"/>
      <c r="N86" s="69"/>
    </row>
    <row r="87" spans="1:14" x14ac:dyDescent="0.3">
      <c r="A87" s="69"/>
      <c r="B87" s="69"/>
      <c r="C87" s="68"/>
      <c r="D87" s="69"/>
      <c r="E87" s="69"/>
      <c r="F87" s="69"/>
      <c r="G87" s="79"/>
      <c r="H87" s="69"/>
      <c r="I87" s="69"/>
      <c r="J87" s="68"/>
      <c r="K87" s="80" t="str">
        <f t="shared" si="1"/>
        <v/>
      </c>
      <c r="L87" s="69"/>
      <c r="M87" s="68"/>
      <c r="N87" s="69"/>
    </row>
    <row r="88" spans="1:14" x14ac:dyDescent="0.3">
      <c r="A88" s="69"/>
      <c r="B88" s="69"/>
      <c r="C88" s="68"/>
      <c r="D88" s="69"/>
      <c r="E88" s="69"/>
      <c r="F88" s="69"/>
      <c r="G88" s="79"/>
      <c r="H88" s="69"/>
      <c r="I88" s="69"/>
      <c r="J88" s="68"/>
      <c r="K88" s="80" t="str">
        <f t="shared" si="1"/>
        <v/>
      </c>
      <c r="L88" s="69"/>
      <c r="M88" s="68"/>
      <c r="N88" s="69"/>
    </row>
    <row r="89" spans="1:14" x14ac:dyDescent="0.3">
      <c r="A89" s="69"/>
      <c r="B89" s="69"/>
      <c r="C89" s="68"/>
      <c r="D89" s="69"/>
      <c r="E89" s="69"/>
      <c r="F89" s="69"/>
      <c r="G89" s="79"/>
      <c r="H89" s="69"/>
      <c r="I89" s="69"/>
      <c r="J89" s="68"/>
      <c r="K89" s="80" t="str">
        <f t="shared" si="1"/>
        <v/>
      </c>
      <c r="L89" s="69"/>
      <c r="M89" s="68"/>
      <c r="N89" s="69"/>
    </row>
    <row r="90" spans="1:14" x14ac:dyDescent="0.3">
      <c r="A90" s="69"/>
      <c r="B90" s="69"/>
      <c r="C90" s="68"/>
      <c r="D90" s="69"/>
      <c r="E90" s="69"/>
      <c r="F90" s="69"/>
      <c r="G90" s="79"/>
      <c r="H90" s="69"/>
      <c r="I90" s="69"/>
      <c r="J90" s="68"/>
      <c r="K90" s="80" t="str">
        <f t="shared" si="1"/>
        <v/>
      </c>
      <c r="L90" s="69"/>
      <c r="M90" s="68"/>
      <c r="N90" s="69"/>
    </row>
    <row r="91" spans="1:14" x14ac:dyDescent="0.3">
      <c r="A91" s="69"/>
      <c r="B91" s="69"/>
      <c r="C91" s="68"/>
      <c r="D91" s="69"/>
      <c r="E91" s="69"/>
      <c r="F91" s="69"/>
      <c r="G91" s="79"/>
      <c r="H91" s="69"/>
      <c r="I91" s="69"/>
      <c r="J91" s="68"/>
      <c r="K91" s="80" t="str">
        <f t="shared" si="1"/>
        <v/>
      </c>
      <c r="L91" s="69"/>
      <c r="M91" s="68"/>
      <c r="N91" s="69"/>
    </row>
    <row r="92" spans="1:14" x14ac:dyDescent="0.3">
      <c r="A92" s="69"/>
      <c r="B92" s="69"/>
      <c r="C92" s="68"/>
      <c r="D92" s="69"/>
      <c r="E92" s="69"/>
      <c r="F92" s="69"/>
      <c r="G92" s="79"/>
      <c r="H92" s="69"/>
      <c r="I92" s="69"/>
      <c r="J92" s="68"/>
      <c r="K92" s="80" t="str">
        <f t="shared" si="1"/>
        <v/>
      </c>
      <c r="L92" s="69"/>
      <c r="M92" s="68"/>
      <c r="N92" s="69"/>
    </row>
    <row r="93" spans="1:14" x14ac:dyDescent="0.3">
      <c r="A93" s="69"/>
      <c r="B93" s="69"/>
      <c r="C93" s="68"/>
      <c r="D93" s="69"/>
      <c r="E93" s="69"/>
      <c r="F93" s="69"/>
      <c r="G93" s="79"/>
      <c r="H93" s="69"/>
      <c r="I93" s="69"/>
      <c r="J93" s="68"/>
      <c r="K93" s="80" t="str">
        <f t="shared" si="1"/>
        <v/>
      </c>
      <c r="L93" s="69"/>
      <c r="M93" s="68"/>
      <c r="N93" s="69"/>
    </row>
    <row r="94" spans="1:14" x14ac:dyDescent="0.3">
      <c r="A94" s="69"/>
      <c r="B94" s="69"/>
      <c r="C94" s="68"/>
      <c r="D94" s="69"/>
      <c r="E94" s="69"/>
      <c r="F94" s="69"/>
      <c r="G94" s="79"/>
      <c r="H94" s="69"/>
      <c r="I94" s="69"/>
      <c r="J94" s="68"/>
      <c r="K94" s="80" t="str">
        <f t="shared" si="1"/>
        <v/>
      </c>
      <c r="L94" s="69"/>
      <c r="M94" s="68"/>
      <c r="N94" s="69"/>
    </row>
    <row r="95" spans="1:14" x14ac:dyDescent="0.3">
      <c r="A95" s="69"/>
      <c r="B95" s="69"/>
      <c r="C95" s="68"/>
      <c r="D95" s="69"/>
      <c r="E95" s="69"/>
      <c r="F95" s="69"/>
      <c r="G95" s="79"/>
      <c r="H95" s="69"/>
      <c r="I95" s="69"/>
      <c r="J95" s="68"/>
      <c r="K95" s="80" t="str">
        <f t="shared" si="1"/>
        <v/>
      </c>
      <c r="L95" s="69"/>
      <c r="M95" s="68"/>
      <c r="N95" s="69"/>
    </row>
    <row r="96" spans="1:14" x14ac:dyDescent="0.3">
      <c r="A96" s="69"/>
      <c r="B96" s="69"/>
      <c r="C96" s="68"/>
      <c r="D96" s="69"/>
      <c r="E96" s="69"/>
      <c r="F96" s="69"/>
      <c r="G96" s="79"/>
      <c r="H96" s="69"/>
      <c r="I96" s="69"/>
      <c r="J96" s="68"/>
      <c r="K96" s="80" t="str">
        <f t="shared" si="1"/>
        <v/>
      </c>
      <c r="L96" s="69"/>
      <c r="M96" s="68"/>
      <c r="N96" s="69"/>
    </row>
    <row r="97" spans="1:14" x14ac:dyDescent="0.3">
      <c r="A97" s="69"/>
      <c r="B97" s="69"/>
      <c r="C97" s="68"/>
      <c r="D97" s="69"/>
      <c r="E97" s="69"/>
      <c r="F97" s="69"/>
      <c r="G97" s="79"/>
      <c r="H97" s="69"/>
      <c r="I97" s="69"/>
      <c r="J97" s="68"/>
      <c r="K97" s="80" t="str">
        <f t="shared" si="1"/>
        <v/>
      </c>
      <c r="L97" s="69"/>
      <c r="M97" s="68"/>
      <c r="N97" s="69"/>
    </row>
    <row r="98" spans="1:14" x14ac:dyDescent="0.3">
      <c r="A98" s="69"/>
      <c r="B98" s="69"/>
      <c r="C98" s="68"/>
      <c r="D98" s="69"/>
      <c r="E98" s="69"/>
      <c r="F98" s="69"/>
      <c r="G98" s="79"/>
      <c r="H98" s="69"/>
      <c r="I98" s="69"/>
      <c r="J98" s="68"/>
      <c r="K98" s="80" t="str">
        <f t="shared" si="1"/>
        <v/>
      </c>
      <c r="L98" s="69"/>
      <c r="M98" s="68"/>
      <c r="N98" s="69"/>
    </row>
    <row r="99" spans="1:14" x14ac:dyDescent="0.3">
      <c r="A99" s="69"/>
      <c r="B99" s="69"/>
      <c r="C99" s="68"/>
      <c r="D99" s="69"/>
      <c r="E99" s="69"/>
      <c r="F99" s="69"/>
      <c r="G99" s="79"/>
      <c r="H99" s="69"/>
      <c r="I99" s="69"/>
      <c r="J99" s="68"/>
      <c r="K99" s="80" t="str">
        <f t="shared" si="1"/>
        <v/>
      </c>
      <c r="L99" s="69"/>
      <c r="M99" s="68"/>
      <c r="N99" s="69"/>
    </row>
    <row r="100" spans="1:14" x14ac:dyDescent="0.3">
      <c r="A100" s="69"/>
      <c r="B100" s="69"/>
      <c r="C100" s="68"/>
      <c r="D100" s="69"/>
      <c r="E100" s="69"/>
      <c r="F100" s="69"/>
      <c r="G100" s="79"/>
      <c r="H100" s="69"/>
      <c r="I100" s="69"/>
      <c r="J100" s="68"/>
      <c r="K100" s="80" t="str">
        <f t="shared" si="1"/>
        <v/>
      </c>
      <c r="L100" s="69"/>
      <c r="M100" s="68"/>
      <c r="N100" s="69"/>
    </row>
    <row r="101" spans="1:14" x14ac:dyDescent="0.3">
      <c r="A101" s="69"/>
      <c r="B101" s="69"/>
      <c r="C101" s="68"/>
      <c r="D101" s="69"/>
      <c r="E101" s="69"/>
      <c r="F101" s="69"/>
      <c r="G101" s="79"/>
      <c r="H101" s="69"/>
      <c r="I101" s="69"/>
      <c r="J101" s="68"/>
      <c r="K101" s="80" t="str">
        <f t="shared" si="1"/>
        <v/>
      </c>
      <c r="L101" s="69"/>
      <c r="M101" s="68"/>
      <c r="N101" s="69"/>
    </row>
    <row r="102" spans="1:14" x14ac:dyDescent="0.3">
      <c r="A102" s="69"/>
      <c r="B102" s="69"/>
      <c r="C102" s="68"/>
      <c r="D102" s="69"/>
      <c r="E102" s="69"/>
      <c r="F102" s="69"/>
      <c r="G102" s="79"/>
      <c r="H102" s="69"/>
      <c r="I102" s="69"/>
      <c r="J102" s="68"/>
      <c r="K102" s="80" t="str">
        <f t="shared" si="1"/>
        <v/>
      </c>
      <c r="L102" s="69"/>
      <c r="M102" s="68"/>
      <c r="N102" s="69"/>
    </row>
    <row r="103" spans="1:14" x14ac:dyDescent="0.3">
      <c r="A103" s="69"/>
      <c r="B103" s="69"/>
      <c r="C103" s="68"/>
      <c r="D103" s="69"/>
      <c r="E103" s="69"/>
      <c r="F103" s="69"/>
      <c r="G103" s="79"/>
      <c r="H103" s="69"/>
      <c r="I103" s="69"/>
      <c r="J103" s="68"/>
      <c r="K103" s="80" t="str">
        <f t="shared" si="1"/>
        <v/>
      </c>
      <c r="L103" s="69"/>
      <c r="M103" s="68"/>
      <c r="N103" s="69"/>
    </row>
    <row r="104" spans="1:14" x14ac:dyDescent="0.3">
      <c r="A104" s="69"/>
      <c r="B104" s="69"/>
      <c r="C104" s="68"/>
      <c r="D104" s="69"/>
      <c r="E104" s="69"/>
      <c r="F104" s="69"/>
      <c r="G104" s="79"/>
      <c r="H104" s="69"/>
      <c r="I104" s="69"/>
      <c r="J104" s="68"/>
      <c r="K104" s="80" t="str">
        <f t="shared" si="1"/>
        <v/>
      </c>
      <c r="L104" s="69"/>
      <c r="M104" s="68"/>
      <c r="N104" s="69"/>
    </row>
    <row r="105" spans="1:14" x14ac:dyDescent="0.3">
      <c r="A105" s="69"/>
      <c r="B105" s="69"/>
      <c r="C105" s="68"/>
      <c r="D105" s="69"/>
      <c r="E105" s="69"/>
      <c r="F105" s="69"/>
      <c r="G105" s="79"/>
      <c r="H105" s="69"/>
      <c r="I105" s="69"/>
      <c r="J105" s="68"/>
      <c r="K105" s="80" t="str">
        <f t="shared" si="1"/>
        <v/>
      </c>
      <c r="L105" s="69"/>
      <c r="M105" s="68"/>
      <c r="N105" s="69"/>
    </row>
    <row r="106" spans="1:14" x14ac:dyDescent="0.3">
      <c r="A106" s="69"/>
      <c r="B106" s="69"/>
      <c r="C106" s="68"/>
      <c r="D106" s="69"/>
      <c r="E106" s="69"/>
      <c r="F106" s="69"/>
      <c r="G106" s="79"/>
      <c r="H106" s="69"/>
      <c r="I106" s="69"/>
      <c r="J106" s="68"/>
      <c r="K106" s="80" t="str">
        <f t="shared" si="1"/>
        <v/>
      </c>
      <c r="L106" s="69"/>
      <c r="M106" s="68"/>
      <c r="N106" s="69"/>
    </row>
    <row r="107" spans="1:14" x14ac:dyDescent="0.3">
      <c r="A107" s="69"/>
      <c r="B107" s="69"/>
      <c r="C107" s="68"/>
      <c r="D107" s="69"/>
      <c r="E107" s="69"/>
      <c r="F107" s="69"/>
      <c r="G107" s="79"/>
      <c r="H107" s="69"/>
      <c r="I107" s="69"/>
      <c r="J107" s="68"/>
      <c r="K107" s="80" t="str">
        <f t="shared" si="1"/>
        <v/>
      </c>
      <c r="L107" s="69"/>
      <c r="M107" s="68"/>
      <c r="N107" s="69"/>
    </row>
    <row r="108" spans="1:14" x14ac:dyDescent="0.3">
      <c r="A108" s="69"/>
      <c r="B108" s="69"/>
      <c r="C108" s="68"/>
      <c r="D108" s="69"/>
      <c r="E108" s="69"/>
      <c r="F108" s="69"/>
      <c r="G108" s="79"/>
      <c r="H108" s="69"/>
      <c r="I108" s="69"/>
      <c r="J108" s="68"/>
      <c r="K108" s="80" t="str">
        <f t="shared" si="1"/>
        <v/>
      </c>
      <c r="L108" s="69"/>
      <c r="M108" s="68"/>
      <c r="N108" s="69"/>
    </row>
    <row r="109" spans="1:14" x14ac:dyDescent="0.3">
      <c r="A109" s="69"/>
      <c r="B109" s="69"/>
      <c r="C109" s="68"/>
      <c r="D109" s="69"/>
      <c r="E109" s="69"/>
      <c r="F109" s="69"/>
      <c r="G109" s="79"/>
      <c r="H109" s="69"/>
      <c r="I109" s="69"/>
      <c r="J109" s="68"/>
      <c r="K109" s="80" t="str">
        <f t="shared" si="1"/>
        <v/>
      </c>
      <c r="L109" s="69"/>
      <c r="M109" s="68"/>
      <c r="N109" s="69"/>
    </row>
    <row r="110" spans="1:14" x14ac:dyDescent="0.3">
      <c r="A110" s="69"/>
      <c r="B110" s="69"/>
      <c r="C110" s="68"/>
      <c r="D110" s="69"/>
      <c r="E110" s="69"/>
      <c r="F110" s="69"/>
      <c r="G110" s="79"/>
      <c r="H110" s="69"/>
      <c r="I110" s="69"/>
      <c r="J110" s="68"/>
      <c r="K110" s="80" t="str">
        <f t="shared" si="1"/>
        <v/>
      </c>
      <c r="L110" s="69"/>
      <c r="M110" s="68"/>
      <c r="N110" s="69"/>
    </row>
    <row r="111" spans="1:14" x14ac:dyDescent="0.3">
      <c r="A111" s="69"/>
      <c r="B111" s="69"/>
      <c r="C111" s="68"/>
      <c r="D111" s="69"/>
      <c r="E111" s="69"/>
      <c r="F111" s="69"/>
      <c r="G111" s="79"/>
      <c r="H111" s="69"/>
      <c r="I111" s="69"/>
      <c r="J111" s="68"/>
      <c r="K111" s="80" t="str">
        <f t="shared" si="1"/>
        <v/>
      </c>
      <c r="L111" s="69"/>
      <c r="M111" s="68"/>
      <c r="N111" s="69"/>
    </row>
    <row r="112" spans="1:14" x14ac:dyDescent="0.3">
      <c r="A112" s="69"/>
      <c r="B112" s="69"/>
      <c r="C112" s="68"/>
      <c r="D112" s="69"/>
      <c r="E112" s="69"/>
      <c r="F112" s="69"/>
      <c r="G112" s="79"/>
      <c r="H112" s="69"/>
      <c r="I112" s="69"/>
      <c r="J112" s="68"/>
      <c r="K112" s="80" t="str">
        <f t="shared" si="1"/>
        <v/>
      </c>
      <c r="L112" s="69"/>
      <c r="M112" s="68"/>
      <c r="N112" s="69"/>
    </row>
    <row r="113" spans="1:14" x14ac:dyDescent="0.3">
      <c r="A113" s="69"/>
      <c r="B113" s="69"/>
      <c r="C113" s="68"/>
      <c r="D113" s="69"/>
      <c r="E113" s="69"/>
      <c r="F113" s="69"/>
      <c r="G113" s="79"/>
      <c r="H113" s="69"/>
      <c r="I113" s="69"/>
      <c r="J113" s="68"/>
      <c r="K113" s="80" t="str">
        <f t="shared" si="1"/>
        <v/>
      </c>
      <c r="L113" s="69"/>
      <c r="M113" s="68"/>
      <c r="N113" s="69"/>
    </row>
    <row r="114" spans="1:14" x14ac:dyDescent="0.3">
      <c r="A114" s="69"/>
      <c r="B114" s="69"/>
      <c r="C114" s="68"/>
      <c r="D114" s="69"/>
      <c r="E114" s="69"/>
      <c r="F114" s="69"/>
      <c r="G114" s="79"/>
      <c r="H114" s="69"/>
      <c r="I114" s="69"/>
      <c r="J114" s="68"/>
      <c r="K114" s="80" t="str">
        <f t="shared" si="1"/>
        <v/>
      </c>
      <c r="L114" s="69"/>
      <c r="M114" s="68"/>
      <c r="N114" s="69"/>
    </row>
    <row r="115" spans="1:14" x14ac:dyDescent="0.3">
      <c r="A115" s="69"/>
      <c r="B115" s="69"/>
      <c r="C115" s="68"/>
      <c r="D115" s="69"/>
      <c r="E115" s="69"/>
      <c r="F115" s="69"/>
      <c r="G115" s="79"/>
      <c r="H115" s="69"/>
      <c r="I115" s="69"/>
      <c r="J115" s="68"/>
      <c r="K115" s="80" t="str">
        <f t="shared" si="1"/>
        <v/>
      </c>
      <c r="L115" s="69"/>
      <c r="M115" s="68"/>
      <c r="N115" s="69"/>
    </row>
    <row r="116" spans="1:14" x14ac:dyDescent="0.3">
      <c r="A116" s="69"/>
      <c r="B116" s="69"/>
      <c r="C116" s="68"/>
      <c r="D116" s="69"/>
      <c r="E116" s="69"/>
      <c r="F116" s="69"/>
      <c r="G116" s="79"/>
      <c r="H116" s="69"/>
      <c r="I116" s="69"/>
      <c r="J116" s="68"/>
      <c r="K116" s="80" t="str">
        <f t="shared" si="1"/>
        <v/>
      </c>
      <c r="L116" s="69"/>
      <c r="M116" s="68"/>
      <c r="N116" s="69"/>
    </row>
    <row r="117" spans="1:14" x14ac:dyDescent="0.3">
      <c r="A117" s="69"/>
      <c r="B117" s="69"/>
      <c r="C117" s="68"/>
      <c r="D117" s="69"/>
      <c r="E117" s="69"/>
      <c r="F117" s="69"/>
      <c r="G117" s="79"/>
      <c r="H117" s="69"/>
      <c r="I117" s="69"/>
      <c r="J117" s="68"/>
      <c r="K117" s="80" t="str">
        <f t="shared" si="1"/>
        <v/>
      </c>
      <c r="L117" s="69"/>
      <c r="M117" s="68"/>
      <c r="N117" s="69"/>
    </row>
    <row r="118" spans="1:14" x14ac:dyDescent="0.3">
      <c r="A118" s="69"/>
      <c r="B118" s="69"/>
      <c r="C118" s="68"/>
      <c r="D118" s="69"/>
      <c r="E118" s="69"/>
      <c r="F118" s="69"/>
      <c r="G118" s="79"/>
      <c r="H118" s="69"/>
      <c r="I118" s="69"/>
      <c r="J118" s="68"/>
      <c r="K118" s="80" t="str">
        <f t="shared" si="1"/>
        <v/>
      </c>
      <c r="L118" s="69"/>
      <c r="M118" s="68"/>
      <c r="N118" s="69"/>
    </row>
    <row r="119" spans="1:14" x14ac:dyDescent="0.3">
      <c r="A119" s="69"/>
      <c r="B119" s="69"/>
      <c r="C119" s="68"/>
      <c r="D119" s="69"/>
      <c r="E119" s="69"/>
      <c r="F119" s="69"/>
      <c r="G119" s="79"/>
      <c r="H119" s="69"/>
      <c r="I119" s="69"/>
      <c r="J119" s="68"/>
      <c r="K119" s="80" t="str">
        <f t="shared" si="1"/>
        <v/>
      </c>
      <c r="L119" s="69"/>
      <c r="M119" s="68"/>
      <c r="N119" s="69"/>
    </row>
    <row r="120" spans="1:14" x14ac:dyDescent="0.3">
      <c r="A120" s="69"/>
      <c r="B120" s="69"/>
      <c r="C120" s="68"/>
      <c r="D120" s="69"/>
      <c r="E120" s="69"/>
      <c r="F120" s="69"/>
      <c r="G120" s="79"/>
      <c r="H120" s="69"/>
      <c r="I120" s="69"/>
      <c r="J120" s="68"/>
      <c r="K120" s="80" t="str">
        <f t="shared" si="1"/>
        <v/>
      </c>
      <c r="L120" s="69"/>
      <c r="M120" s="68"/>
      <c r="N120" s="69"/>
    </row>
    <row r="121" spans="1:14" x14ac:dyDescent="0.3">
      <c r="A121" s="69"/>
      <c r="B121" s="69"/>
      <c r="C121" s="68"/>
      <c r="D121" s="69"/>
      <c r="E121" s="69"/>
      <c r="F121" s="69"/>
      <c r="G121" s="79"/>
      <c r="H121" s="69"/>
      <c r="I121" s="69"/>
      <c r="J121" s="68"/>
      <c r="K121" s="80" t="str">
        <f t="shared" si="1"/>
        <v/>
      </c>
      <c r="L121" s="69"/>
      <c r="M121" s="68"/>
      <c r="N121" s="69"/>
    </row>
    <row r="122" spans="1:14" x14ac:dyDescent="0.3">
      <c r="A122" s="69"/>
      <c r="B122" s="69"/>
      <c r="C122" s="68"/>
      <c r="D122" s="69"/>
      <c r="E122" s="69"/>
      <c r="F122" s="69"/>
      <c r="G122" s="79"/>
      <c r="H122" s="69"/>
      <c r="I122" s="69"/>
      <c r="J122" s="68"/>
      <c r="K122" s="80" t="str">
        <f t="shared" si="1"/>
        <v/>
      </c>
      <c r="L122" s="69"/>
      <c r="M122" s="68"/>
      <c r="N122" s="69"/>
    </row>
    <row r="123" spans="1:14" x14ac:dyDescent="0.3">
      <c r="A123" s="69"/>
      <c r="B123" s="69"/>
      <c r="C123" s="68"/>
      <c r="D123" s="69"/>
      <c r="E123" s="69"/>
      <c r="F123" s="69"/>
      <c r="G123" s="79"/>
      <c r="H123" s="69"/>
      <c r="I123" s="69"/>
      <c r="J123" s="68"/>
      <c r="K123" s="80" t="str">
        <f t="shared" si="1"/>
        <v/>
      </c>
      <c r="L123" s="69"/>
      <c r="M123" s="68"/>
      <c r="N123" s="69"/>
    </row>
    <row r="124" spans="1:14" x14ac:dyDescent="0.3">
      <c r="A124" s="69"/>
      <c r="B124" s="69"/>
      <c r="C124" s="68"/>
      <c r="D124" s="69"/>
      <c r="E124" s="69"/>
      <c r="F124" s="69"/>
      <c r="G124" s="79"/>
      <c r="H124" s="69"/>
      <c r="I124" s="69"/>
      <c r="J124" s="68"/>
      <c r="K124" s="80" t="str">
        <f t="shared" si="1"/>
        <v/>
      </c>
      <c r="L124" s="69"/>
      <c r="M124" s="68"/>
      <c r="N124" s="69"/>
    </row>
    <row r="125" spans="1:14" x14ac:dyDescent="0.3">
      <c r="A125" s="69"/>
      <c r="B125" s="69"/>
      <c r="C125" s="68"/>
      <c r="D125" s="69"/>
      <c r="E125" s="69"/>
      <c r="F125" s="69"/>
      <c r="G125" s="79"/>
      <c r="H125" s="69"/>
      <c r="I125" s="69"/>
      <c r="J125" s="68"/>
      <c r="K125" s="80" t="str">
        <f t="shared" si="1"/>
        <v/>
      </c>
      <c r="L125" s="69"/>
      <c r="M125" s="68"/>
      <c r="N125" s="69"/>
    </row>
    <row r="126" spans="1:14" x14ac:dyDescent="0.3">
      <c r="A126" s="69"/>
      <c r="B126" s="69"/>
      <c r="C126" s="68"/>
      <c r="D126" s="69"/>
      <c r="E126" s="69"/>
      <c r="F126" s="69"/>
      <c r="G126" s="79"/>
      <c r="H126" s="69"/>
      <c r="I126" s="69"/>
      <c r="J126" s="68"/>
      <c r="K126" s="80" t="str">
        <f t="shared" si="1"/>
        <v/>
      </c>
      <c r="L126" s="69"/>
      <c r="M126" s="68"/>
      <c r="N126" s="69"/>
    </row>
    <row r="127" spans="1:14" x14ac:dyDescent="0.3">
      <c r="A127" s="69"/>
      <c r="B127" s="69"/>
      <c r="C127" s="68"/>
      <c r="D127" s="69"/>
      <c r="E127" s="69"/>
      <c r="F127" s="69"/>
      <c r="G127" s="79"/>
      <c r="H127" s="69"/>
      <c r="I127" s="69"/>
      <c r="J127" s="68"/>
      <c r="K127" s="80" t="str">
        <f t="shared" si="1"/>
        <v/>
      </c>
      <c r="L127" s="69"/>
      <c r="M127" s="68"/>
      <c r="N127" s="69"/>
    </row>
    <row r="128" spans="1:14" x14ac:dyDescent="0.3">
      <c r="A128" s="69"/>
      <c r="B128" s="69"/>
      <c r="C128" s="68"/>
      <c r="D128" s="69"/>
      <c r="E128" s="69"/>
      <c r="F128" s="69"/>
      <c r="G128" s="79"/>
      <c r="H128" s="69"/>
      <c r="I128" s="69"/>
      <c r="J128" s="68"/>
      <c r="K128" s="80" t="str">
        <f t="shared" si="1"/>
        <v/>
      </c>
      <c r="L128" s="69"/>
      <c r="M128" s="68"/>
      <c r="N128" s="69"/>
    </row>
    <row r="129" spans="1:14" x14ac:dyDescent="0.3">
      <c r="A129" s="69"/>
      <c r="B129" s="69"/>
      <c r="C129" s="68"/>
      <c r="D129" s="69"/>
      <c r="E129" s="69"/>
      <c r="F129" s="69"/>
      <c r="G129" s="79"/>
      <c r="H129" s="69"/>
      <c r="I129" s="69"/>
      <c r="J129" s="68"/>
      <c r="K129" s="80" t="str">
        <f t="shared" si="1"/>
        <v/>
      </c>
      <c r="L129" s="69"/>
      <c r="M129" s="68"/>
      <c r="N129" s="69"/>
    </row>
    <row r="130" spans="1:14" x14ac:dyDescent="0.3">
      <c r="A130" s="69"/>
      <c r="B130" s="69"/>
      <c r="C130" s="68"/>
      <c r="D130" s="69"/>
      <c r="E130" s="69"/>
      <c r="F130" s="69"/>
      <c r="G130" s="79"/>
      <c r="H130" s="69"/>
      <c r="I130" s="69"/>
      <c r="J130" s="68"/>
      <c r="K130" s="80" t="str">
        <f t="shared" si="1"/>
        <v/>
      </c>
      <c r="L130" s="69"/>
      <c r="M130" s="68"/>
      <c r="N130" s="69"/>
    </row>
    <row r="131" spans="1:14" x14ac:dyDescent="0.3">
      <c r="A131" s="69"/>
      <c r="B131" s="69"/>
      <c r="C131" s="68"/>
      <c r="D131" s="69"/>
      <c r="E131" s="69"/>
      <c r="F131" s="69"/>
      <c r="G131" s="79"/>
      <c r="H131" s="69"/>
      <c r="I131" s="69"/>
      <c r="J131" s="68"/>
      <c r="K131" s="80" t="str">
        <f t="shared" si="1"/>
        <v/>
      </c>
      <c r="L131" s="69"/>
      <c r="M131" s="68"/>
      <c r="N131" s="69"/>
    </row>
    <row r="132" spans="1:14" x14ac:dyDescent="0.3">
      <c r="A132" s="69"/>
      <c r="B132" s="69"/>
      <c r="C132" s="68"/>
      <c r="D132" s="69"/>
      <c r="E132" s="69"/>
      <c r="F132" s="69"/>
      <c r="G132" s="79"/>
      <c r="H132" s="69"/>
      <c r="I132" s="69"/>
      <c r="J132" s="68"/>
      <c r="K132" s="80" t="str">
        <f t="shared" si="1"/>
        <v/>
      </c>
      <c r="L132" s="69"/>
      <c r="M132" s="68"/>
      <c r="N132" s="69"/>
    </row>
    <row r="133" spans="1:14" x14ac:dyDescent="0.3">
      <c r="A133" s="69"/>
      <c r="B133" s="69"/>
      <c r="C133" s="68"/>
      <c r="D133" s="69"/>
      <c r="E133" s="69"/>
      <c r="F133" s="69"/>
      <c r="G133" s="79"/>
      <c r="H133" s="69"/>
      <c r="I133" s="69"/>
      <c r="J133" s="68"/>
      <c r="K133" s="80" t="str">
        <f t="shared" ref="K133:K196" si="2">IF(OR(C133="",J133=""),"",J133-C133)</f>
        <v/>
      </c>
      <c r="L133" s="69"/>
      <c r="M133" s="68"/>
      <c r="N133" s="69"/>
    </row>
    <row r="134" spans="1:14" x14ac:dyDescent="0.3">
      <c r="A134" s="69"/>
      <c r="B134" s="69"/>
      <c r="C134" s="68"/>
      <c r="D134" s="69"/>
      <c r="E134" s="69"/>
      <c r="F134" s="69"/>
      <c r="G134" s="79"/>
      <c r="H134" s="69"/>
      <c r="I134" s="69"/>
      <c r="J134" s="68"/>
      <c r="K134" s="80" t="str">
        <f t="shared" si="2"/>
        <v/>
      </c>
      <c r="L134" s="69"/>
      <c r="M134" s="68"/>
      <c r="N134" s="69"/>
    </row>
    <row r="135" spans="1:14" x14ac:dyDescent="0.3">
      <c r="A135" s="69"/>
      <c r="B135" s="69"/>
      <c r="C135" s="68"/>
      <c r="D135" s="69"/>
      <c r="E135" s="69"/>
      <c r="F135" s="69"/>
      <c r="G135" s="79"/>
      <c r="H135" s="69"/>
      <c r="I135" s="69"/>
      <c r="J135" s="68"/>
      <c r="K135" s="80" t="str">
        <f t="shared" si="2"/>
        <v/>
      </c>
      <c r="L135" s="69"/>
      <c r="M135" s="68"/>
      <c r="N135" s="69"/>
    </row>
    <row r="136" spans="1:14" x14ac:dyDescent="0.3">
      <c r="A136" s="69"/>
      <c r="B136" s="69"/>
      <c r="C136" s="68"/>
      <c r="D136" s="69"/>
      <c r="E136" s="69"/>
      <c r="F136" s="69"/>
      <c r="G136" s="79"/>
      <c r="H136" s="69"/>
      <c r="I136" s="69"/>
      <c r="J136" s="68"/>
      <c r="K136" s="80" t="str">
        <f t="shared" si="2"/>
        <v/>
      </c>
      <c r="L136" s="69"/>
      <c r="M136" s="68"/>
      <c r="N136" s="69"/>
    </row>
    <row r="137" spans="1:14" x14ac:dyDescent="0.3">
      <c r="A137" s="69"/>
      <c r="B137" s="69"/>
      <c r="C137" s="68"/>
      <c r="D137" s="69"/>
      <c r="E137" s="69"/>
      <c r="F137" s="69"/>
      <c r="G137" s="79"/>
      <c r="H137" s="69"/>
      <c r="I137" s="69"/>
      <c r="J137" s="68"/>
      <c r="K137" s="80" t="str">
        <f t="shared" si="2"/>
        <v/>
      </c>
      <c r="L137" s="69"/>
      <c r="M137" s="68"/>
      <c r="N137" s="69"/>
    </row>
    <row r="138" spans="1:14" x14ac:dyDescent="0.3">
      <c r="A138" s="69"/>
      <c r="B138" s="69"/>
      <c r="C138" s="68"/>
      <c r="D138" s="69"/>
      <c r="E138" s="69"/>
      <c r="F138" s="69"/>
      <c r="G138" s="79"/>
      <c r="H138" s="69"/>
      <c r="I138" s="69"/>
      <c r="J138" s="68"/>
      <c r="K138" s="80" t="str">
        <f t="shared" si="2"/>
        <v/>
      </c>
      <c r="L138" s="69"/>
      <c r="M138" s="68"/>
      <c r="N138" s="69"/>
    </row>
    <row r="139" spans="1:14" x14ac:dyDescent="0.3">
      <c r="A139" s="69"/>
      <c r="B139" s="69"/>
      <c r="C139" s="68"/>
      <c r="D139" s="69"/>
      <c r="E139" s="69"/>
      <c r="F139" s="69"/>
      <c r="G139" s="79"/>
      <c r="H139" s="69"/>
      <c r="I139" s="69"/>
      <c r="J139" s="68"/>
      <c r="K139" s="80" t="str">
        <f t="shared" si="2"/>
        <v/>
      </c>
      <c r="L139" s="69"/>
      <c r="M139" s="68"/>
      <c r="N139" s="69"/>
    </row>
    <row r="140" spans="1:14" x14ac:dyDescent="0.3">
      <c r="A140" s="69"/>
      <c r="B140" s="69"/>
      <c r="C140" s="68"/>
      <c r="D140" s="69"/>
      <c r="E140" s="69"/>
      <c r="F140" s="69"/>
      <c r="G140" s="79"/>
      <c r="H140" s="69"/>
      <c r="I140" s="69"/>
      <c r="J140" s="68"/>
      <c r="K140" s="80" t="str">
        <f t="shared" si="2"/>
        <v/>
      </c>
      <c r="L140" s="69"/>
      <c r="M140" s="68"/>
      <c r="N140" s="69"/>
    </row>
    <row r="141" spans="1:14" x14ac:dyDescent="0.3">
      <c r="A141" s="69"/>
      <c r="B141" s="69"/>
      <c r="C141" s="68"/>
      <c r="D141" s="69"/>
      <c r="E141" s="69"/>
      <c r="F141" s="69"/>
      <c r="G141" s="79"/>
      <c r="H141" s="69"/>
      <c r="I141" s="69"/>
      <c r="J141" s="68"/>
      <c r="K141" s="80" t="str">
        <f t="shared" si="2"/>
        <v/>
      </c>
      <c r="L141" s="69"/>
      <c r="M141" s="68"/>
      <c r="N141" s="69"/>
    </row>
    <row r="142" spans="1:14" x14ac:dyDescent="0.3">
      <c r="A142" s="69"/>
      <c r="B142" s="69"/>
      <c r="C142" s="68"/>
      <c r="D142" s="69"/>
      <c r="E142" s="69"/>
      <c r="F142" s="69"/>
      <c r="G142" s="79"/>
      <c r="H142" s="69"/>
      <c r="I142" s="69"/>
      <c r="J142" s="68"/>
      <c r="K142" s="80" t="str">
        <f t="shared" si="2"/>
        <v/>
      </c>
      <c r="L142" s="69"/>
      <c r="M142" s="68"/>
      <c r="N142" s="69"/>
    </row>
    <row r="143" spans="1:14" x14ac:dyDescent="0.3">
      <c r="A143" s="69"/>
      <c r="B143" s="69"/>
      <c r="C143" s="68"/>
      <c r="D143" s="69"/>
      <c r="E143" s="69"/>
      <c r="F143" s="69"/>
      <c r="G143" s="79"/>
      <c r="H143" s="69"/>
      <c r="I143" s="69"/>
      <c r="J143" s="68"/>
      <c r="K143" s="80" t="str">
        <f t="shared" si="2"/>
        <v/>
      </c>
      <c r="L143" s="69"/>
      <c r="M143" s="68"/>
      <c r="N143" s="69"/>
    </row>
    <row r="144" spans="1:14" x14ac:dyDescent="0.3">
      <c r="A144" s="69"/>
      <c r="B144" s="69"/>
      <c r="C144" s="68"/>
      <c r="D144" s="69"/>
      <c r="E144" s="69"/>
      <c r="F144" s="69"/>
      <c r="G144" s="79"/>
      <c r="H144" s="69"/>
      <c r="I144" s="69"/>
      <c r="J144" s="68"/>
      <c r="K144" s="80" t="str">
        <f t="shared" si="2"/>
        <v/>
      </c>
      <c r="L144" s="69"/>
      <c r="M144" s="68"/>
      <c r="N144" s="69"/>
    </row>
    <row r="145" spans="1:14" x14ac:dyDescent="0.3">
      <c r="A145" s="69"/>
      <c r="B145" s="69"/>
      <c r="C145" s="68"/>
      <c r="D145" s="69"/>
      <c r="E145" s="69"/>
      <c r="F145" s="69"/>
      <c r="G145" s="79"/>
      <c r="H145" s="69"/>
      <c r="I145" s="69"/>
      <c r="J145" s="68"/>
      <c r="K145" s="80" t="str">
        <f t="shared" si="2"/>
        <v/>
      </c>
      <c r="L145" s="69"/>
      <c r="M145" s="68"/>
      <c r="N145" s="69"/>
    </row>
    <row r="146" spans="1:14" x14ac:dyDescent="0.3">
      <c r="A146" s="69"/>
      <c r="B146" s="69"/>
      <c r="C146" s="68"/>
      <c r="D146" s="69"/>
      <c r="E146" s="69"/>
      <c r="F146" s="69"/>
      <c r="G146" s="79"/>
      <c r="H146" s="69"/>
      <c r="I146" s="69"/>
      <c r="J146" s="68"/>
      <c r="K146" s="80" t="str">
        <f t="shared" si="2"/>
        <v/>
      </c>
      <c r="L146" s="69"/>
      <c r="M146" s="68"/>
      <c r="N146" s="69"/>
    </row>
    <row r="147" spans="1:14" x14ac:dyDescent="0.3">
      <c r="A147" s="69"/>
      <c r="B147" s="69"/>
      <c r="C147" s="68"/>
      <c r="D147" s="69"/>
      <c r="E147" s="69"/>
      <c r="F147" s="69"/>
      <c r="G147" s="79"/>
      <c r="H147" s="69"/>
      <c r="I147" s="69"/>
      <c r="J147" s="68"/>
      <c r="K147" s="80" t="str">
        <f t="shared" si="2"/>
        <v/>
      </c>
      <c r="L147" s="69"/>
      <c r="M147" s="68"/>
      <c r="N147" s="69"/>
    </row>
    <row r="148" spans="1:14" x14ac:dyDescent="0.3">
      <c r="A148" s="69"/>
      <c r="B148" s="69"/>
      <c r="C148" s="68"/>
      <c r="D148" s="69"/>
      <c r="E148" s="69"/>
      <c r="F148" s="69"/>
      <c r="G148" s="79"/>
      <c r="H148" s="69"/>
      <c r="I148" s="69"/>
      <c r="J148" s="68"/>
      <c r="K148" s="80" t="str">
        <f t="shared" si="2"/>
        <v/>
      </c>
      <c r="L148" s="69"/>
      <c r="M148" s="68"/>
      <c r="N148" s="69"/>
    </row>
    <row r="149" spans="1:14" x14ac:dyDescent="0.3">
      <c r="A149" s="69"/>
      <c r="B149" s="69"/>
      <c r="C149" s="68"/>
      <c r="D149" s="69"/>
      <c r="E149" s="69"/>
      <c r="F149" s="69"/>
      <c r="G149" s="79"/>
      <c r="H149" s="69"/>
      <c r="I149" s="69"/>
      <c r="J149" s="68"/>
      <c r="K149" s="80" t="str">
        <f t="shared" si="2"/>
        <v/>
      </c>
      <c r="L149" s="69"/>
      <c r="M149" s="68"/>
      <c r="N149" s="69"/>
    </row>
    <row r="150" spans="1:14" x14ac:dyDescent="0.3">
      <c r="A150" s="69"/>
      <c r="B150" s="69"/>
      <c r="C150" s="68"/>
      <c r="D150" s="69"/>
      <c r="E150" s="69"/>
      <c r="F150" s="69"/>
      <c r="G150" s="79"/>
      <c r="H150" s="69"/>
      <c r="I150" s="69"/>
      <c r="J150" s="68"/>
      <c r="K150" s="80" t="str">
        <f t="shared" si="2"/>
        <v/>
      </c>
      <c r="L150" s="69"/>
      <c r="M150" s="68"/>
      <c r="N150" s="69"/>
    </row>
    <row r="151" spans="1:14" x14ac:dyDescent="0.3">
      <c r="A151" s="69"/>
      <c r="B151" s="69"/>
      <c r="C151" s="68"/>
      <c r="D151" s="69"/>
      <c r="E151" s="69"/>
      <c r="F151" s="69"/>
      <c r="G151" s="79"/>
      <c r="H151" s="69"/>
      <c r="I151" s="69"/>
      <c r="J151" s="68"/>
      <c r="K151" s="80" t="str">
        <f t="shared" si="2"/>
        <v/>
      </c>
      <c r="L151" s="69"/>
      <c r="M151" s="68"/>
      <c r="N151" s="69"/>
    </row>
    <row r="152" spans="1:14" x14ac:dyDescent="0.3">
      <c r="A152" s="69"/>
      <c r="B152" s="69"/>
      <c r="C152" s="68"/>
      <c r="D152" s="69"/>
      <c r="E152" s="69"/>
      <c r="F152" s="69"/>
      <c r="G152" s="79"/>
      <c r="H152" s="69"/>
      <c r="I152" s="69"/>
      <c r="J152" s="68"/>
      <c r="K152" s="80" t="str">
        <f t="shared" si="2"/>
        <v/>
      </c>
      <c r="L152" s="69"/>
      <c r="M152" s="68"/>
      <c r="N152" s="69"/>
    </row>
    <row r="153" spans="1:14" x14ac:dyDescent="0.3">
      <c r="A153" s="69"/>
      <c r="B153" s="69"/>
      <c r="C153" s="68"/>
      <c r="D153" s="69"/>
      <c r="E153" s="69"/>
      <c r="F153" s="69"/>
      <c r="G153" s="79"/>
      <c r="H153" s="69"/>
      <c r="I153" s="69"/>
      <c r="J153" s="68"/>
      <c r="K153" s="80" t="str">
        <f t="shared" si="2"/>
        <v/>
      </c>
      <c r="L153" s="69"/>
      <c r="M153" s="68"/>
      <c r="N153" s="69"/>
    </row>
    <row r="154" spans="1:14" x14ac:dyDescent="0.3">
      <c r="A154" s="69"/>
      <c r="B154" s="69"/>
      <c r="C154" s="68"/>
      <c r="D154" s="69"/>
      <c r="E154" s="69"/>
      <c r="F154" s="69"/>
      <c r="G154" s="79"/>
      <c r="H154" s="69"/>
      <c r="I154" s="69"/>
      <c r="J154" s="68"/>
      <c r="K154" s="80" t="str">
        <f t="shared" si="2"/>
        <v/>
      </c>
      <c r="L154" s="69"/>
      <c r="M154" s="68"/>
      <c r="N154" s="69"/>
    </row>
    <row r="155" spans="1:14" x14ac:dyDescent="0.3">
      <c r="A155" s="69"/>
      <c r="B155" s="69"/>
      <c r="C155" s="68"/>
      <c r="D155" s="69"/>
      <c r="E155" s="69"/>
      <c r="F155" s="69"/>
      <c r="G155" s="79"/>
      <c r="H155" s="69"/>
      <c r="I155" s="69"/>
      <c r="J155" s="68"/>
      <c r="K155" s="80" t="str">
        <f t="shared" si="2"/>
        <v/>
      </c>
      <c r="L155" s="69"/>
      <c r="M155" s="68"/>
      <c r="N155" s="69"/>
    </row>
    <row r="156" spans="1:14" x14ac:dyDescent="0.3">
      <c r="A156" s="69"/>
      <c r="B156" s="69"/>
      <c r="C156" s="68"/>
      <c r="D156" s="69"/>
      <c r="E156" s="69"/>
      <c r="F156" s="69"/>
      <c r="G156" s="79"/>
      <c r="H156" s="69"/>
      <c r="I156" s="69"/>
      <c r="J156" s="68"/>
      <c r="K156" s="80" t="str">
        <f t="shared" si="2"/>
        <v/>
      </c>
      <c r="L156" s="69"/>
      <c r="M156" s="68"/>
      <c r="N156" s="69"/>
    </row>
    <row r="157" spans="1:14" x14ac:dyDescent="0.3">
      <c r="A157" s="69"/>
      <c r="B157" s="69"/>
      <c r="C157" s="68"/>
      <c r="D157" s="69"/>
      <c r="E157" s="69"/>
      <c r="F157" s="69"/>
      <c r="G157" s="79"/>
      <c r="H157" s="69"/>
      <c r="I157" s="69"/>
      <c r="J157" s="68"/>
      <c r="K157" s="80" t="str">
        <f t="shared" si="2"/>
        <v/>
      </c>
      <c r="L157" s="69"/>
      <c r="M157" s="68"/>
      <c r="N157" s="69"/>
    </row>
    <row r="158" spans="1:14" x14ac:dyDescent="0.3">
      <c r="A158" s="69"/>
      <c r="B158" s="69"/>
      <c r="C158" s="68"/>
      <c r="D158" s="69"/>
      <c r="E158" s="69"/>
      <c r="F158" s="69"/>
      <c r="G158" s="79"/>
      <c r="H158" s="69"/>
      <c r="I158" s="69"/>
      <c r="J158" s="68"/>
      <c r="K158" s="80" t="str">
        <f t="shared" si="2"/>
        <v/>
      </c>
      <c r="L158" s="69"/>
      <c r="M158" s="68"/>
      <c r="N158" s="69"/>
    </row>
    <row r="159" spans="1:14" x14ac:dyDescent="0.3">
      <c r="A159" s="69"/>
      <c r="B159" s="69"/>
      <c r="C159" s="68"/>
      <c r="D159" s="69"/>
      <c r="E159" s="69"/>
      <c r="F159" s="69"/>
      <c r="G159" s="79"/>
      <c r="H159" s="69"/>
      <c r="I159" s="69"/>
      <c r="J159" s="68"/>
      <c r="K159" s="80" t="str">
        <f t="shared" si="2"/>
        <v/>
      </c>
      <c r="L159" s="69"/>
      <c r="M159" s="68"/>
      <c r="N159" s="69"/>
    </row>
    <row r="160" spans="1:14" x14ac:dyDescent="0.3">
      <c r="A160" s="69"/>
      <c r="B160" s="69"/>
      <c r="C160" s="68"/>
      <c r="D160" s="69"/>
      <c r="E160" s="69"/>
      <c r="F160" s="69"/>
      <c r="G160" s="79"/>
      <c r="H160" s="69"/>
      <c r="I160" s="69"/>
      <c r="J160" s="68"/>
      <c r="K160" s="80" t="str">
        <f t="shared" si="2"/>
        <v/>
      </c>
      <c r="L160" s="69"/>
      <c r="M160" s="68"/>
      <c r="N160" s="69"/>
    </row>
    <row r="161" spans="1:14" x14ac:dyDescent="0.3">
      <c r="A161" s="69"/>
      <c r="B161" s="69"/>
      <c r="C161" s="68"/>
      <c r="D161" s="69"/>
      <c r="E161" s="69"/>
      <c r="F161" s="69"/>
      <c r="G161" s="79"/>
      <c r="H161" s="69"/>
      <c r="I161" s="69"/>
      <c r="J161" s="68"/>
      <c r="K161" s="80" t="str">
        <f t="shared" si="2"/>
        <v/>
      </c>
      <c r="L161" s="69"/>
      <c r="M161" s="68"/>
      <c r="N161" s="69"/>
    </row>
    <row r="162" spans="1:14" x14ac:dyDescent="0.3">
      <c r="A162" s="69"/>
      <c r="B162" s="69"/>
      <c r="C162" s="68"/>
      <c r="D162" s="69"/>
      <c r="E162" s="69"/>
      <c r="F162" s="69"/>
      <c r="G162" s="79"/>
      <c r="H162" s="69"/>
      <c r="I162" s="69"/>
      <c r="J162" s="68"/>
      <c r="K162" s="80" t="str">
        <f t="shared" si="2"/>
        <v/>
      </c>
      <c r="L162" s="69"/>
      <c r="M162" s="68"/>
      <c r="N162" s="69"/>
    </row>
    <row r="163" spans="1:14" x14ac:dyDescent="0.3">
      <c r="A163" s="69"/>
      <c r="B163" s="69"/>
      <c r="C163" s="68"/>
      <c r="D163" s="69"/>
      <c r="E163" s="69"/>
      <c r="F163" s="69"/>
      <c r="G163" s="79"/>
      <c r="H163" s="69"/>
      <c r="I163" s="69"/>
      <c r="J163" s="68"/>
      <c r="K163" s="80" t="str">
        <f t="shared" si="2"/>
        <v/>
      </c>
      <c r="L163" s="69"/>
      <c r="M163" s="68"/>
      <c r="N163" s="69"/>
    </row>
    <row r="164" spans="1:14" x14ac:dyDescent="0.3">
      <c r="A164" s="69"/>
      <c r="B164" s="69"/>
      <c r="C164" s="68"/>
      <c r="D164" s="69"/>
      <c r="E164" s="69"/>
      <c r="F164" s="69"/>
      <c r="G164" s="79"/>
      <c r="H164" s="69"/>
      <c r="I164" s="69"/>
      <c r="J164" s="68"/>
      <c r="K164" s="80" t="str">
        <f t="shared" si="2"/>
        <v/>
      </c>
      <c r="L164" s="69"/>
      <c r="M164" s="68"/>
      <c r="N164" s="69"/>
    </row>
    <row r="165" spans="1:14" x14ac:dyDescent="0.3">
      <c r="A165" s="69"/>
      <c r="B165" s="69"/>
      <c r="C165" s="68"/>
      <c r="D165" s="69"/>
      <c r="E165" s="69"/>
      <c r="F165" s="69"/>
      <c r="G165" s="79"/>
      <c r="H165" s="69"/>
      <c r="I165" s="69"/>
      <c r="J165" s="68"/>
      <c r="K165" s="80" t="str">
        <f t="shared" si="2"/>
        <v/>
      </c>
      <c r="L165" s="69"/>
      <c r="M165" s="68"/>
      <c r="N165" s="69"/>
    </row>
    <row r="166" spans="1:14" x14ac:dyDescent="0.3">
      <c r="A166" s="69"/>
      <c r="B166" s="69"/>
      <c r="C166" s="68"/>
      <c r="D166" s="69"/>
      <c r="E166" s="69"/>
      <c r="F166" s="69"/>
      <c r="G166" s="79"/>
      <c r="H166" s="69"/>
      <c r="I166" s="69"/>
      <c r="J166" s="68"/>
      <c r="K166" s="80" t="str">
        <f t="shared" si="2"/>
        <v/>
      </c>
      <c r="L166" s="69"/>
      <c r="M166" s="68"/>
      <c r="N166" s="69"/>
    </row>
    <row r="167" spans="1:14" x14ac:dyDescent="0.3">
      <c r="A167" s="69"/>
      <c r="B167" s="69"/>
      <c r="C167" s="68"/>
      <c r="D167" s="69"/>
      <c r="E167" s="69"/>
      <c r="F167" s="69"/>
      <c r="G167" s="79"/>
      <c r="H167" s="69"/>
      <c r="I167" s="69"/>
      <c r="J167" s="68"/>
      <c r="K167" s="80" t="str">
        <f t="shared" si="2"/>
        <v/>
      </c>
      <c r="L167" s="69"/>
      <c r="M167" s="68"/>
      <c r="N167" s="69"/>
    </row>
    <row r="168" spans="1:14" x14ac:dyDescent="0.3">
      <c r="A168" s="69"/>
      <c r="B168" s="69"/>
      <c r="C168" s="68"/>
      <c r="D168" s="69"/>
      <c r="E168" s="69"/>
      <c r="F168" s="69"/>
      <c r="G168" s="79"/>
      <c r="H168" s="69"/>
      <c r="I168" s="69"/>
      <c r="J168" s="68"/>
      <c r="K168" s="80" t="str">
        <f t="shared" si="2"/>
        <v/>
      </c>
      <c r="L168" s="69"/>
      <c r="M168" s="68"/>
      <c r="N168" s="69"/>
    </row>
    <row r="169" spans="1:14" x14ac:dyDescent="0.3">
      <c r="A169" s="69"/>
      <c r="B169" s="69"/>
      <c r="C169" s="68"/>
      <c r="D169" s="69"/>
      <c r="E169" s="69"/>
      <c r="F169" s="69"/>
      <c r="G169" s="79"/>
      <c r="H169" s="69"/>
      <c r="I169" s="69"/>
      <c r="J169" s="68"/>
      <c r="K169" s="80" t="str">
        <f t="shared" si="2"/>
        <v/>
      </c>
      <c r="L169" s="69"/>
      <c r="M169" s="68"/>
      <c r="N169" s="69"/>
    </row>
    <row r="170" spans="1:14" x14ac:dyDescent="0.3">
      <c r="A170" s="69"/>
      <c r="B170" s="69"/>
      <c r="C170" s="68"/>
      <c r="D170" s="69"/>
      <c r="E170" s="69"/>
      <c r="F170" s="69"/>
      <c r="G170" s="79"/>
      <c r="H170" s="69"/>
      <c r="I170" s="69"/>
      <c r="J170" s="68"/>
      <c r="K170" s="80" t="str">
        <f t="shared" si="2"/>
        <v/>
      </c>
      <c r="L170" s="69"/>
      <c r="M170" s="68"/>
      <c r="N170" s="69"/>
    </row>
    <row r="171" spans="1:14" x14ac:dyDescent="0.3">
      <c r="A171" s="69"/>
      <c r="B171" s="69"/>
      <c r="C171" s="68"/>
      <c r="D171" s="69"/>
      <c r="E171" s="69"/>
      <c r="F171" s="69"/>
      <c r="G171" s="79"/>
      <c r="H171" s="69"/>
      <c r="I171" s="69"/>
      <c r="J171" s="68"/>
      <c r="K171" s="80" t="str">
        <f t="shared" si="2"/>
        <v/>
      </c>
      <c r="L171" s="69"/>
      <c r="M171" s="68"/>
      <c r="N171" s="69"/>
    </row>
    <row r="172" spans="1:14" x14ac:dyDescent="0.3">
      <c r="A172" s="69"/>
      <c r="B172" s="69"/>
      <c r="C172" s="68"/>
      <c r="D172" s="69"/>
      <c r="E172" s="69"/>
      <c r="F172" s="69"/>
      <c r="G172" s="79"/>
      <c r="H172" s="69"/>
      <c r="I172" s="69"/>
      <c r="J172" s="68"/>
      <c r="K172" s="80" t="str">
        <f t="shared" si="2"/>
        <v/>
      </c>
      <c r="L172" s="69"/>
      <c r="M172" s="68"/>
      <c r="N172" s="69"/>
    </row>
    <row r="173" spans="1:14" x14ac:dyDescent="0.3">
      <c r="A173" s="69"/>
      <c r="B173" s="69"/>
      <c r="C173" s="68"/>
      <c r="D173" s="69"/>
      <c r="E173" s="69"/>
      <c r="F173" s="69"/>
      <c r="G173" s="79"/>
      <c r="H173" s="69"/>
      <c r="I173" s="69"/>
      <c r="J173" s="68"/>
      <c r="K173" s="80" t="str">
        <f t="shared" si="2"/>
        <v/>
      </c>
      <c r="L173" s="69"/>
      <c r="M173" s="68"/>
      <c r="N173" s="69"/>
    </row>
    <row r="174" spans="1:14" x14ac:dyDescent="0.3">
      <c r="A174" s="69"/>
      <c r="B174" s="69"/>
      <c r="C174" s="68"/>
      <c r="D174" s="69"/>
      <c r="E174" s="69"/>
      <c r="F174" s="69"/>
      <c r="G174" s="79"/>
      <c r="H174" s="69"/>
      <c r="I174" s="69"/>
      <c r="J174" s="68"/>
      <c r="K174" s="80" t="str">
        <f t="shared" si="2"/>
        <v/>
      </c>
      <c r="L174" s="69"/>
      <c r="M174" s="68"/>
      <c r="N174" s="69"/>
    </row>
    <row r="175" spans="1:14" x14ac:dyDescent="0.3">
      <c r="A175" s="69"/>
      <c r="B175" s="69"/>
      <c r="C175" s="68"/>
      <c r="D175" s="69"/>
      <c r="E175" s="69"/>
      <c r="F175" s="69"/>
      <c r="G175" s="79"/>
      <c r="H175" s="69"/>
      <c r="I175" s="69"/>
      <c r="J175" s="68"/>
      <c r="K175" s="80" t="str">
        <f t="shared" si="2"/>
        <v/>
      </c>
      <c r="L175" s="69"/>
      <c r="M175" s="68"/>
      <c r="N175" s="69"/>
    </row>
    <row r="176" spans="1:14" x14ac:dyDescent="0.3">
      <c r="A176" s="69"/>
      <c r="B176" s="69"/>
      <c r="C176" s="68"/>
      <c r="D176" s="69"/>
      <c r="E176" s="69"/>
      <c r="F176" s="69"/>
      <c r="G176" s="79"/>
      <c r="H176" s="69"/>
      <c r="I176" s="69"/>
      <c r="J176" s="68"/>
      <c r="K176" s="80" t="str">
        <f t="shared" si="2"/>
        <v/>
      </c>
      <c r="L176" s="69"/>
      <c r="M176" s="68"/>
      <c r="N176" s="69"/>
    </row>
    <row r="177" spans="1:14" x14ac:dyDescent="0.3">
      <c r="A177" s="69"/>
      <c r="B177" s="69"/>
      <c r="C177" s="68"/>
      <c r="D177" s="69"/>
      <c r="E177" s="69"/>
      <c r="F177" s="69"/>
      <c r="G177" s="79"/>
      <c r="H177" s="69"/>
      <c r="I177" s="69"/>
      <c r="J177" s="68"/>
      <c r="K177" s="80" t="str">
        <f t="shared" si="2"/>
        <v/>
      </c>
      <c r="L177" s="69"/>
      <c r="M177" s="68"/>
      <c r="N177" s="69"/>
    </row>
    <row r="178" spans="1:14" x14ac:dyDescent="0.3">
      <c r="A178" s="69"/>
      <c r="B178" s="69"/>
      <c r="C178" s="68"/>
      <c r="D178" s="69"/>
      <c r="E178" s="69"/>
      <c r="F178" s="69"/>
      <c r="G178" s="79"/>
      <c r="H178" s="69"/>
      <c r="I178" s="69"/>
      <c r="J178" s="68"/>
      <c r="K178" s="80" t="str">
        <f t="shared" si="2"/>
        <v/>
      </c>
      <c r="L178" s="69"/>
      <c r="M178" s="68"/>
      <c r="N178" s="69"/>
    </row>
    <row r="179" spans="1:14" x14ac:dyDescent="0.3">
      <c r="A179" s="69"/>
      <c r="B179" s="69"/>
      <c r="C179" s="68"/>
      <c r="D179" s="69"/>
      <c r="E179" s="69"/>
      <c r="F179" s="69"/>
      <c r="G179" s="79"/>
      <c r="H179" s="69"/>
      <c r="I179" s="69"/>
      <c r="J179" s="68"/>
      <c r="K179" s="80" t="str">
        <f t="shared" si="2"/>
        <v/>
      </c>
      <c r="L179" s="69"/>
      <c r="M179" s="68"/>
      <c r="N179" s="69"/>
    </row>
    <row r="180" spans="1:14" x14ac:dyDescent="0.3">
      <c r="A180" s="69"/>
      <c r="B180" s="69"/>
      <c r="C180" s="68"/>
      <c r="D180" s="69"/>
      <c r="E180" s="69"/>
      <c r="F180" s="69"/>
      <c r="G180" s="79"/>
      <c r="H180" s="69"/>
      <c r="I180" s="69"/>
      <c r="J180" s="68"/>
      <c r="K180" s="80" t="str">
        <f t="shared" si="2"/>
        <v/>
      </c>
      <c r="L180" s="69"/>
      <c r="M180" s="68"/>
      <c r="N180" s="69"/>
    </row>
    <row r="181" spans="1:14" x14ac:dyDescent="0.3">
      <c r="A181" s="69"/>
      <c r="B181" s="69"/>
      <c r="C181" s="68"/>
      <c r="D181" s="69"/>
      <c r="E181" s="69"/>
      <c r="F181" s="69"/>
      <c r="G181" s="79"/>
      <c r="H181" s="69"/>
      <c r="I181" s="69"/>
      <c r="J181" s="68"/>
      <c r="K181" s="80" t="str">
        <f t="shared" si="2"/>
        <v/>
      </c>
      <c r="L181" s="69"/>
      <c r="M181" s="68"/>
      <c r="N181" s="69"/>
    </row>
    <row r="182" spans="1:14" x14ac:dyDescent="0.3">
      <c r="A182" s="69"/>
      <c r="B182" s="69"/>
      <c r="C182" s="68"/>
      <c r="D182" s="69"/>
      <c r="E182" s="69"/>
      <c r="F182" s="69"/>
      <c r="G182" s="79"/>
      <c r="H182" s="69"/>
      <c r="I182" s="69"/>
      <c r="J182" s="68"/>
      <c r="K182" s="80" t="str">
        <f t="shared" si="2"/>
        <v/>
      </c>
      <c r="L182" s="69"/>
      <c r="M182" s="68"/>
      <c r="N182" s="69"/>
    </row>
    <row r="183" spans="1:14" x14ac:dyDescent="0.3">
      <c r="A183" s="69"/>
      <c r="B183" s="69"/>
      <c r="C183" s="68"/>
      <c r="D183" s="69"/>
      <c r="E183" s="69"/>
      <c r="F183" s="69"/>
      <c r="G183" s="79"/>
      <c r="H183" s="69"/>
      <c r="I183" s="69"/>
      <c r="J183" s="68"/>
      <c r="K183" s="80" t="str">
        <f t="shared" si="2"/>
        <v/>
      </c>
      <c r="L183" s="69"/>
      <c r="M183" s="68"/>
      <c r="N183" s="69"/>
    </row>
    <row r="184" spans="1:14" x14ac:dyDescent="0.3">
      <c r="A184" s="69"/>
      <c r="B184" s="69"/>
      <c r="C184" s="68"/>
      <c r="D184" s="69"/>
      <c r="E184" s="69"/>
      <c r="F184" s="69"/>
      <c r="G184" s="79"/>
      <c r="H184" s="69"/>
      <c r="I184" s="69"/>
      <c r="J184" s="68"/>
      <c r="K184" s="80" t="str">
        <f t="shared" si="2"/>
        <v/>
      </c>
      <c r="L184" s="69"/>
      <c r="M184" s="68"/>
      <c r="N184" s="69"/>
    </row>
    <row r="185" spans="1:14" x14ac:dyDescent="0.3">
      <c r="A185" s="69"/>
      <c r="B185" s="69"/>
      <c r="C185" s="68"/>
      <c r="D185" s="69"/>
      <c r="E185" s="69"/>
      <c r="F185" s="69"/>
      <c r="G185" s="79"/>
      <c r="H185" s="69"/>
      <c r="I185" s="69"/>
      <c r="J185" s="68"/>
      <c r="K185" s="80" t="str">
        <f t="shared" si="2"/>
        <v/>
      </c>
      <c r="L185" s="69"/>
      <c r="M185" s="68"/>
      <c r="N185" s="69"/>
    </row>
    <row r="186" spans="1:14" x14ac:dyDescent="0.3">
      <c r="A186" s="69"/>
      <c r="B186" s="69"/>
      <c r="C186" s="68"/>
      <c r="D186" s="69"/>
      <c r="E186" s="69"/>
      <c r="F186" s="69"/>
      <c r="G186" s="79"/>
      <c r="H186" s="69"/>
      <c r="I186" s="69"/>
      <c r="J186" s="68"/>
      <c r="K186" s="80" t="str">
        <f t="shared" si="2"/>
        <v/>
      </c>
      <c r="L186" s="69"/>
      <c r="M186" s="68"/>
      <c r="N186" s="69"/>
    </row>
    <row r="187" spans="1:14" x14ac:dyDescent="0.3">
      <c r="A187" s="69"/>
      <c r="B187" s="69"/>
      <c r="C187" s="68"/>
      <c r="D187" s="69"/>
      <c r="E187" s="69"/>
      <c r="F187" s="69"/>
      <c r="G187" s="79"/>
      <c r="H187" s="69"/>
      <c r="I187" s="69"/>
      <c r="J187" s="68"/>
      <c r="K187" s="80" t="str">
        <f t="shared" si="2"/>
        <v/>
      </c>
      <c r="L187" s="69"/>
      <c r="M187" s="68"/>
      <c r="N187" s="69"/>
    </row>
    <row r="188" spans="1:14" x14ac:dyDescent="0.3">
      <c r="A188" s="69"/>
      <c r="B188" s="69"/>
      <c r="C188" s="68"/>
      <c r="D188" s="69"/>
      <c r="E188" s="69"/>
      <c r="F188" s="69"/>
      <c r="G188" s="79"/>
      <c r="H188" s="69"/>
      <c r="I188" s="69"/>
      <c r="J188" s="68"/>
      <c r="K188" s="80" t="str">
        <f t="shared" si="2"/>
        <v/>
      </c>
      <c r="L188" s="69"/>
      <c r="M188" s="68"/>
      <c r="N188" s="69"/>
    </row>
    <row r="189" spans="1:14" x14ac:dyDescent="0.3">
      <c r="A189" s="69"/>
      <c r="B189" s="69"/>
      <c r="C189" s="68"/>
      <c r="D189" s="69"/>
      <c r="E189" s="69"/>
      <c r="F189" s="69"/>
      <c r="G189" s="79"/>
      <c r="H189" s="69"/>
      <c r="I189" s="69"/>
      <c r="J189" s="68"/>
      <c r="K189" s="80" t="str">
        <f t="shared" si="2"/>
        <v/>
      </c>
      <c r="L189" s="69"/>
      <c r="M189" s="68"/>
      <c r="N189" s="69"/>
    </row>
    <row r="190" spans="1:14" x14ac:dyDescent="0.3">
      <c r="A190" s="69"/>
      <c r="B190" s="69"/>
      <c r="C190" s="68"/>
      <c r="D190" s="69"/>
      <c r="E190" s="69"/>
      <c r="F190" s="69"/>
      <c r="G190" s="79"/>
      <c r="H190" s="69"/>
      <c r="I190" s="69"/>
      <c r="J190" s="68"/>
      <c r="K190" s="80" t="str">
        <f t="shared" si="2"/>
        <v/>
      </c>
      <c r="L190" s="69"/>
      <c r="M190" s="68"/>
      <c r="N190" s="69"/>
    </row>
    <row r="191" spans="1:14" x14ac:dyDescent="0.3">
      <c r="A191" s="69"/>
      <c r="B191" s="69"/>
      <c r="C191" s="68"/>
      <c r="D191" s="69"/>
      <c r="E191" s="69"/>
      <c r="F191" s="69"/>
      <c r="G191" s="79"/>
      <c r="H191" s="69"/>
      <c r="I191" s="69"/>
      <c r="J191" s="68"/>
      <c r="K191" s="80" t="str">
        <f t="shared" si="2"/>
        <v/>
      </c>
      <c r="L191" s="69"/>
      <c r="M191" s="68"/>
      <c r="N191" s="69"/>
    </row>
    <row r="192" spans="1:14" x14ac:dyDescent="0.3">
      <c r="A192" s="69"/>
      <c r="B192" s="69"/>
      <c r="C192" s="68"/>
      <c r="D192" s="69"/>
      <c r="E192" s="69"/>
      <c r="F192" s="69"/>
      <c r="G192" s="79"/>
      <c r="H192" s="69"/>
      <c r="I192" s="69"/>
      <c r="J192" s="68"/>
      <c r="K192" s="80" t="str">
        <f t="shared" si="2"/>
        <v/>
      </c>
      <c r="L192" s="69"/>
      <c r="M192" s="68"/>
      <c r="N192" s="69"/>
    </row>
    <row r="193" spans="1:14" x14ac:dyDescent="0.3">
      <c r="A193" s="69"/>
      <c r="B193" s="69"/>
      <c r="C193" s="68"/>
      <c r="D193" s="69"/>
      <c r="E193" s="69"/>
      <c r="F193" s="69"/>
      <c r="G193" s="79"/>
      <c r="H193" s="69"/>
      <c r="I193" s="69"/>
      <c r="J193" s="68"/>
      <c r="K193" s="80" t="str">
        <f t="shared" si="2"/>
        <v/>
      </c>
      <c r="L193" s="69"/>
      <c r="M193" s="68"/>
      <c r="N193" s="69"/>
    </row>
    <row r="194" spans="1:14" x14ac:dyDescent="0.3">
      <c r="A194" s="69"/>
      <c r="B194" s="69"/>
      <c r="C194" s="68"/>
      <c r="D194" s="69"/>
      <c r="E194" s="69"/>
      <c r="F194" s="69"/>
      <c r="G194" s="79"/>
      <c r="H194" s="69"/>
      <c r="I194" s="69"/>
      <c r="J194" s="68"/>
      <c r="K194" s="80" t="str">
        <f t="shared" si="2"/>
        <v/>
      </c>
      <c r="L194" s="69"/>
      <c r="M194" s="68"/>
      <c r="N194" s="69"/>
    </row>
    <row r="195" spans="1:14" x14ac:dyDescent="0.3">
      <c r="A195" s="69"/>
      <c r="B195" s="69"/>
      <c r="C195" s="68"/>
      <c r="D195" s="69"/>
      <c r="E195" s="69"/>
      <c r="F195" s="69"/>
      <c r="G195" s="79"/>
      <c r="H195" s="69"/>
      <c r="I195" s="69"/>
      <c r="J195" s="68"/>
      <c r="K195" s="80" t="str">
        <f t="shared" si="2"/>
        <v/>
      </c>
      <c r="L195" s="69"/>
      <c r="M195" s="68"/>
      <c r="N195" s="69"/>
    </row>
    <row r="196" spans="1:14" x14ac:dyDescent="0.3">
      <c r="A196" s="69"/>
      <c r="B196" s="69"/>
      <c r="C196" s="68"/>
      <c r="D196" s="69"/>
      <c r="E196" s="69"/>
      <c r="F196" s="69"/>
      <c r="G196" s="79"/>
      <c r="H196" s="69"/>
      <c r="I196" s="69"/>
      <c r="J196" s="68"/>
      <c r="K196" s="80" t="str">
        <f t="shared" si="2"/>
        <v/>
      </c>
      <c r="L196" s="69"/>
      <c r="M196" s="68"/>
      <c r="N196" s="69"/>
    </row>
    <row r="197" spans="1:14" x14ac:dyDescent="0.3">
      <c r="A197" s="69"/>
      <c r="B197" s="69"/>
      <c r="C197" s="68"/>
      <c r="D197" s="69"/>
      <c r="E197" s="69"/>
      <c r="F197" s="69"/>
      <c r="G197" s="79"/>
      <c r="H197" s="69"/>
      <c r="I197" s="69"/>
      <c r="J197" s="68"/>
      <c r="K197" s="80" t="str">
        <f t="shared" ref="K197:K260" si="3">IF(OR(C197="",J197=""),"",J197-C197)</f>
        <v/>
      </c>
      <c r="L197" s="69"/>
      <c r="M197" s="68"/>
      <c r="N197" s="69"/>
    </row>
    <row r="198" spans="1:14" x14ac:dyDescent="0.3">
      <c r="A198" s="69"/>
      <c r="B198" s="69"/>
      <c r="C198" s="68"/>
      <c r="D198" s="69"/>
      <c r="E198" s="69"/>
      <c r="F198" s="69"/>
      <c r="G198" s="79"/>
      <c r="H198" s="69"/>
      <c r="I198" s="69"/>
      <c r="J198" s="68"/>
      <c r="K198" s="80" t="str">
        <f t="shared" si="3"/>
        <v/>
      </c>
      <c r="L198" s="69"/>
      <c r="M198" s="68"/>
      <c r="N198" s="69"/>
    </row>
    <row r="199" spans="1:14" x14ac:dyDescent="0.3">
      <c r="A199" s="69"/>
      <c r="B199" s="69"/>
      <c r="C199" s="68"/>
      <c r="D199" s="69"/>
      <c r="E199" s="69"/>
      <c r="F199" s="69"/>
      <c r="G199" s="79"/>
      <c r="H199" s="69"/>
      <c r="I199" s="69"/>
      <c r="J199" s="68"/>
      <c r="K199" s="80" t="str">
        <f t="shared" si="3"/>
        <v/>
      </c>
      <c r="L199" s="69"/>
      <c r="M199" s="68"/>
      <c r="N199" s="69"/>
    </row>
    <row r="200" spans="1:14" x14ac:dyDescent="0.3">
      <c r="A200" s="69"/>
      <c r="B200" s="69"/>
      <c r="C200" s="68"/>
      <c r="D200" s="69"/>
      <c r="E200" s="69"/>
      <c r="F200" s="69"/>
      <c r="G200" s="79"/>
      <c r="H200" s="69"/>
      <c r="I200" s="69"/>
      <c r="J200" s="68"/>
      <c r="K200" s="80" t="str">
        <f t="shared" si="3"/>
        <v/>
      </c>
      <c r="L200" s="69"/>
      <c r="M200" s="68"/>
      <c r="N200" s="69"/>
    </row>
    <row r="201" spans="1:14" x14ac:dyDescent="0.3">
      <c r="A201" s="69"/>
      <c r="B201" s="69"/>
      <c r="C201" s="68"/>
      <c r="D201" s="69"/>
      <c r="E201" s="69"/>
      <c r="F201" s="69"/>
      <c r="G201" s="79"/>
      <c r="H201" s="69"/>
      <c r="I201" s="69"/>
      <c r="J201" s="68"/>
      <c r="K201" s="80" t="str">
        <f t="shared" si="3"/>
        <v/>
      </c>
      <c r="L201" s="69"/>
      <c r="M201" s="68"/>
      <c r="N201" s="69"/>
    </row>
    <row r="202" spans="1:14" x14ac:dyDescent="0.3">
      <c r="A202" s="69"/>
      <c r="B202" s="69"/>
      <c r="C202" s="68"/>
      <c r="D202" s="69"/>
      <c r="E202" s="69"/>
      <c r="F202" s="69"/>
      <c r="G202" s="79"/>
      <c r="H202" s="69"/>
      <c r="I202" s="69"/>
      <c r="J202" s="68"/>
      <c r="K202" s="80" t="str">
        <f t="shared" si="3"/>
        <v/>
      </c>
      <c r="L202" s="69"/>
      <c r="M202" s="68"/>
      <c r="N202" s="69"/>
    </row>
    <row r="203" spans="1:14" x14ac:dyDescent="0.3">
      <c r="A203" s="69"/>
      <c r="B203" s="69"/>
      <c r="C203" s="68"/>
      <c r="D203" s="69"/>
      <c r="E203" s="69"/>
      <c r="F203" s="69"/>
      <c r="G203" s="79"/>
      <c r="H203" s="69"/>
      <c r="I203" s="69"/>
      <c r="J203" s="68"/>
      <c r="K203" s="80" t="str">
        <f t="shared" si="3"/>
        <v/>
      </c>
      <c r="L203" s="69"/>
      <c r="M203" s="68"/>
      <c r="N203" s="69"/>
    </row>
    <row r="204" spans="1:14" x14ac:dyDescent="0.3">
      <c r="A204" s="69"/>
      <c r="B204" s="69"/>
      <c r="C204" s="68"/>
      <c r="D204" s="69"/>
      <c r="E204" s="69"/>
      <c r="F204" s="69"/>
      <c r="G204" s="79"/>
      <c r="H204" s="69"/>
      <c r="I204" s="69"/>
      <c r="J204" s="68"/>
      <c r="K204" s="80" t="str">
        <f t="shared" si="3"/>
        <v/>
      </c>
      <c r="L204" s="69"/>
      <c r="M204" s="68"/>
      <c r="N204" s="69"/>
    </row>
    <row r="205" spans="1:14" x14ac:dyDescent="0.3">
      <c r="A205" s="69"/>
      <c r="B205" s="69"/>
      <c r="C205" s="68"/>
      <c r="D205" s="69"/>
      <c r="E205" s="69"/>
      <c r="F205" s="69"/>
      <c r="G205" s="79"/>
      <c r="H205" s="69"/>
      <c r="I205" s="69"/>
      <c r="J205" s="68"/>
      <c r="K205" s="80" t="str">
        <f t="shared" si="3"/>
        <v/>
      </c>
      <c r="L205" s="69"/>
      <c r="M205" s="68"/>
      <c r="N205" s="69"/>
    </row>
    <row r="206" spans="1:14" x14ac:dyDescent="0.3">
      <c r="A206" s="69"/>
      <c r="B206" s="69"/>
      <c r="C206" s="68"/>
      <c r="D206" s="69"/>
      <c r="E206" s="69"/>
      <c r="F206" s="69"/>
      <c r="G206" s="79"/>
      <c r="H206" s="69"/>
      <c r="I206" s="69"/>
      <c r="J206" s="68"/>
      <c r="K206" s="80" t="str">
        <f t="shared" si="3"/>
        <v/>
      </c>
      <c r="L206" s="69"/>
      <c r="M206" s="68"/>
      <c r="N206" s="69"/>
    </row>
    <row r="207" spans="1:14" x14ac:dyDescent="0.3">
      <c r="A207" s="69"/>
      <c r="B207" s="69"/>
      <c r="C207" s="68"/>
      <c r="D207" s="69"/>
      <c r="E207" s="69"/>
      <c r="F207" s="69"/>
      <c r="G207" s="79"/>
      <c r="H207" s="69"/>
      <c r="I207" s="69"/>
      <c r="J207" s="68"/>
      <c r="K207" s="80" t="str">
        <f t="shared" si="3"/>
        <v/>
      </c>
      <c r="L207" s="69"/>
      <c r="M207" s="68"/>
      <c r="N207" s="69"/>
    </row>
    <row r="208" spans="1:14" x14ac:dyDescent="0.3">
      <c r="A208" s="69"/>
      <c r="B208" s="69"/>
      <c r="C208" s="68"/>
      <c r="D208" s="69"/>
      <c r="E208" s="69"/>
      <c r="F208" s="69"/>
      <c r="G208" s="79"/>
      <c r="H208" s="69"/>
      <c r="I208" s="69"/>
      <c r="J208" s="68"/>
      <c r="K208" s="80" t="str">
        <f t="shared" si="3"/>
        <v/>
      </c>
      <c r="L208" s="69"/>
      <c r="M208" s="68"/>
      <c r="N208" s="69"/>
    </row>
    <row r="209" spans="1:14" x14ac:dyDescent="0.3">
      <c r="A209" s="69"/>
      <c r="B209" s="69"/>
      <c r="C209" s="68"/>
      <c r="D209" s="69"/>
      <c r="E209" s="69"/>
      <c r="F209" s="69"/>
      <c r="G209" s="79"/>
      <c r="H209" s="69"/>
      <c r="I209" s="69"/>
      <c r="J209" s="68"/>
      <c r="K209" s="80" t="str">
        <f t="shared" si="3"/>
        <v/>
      </c>
      <c r="L209" s="69"/>
      <c r="M209" s="68"/>
      <c r="N209" s="69"/>
    </row>
    <row r="210" spans="1:14" x14ac:dyDescent="0.3">
      <c r="A210" s="69"/>
      <c r="B210" s="69"/>
      <c r="C210" s="68"/>
      <c r="D210" s="69"/>
      <c r="E210" s="69"/>
      <c r="F210" s="69"/>
      <c r="G210" s="79"/>
      <c r="H210" s="69"/>
      <c r="I210" s="69"/>
      <c r="J210" s="68"/>
      <c r="K210" s="80" t="str">
        <f t="shared" si="3"/>
        <v/>
      </c>
      <c r="L210" s="69"/>
      <c r="M210" s="68"/>
      <c r="N210" s="69"/>
    </row>
    <row r="211" spans="1:14" x14ac:dyDescent="0.3">
      <c r="A211" s="69"/>
      <c r="B211" s="69"/>
      <c r="C211" s="68"/>
      <c r="D211" s="69"/>
      <c r="E211" s="69"/>
      <c r="F211" s="69"/>
      <c r="G211" s="79"/>
      <c r="H211" s="69"/>
      <c r="I211" s="69"/>
      <c r="J211" s="68"/>
      <c r="K211" s="80" t="str">
        <f t="shared" si="3"/>
        <v/>
      </c>
      <c r="L211" s="69"/>
      <c r="M211" s="68"/>
      <c r="N211" s="69"/>
    </row>
    <row r="212" spans="1:14" x14ac:dyDescent="0.3">
      <c r="A212" s="69"/>
      <c r="B212" s="69"/>
      <c r="C212" s="68"/>
      <c r="D212" s="69"/>
      <c r="E212" s="69"/>
      <c r="F212" s="69"/>
      <c r="G212" s="79"/>
      <c r="H212" s="69"/>
      <c r="I212" s="69"/>
      <c r="J212" s="68"/>
      <c r="K212" s="80" t="str">
        <f t="shared" si="3"/>
        <v/>
      </c>
      <c r="L212" s="69"/>
      <c r="M212" s="68"/>
      <c r="N212" s="69"/>
    </row>
    <row r="213" spans="1:14" x14ac:dyDescent="0.3">
      <c r="A213" s="69"/>
      <c r="B213" s="69"/>
      <c r="C213" s="68"/>
      <c r="D213" s="69"/>
      <c r="E213" s="69"/>
      <c r="F213" s="69"/>
      <c r="G213" s="79"/>
      <c r="H213" s="69"/>
      <c r="I213" s="69"/>
      <c r="J213" s="68"/>
      <c r="K213" s="80" t="str">
        <f t="shared" si="3"/>
        <v/>
      </c>
      <c r="L213" s="69"/>
      <c r="M213" s="68"/>
      <c r="N213" s="69"/>
    </row>
    <row r="214" spans="1:14" x14ac:dyDescent="0.3">
      <c r="A214" s="69"/>
      <c r="B214" s="69"/>
      <c r="C214" s="68"/>
      <c r="D214" s="69"/>
      <c r="E214" s="69"/>
      <c r="F214" s="69"/>
      <c r="G214" s="79"/>
      <c r="H214" s="69"/>
      <c r="I214" s="69"/>
      <c r="J214" s="68"/>
      <c r="K214" s="80" t="str">
        <f t="shared" si="3"/>
        <v/>
      </c>
      <c r="L214" s="69"/>
      <c r="M214" s="68"/>
      <c r="N214" s="69"/>
    </row>
    <row r="215" spans="1:14" x14ac:dyDescent="0.3">
      <c r="A215" s="69"/>
      <c r="B215" s="69"/>
      <c r="C215" s="68"/>
      <c r="D215" s="69"/>
      <c r="E215" s="69"/>
      <c r="F215" s="69"/>
      <c r="G215" s="79"/>
      <c r="H215" s="69"/>
      <c r="I215" s="69"/>
      <c r="J215" s="68"/>
      <c r="K215" s="80" t="str">
        <f t="shared" si="3"/>
        <v/>
      </c>
      <c r="L215" s="69"/>
      <c r="M215" s="68"/>
      <c r="N215" s="69"/>
    </row>
    <row r="216" spans="1:14" x14ac:dyDescent="0.3">
      <c r="A216" s="69"/>
      <c r="B216" s="69"/>
      <c r="C216" s="68"/>
      <c r="D216" s="69"/>
      <c r="E216" s="69"/>
      <c r="F216" s="69"/>
      <c r="G216" s="79"/>
      <c r="H216" s="69"/>
      <c r="I216" s="69"/>
      <c r="J216" s="68"/>
      <c r="K216" s="80" t="str">
        <f t="shared" si="3"/>
        <v/>
      </c>
      <c r="L216" s="69"/>
      <c r="M216" s="68"/>
      <c r="N216" s="69"/>
    </row>
    <row r="217" spans="1:14" x14ac:dyDescent="0.3">
      <c r="A217" s="69"/>
      <c r="B217" s="69"/>
      <c r="C217" s="68"/>
      <c r="D217" s="69"/>
      <c r="E217" s="69"/>
      <c r="F217" s="69"/>
      <c r="G217" s="79"/>
      <c r="H217" s="69"/>
      <c r="I217" s="69"/>
      <c r="J217" s="68"/>
      <c r="K217" s="80" t="str">
        <f t="shared" si="3"/>
        <v/>
      </c>
      <c r="L217" s="69"/>
      <c r="M217" s="68"/>
      <c r="N217" s="69"/>
    </row>
    <row r="218" spans="1:14" x14ac:dyDescent="0.3">
      <c r="A218" s="69"/>
      <c r="B218" s="69"/>
      <c r="C218" s="68"/>
      <c r="D218" s="69"/>
      <c r="E218" s="69"/>
      <c r="F218" s="69"/>
      <c r="G218" s="79"/>
      <c r="H218" s="69"/>
      <c r="I218" s="69"/>
      <c r="J218" s="68"/>
      <c r="K218" s="80" t="str">
        <f t="shared" si="3"/>
        <v/>
      </c>
      <c r="L218" s="69"/>
      <c r="M218" s="68"/>
      <c r="N218" s="69"/>
    </row>
    <row r="219" spans="1:14" x14ac:dyDescent="0.3">
      <c r="A219" s="69"/>
      <c r="B219" s="69"/>
      <c r="C219" s="68"/>
      <c r="D219" s="69"/>
      <c r="E219" s="69"/>
      <c r="F219" s="69"/>
      <c r="G219" s="79"/>
      <c r="H219" s="69"/>
      <c r="I219" s="69"/>
      <c r="J219" s="68"/>
      <c r="K219" s="80" t="str">
        <f t="shared" si="3"/>
        <v/>
      </c>
      <c r="L219" s="69"/>
      <c r="M219" s="68"/>
      <c r="N219" s="69"/>
    </row>
    <row r="220" spans="1:14" x14ac:dyDescent="0.3">
      <c r="A220" s="69"/>
      <c r="B220" s="69"/>
      <c r="C220" s="68"/>
      <c r="D220" s="69"/>
      <c r="E220" s="69"/>
      <c r="F220" s="69"/>
      <c r="G220" s="79"/>
      <c r="H220" s="69"/>
      <c r="I220" s="69"/>
      <c r="J220" s="68"/>
      <c r="K220" s="80" t="str">
        <f t="shared" si="3"/>
        <v/>
      </c>
      <c r="L220" s="69"/>
      <c r="M220" s="68"/>
      <c r="N220" s="69"/>
    </row>
    <row r="221" spans="1:14" x14ac:dyDescent="0.3">
      <c r="A221" s="69"/>
      <c r="B221" s="69"/>
      <c r="C221" s="68"/>
      <c r="D221" s="69"/>
      <c r="E221" s="69"/>
      <c r="F221" s="69"/>
      <c r="G221" s="79"/>
      <c r="H221" s="69"/>
      <c r="I221" s="69"/>
      <c r="J221" s="68"/>
      <c r="K221" s="80" t="str">
        <f t="shared" si="3"/>
        <v/>
      </c>
      <c r="L221" s="69"/>
      <c r="M221" s="68"/>
      <c r="N221" s="69"/>
    </row>
    <row r="222" spans="1:14" x14ac:dyDescent="0.3">
      <c r="A222" s="69"/>
      <c r="B222" s="69"/>
      <c r="C222" s="68"/>
      <c r="D222" s="69"/>
      <c r="E222" s="69"/>
      <c r="F222" s="69"/>
      <c r="G222" s="79"/>
      <c r="H222" s="69"/>
      <c r="I222" s="69"/>
      <c r="J222" s="68"/>
      <c r="K222" s="80" t="str">
        <f t="shared" si="3"/>
        <v/>
      </c>
      <c r="L222" s="69"/>
      <c r="M222" s="68"/>
      <c r="N222" s="69"/>
    </row>
    <row r="223" spans="1:14" x14ac:dyDescent="0.3">
      <c r="A223" s="69"/>
      <c r="B223" s="69"/>
      <c r="C223" s="68"/>
      <c r="D223" s="69"/>
      <c r="E223" s="69"/>
      <c r="F223" s="69"/>
      <c r="G223" s="79"/>
      <c r="H223" s="69"/>
      <c r="I223" s="69"/>
      <c r="J223" s="68"/>
      <c r="K223" s="80" t="str">
        <f t="shared" si="3"/>
        <v/>
      </c>
      <c r="L223" s="69"/>
      <c r="M223" s="68"/>
      <c r="N223" s="69"/>
    </row>
    <row r="224" spans="1:14" x14ac:dyDescent="0.3">
      <c r="A224" s="69"/>
      <c r="B224" s="69"/>
      <c r="C224" s="68"/>
      <c r="D224" s="69"/>
      <c r="E224" s="69"/>
      <c r="F224" s="69"/>
      <c r="G224" s="79"/>
      <c r="H224" s="69"/>
      <c r="I224" s="69"/>
      <c r="J224" s="68"/>
      <c r="K224" s="80" t="str">
        <f t="shared" si="3"/>
        <v/>
      </c>
      <c r="L224" s="69"/>
      <c r="M224" s="68"/>
      <c r="N224" s="69"/>
    </row>
    <row r="225" spans="1:14" x14ac:dyDescent="0.3">
      <c r="A225" s="69"/>
      <c r="B225" s="69"/>
      <c r="C225" s="68"/>
      <c r="D225" s="69"/>
      <c r="E225" s="69"/>
      <c r="F225" s="69"/>
      <c r="G225" s="79"/>
      <c r="H225" s="69"/>
      <c r="I225" s="69"/>
      <c r="J225" s="68"/>
      <c r="K225" s="80" t="str">
        <f t="shared" si="3"/>
        <v/>
      </c>
      <c r="L225" s="69"/>
      <c r="M225" s="68"/>
      <c r="N225" s="69"/>
    </row>
    <row r="226" spans="1:14" x14ac:dyDescent="0.3">
      <c r="A226" s="69"/>
      <c r="B226" s="69"/>
      <c r="C226" s="68"/>
      <c r="D226" s="69"/>
      <c r="E226" s="69"/>
      <c r="F226" s="69"/>
      <c r="G226" s="79"/>
      <c r="H226" s="69"/>
      <c r="I226" s="69"/>
      <c r="J226" s="68"/>
      <c r="K226" s="80" t="str">
        <f t="shared" si="3"/>
        <v/>
      </c>
      <c r="L226" s="69"/>
      <c r="M226" s="68"/>
      <c r="N226" s="69"/>
    </row>
    <row r="227" spans="1:14" x14ac:dyDescent="0.3">
      <c r="A227" s="69"/>
      <c r="B227" s="69"/>
      <c r="C227" s="68"/>
      <c r="D227" s="69"/>
      <c r="E227" s="69"/>
      <c r="F227" s="69"/>
      <c r="G227" s="79"/>
      <c r="H227" s="69"/>
      <c r="I227" s="69"/>
      <c r="J227" s="68"/>
      <c r="K227" s="80" t="str">
        <f t="shared" si="3"/>
        <v/>
      </c>
      <c r="L227" s="69"/>
      <c r="M227" s="68"/>
      <c r="N227" s="69"/>
    </row>
    <row r="228" spans="1:14" x14ac:dyDescent="0.3">
      <c r="A228" s="69"/>
      <c r="B228" s="69"/>
      <c r="C228" s="68"/>
      <c r="D228" s="69"/>
      <c r="E228" s="69"/>
      <c r="F228" s="69"/>
      <c r="G228" s="79"/>
      <c r="H228" s="69"/>
      <c r="I228" s="69"/>
      <c r="J228" s="68"/>
      <c r="K228" s="80" t="str">
        <f t="shared" si="3"/>
        <v/>
      </c>
      <c r="L228" s="69"/>
      <c r="M228" s="68"/>
      <c r="N228" s="69"/>
    </row>
    <row r="229" spans="1:14" x14ac:dyDescent="0.3">
      <c r="A229" s="69"/>
      <c r="B229" s="69"/>
      <c r="C229" s="68"/>
      <c r="D229" s="69"/>
      <c r="E229" s="69"/>
      <c r="F229" s="69"/>
      <c r="G229" s="79"/>
      <c r="H229" s="69"/>
      <c r="I229" s="69"/>
      <c r="J229" s="68"/>
      <c r="K229" s="80" t="str">
        <f t="shared" si="3"/>
        <v/>
      </c>
      <c r="L229" s="69"/>
      <c r="M229" s="68"/>
      <c r="N229" s="69"/>
    </row>
    <row r="230" spans="1:14" x14ac:dyDescent="0.3">
      <c r="A230" s="69"/>
      <c r="B230" s="69"/>
      <c r="C230" s="68"/>
      <c r="D230" s="69"/>
      <c r="E230" s="69"/>
      <c r="F230" s="69"/>
      <c r="G230" s="79"/>
      <c r="H230" s="69"/>
      <c r="I230" s="69"/>
      <c r="J230" s="68"/>
      <c r="K230" s="80" t="str">
        <f t="shared" si="3"/>
        <v/>
      </c>
      <c r="L230" s="69"/>
      <c r="M230" s="68"/>
      <c r="N230" s="69"/>
    </row>
    <row r="231" spans="1:14" x14ac:dyDescent="0.3">
      <c r="A231" s="69"/>
      <c r="B231" s="69"/>
      <c r="C231" s="68"/>
      <c r="D231" s="69"/>
      <c r="E231" s="69"/>
      <c r="F231" s="69"/>
      <c r="G231" s="79"/>
      <c r="H231" s="69"/>
      <c r="I231" s="69"/>
      <c r="J231" s="68"/>
      <c r="K231" s="80" t="str">
        <f t="shared" si="3"/>
        <v/>
      </c>
      <c r="L231" s="69"/>
      <c r="M231" s="68"/>
      <c r="N231" s="69"/>
    </row>
    <row r="232" spans="1:14" x14ac:dyDescent="0.3">
      <c r="A232" s="69"/>
      <c r="B232" s="69"/>
      <c r="C232" s="68"/>
      <c r="D232" s="69"/>
      <c r="E232" s="69"/>
      <c r="F232" s="69"/>
      <c r="G232" s="79"/>
      <c r="H232" s="69"/>
      <c r="I232" s="69"/>
      <c r="J232" s="68"/>
      <c r="K232" s="80" t="str">
        <f t="shared" si="3"/>
        <v/>
      </c>
      <c r="L232" s="69"/>
      <c r="M232" s="68"/>
      <c r="N232" s="69"/>
    </row>
    <row r="233" spans="1:14" x14ac:dyDescent="0.3">
      <c r="A233" s="69"/>
      <c r="B233" s="69"/>
      <c r="C233" s="68"/>
      <c r="D233" s="69"/>
      <c r="E233" s="69"/>
      <c r="F233" s="69"/>
      <c r="G233" s="79"/>
      <c r="H233" s="69"/>
      <c r="I233" s="69"/>
      <c r="J233" s="68"/>
      <c r="K233" s="80" t="str">
        <f t="shared" si="3"/>
        <v/>
      </c>
      <c r="L233" s="69"/>
      <c r="M233" s="68"/>
      <c r="N233" s="69"/>
    </row>
    <row r="234" spans="1:14" x14ac:dyDescent="0.3">
      <c r="A234" s="69"/>
      <c r="B234" s="69"/>
      <c r="C234" s="68"/>
      <c r="D234" s="69"/>
      <c r="E234" s="69"/>
      <c r="F234" s="69"/>
      <c r="G234" s="79"/>
      <c r="H234" s="69"/>
      <c r="I234" s="69"/>
      <c r="J234" s="68"/>
      <c r="K234" s="80" t="str">
        <f t="shared" si="3"/>
        <v/>
      </c>
      <c r="L234" s="69"/>
      <c r="M234" s="68"/>
      <c r="N234" s="69"/>
    </row>
    <row r="235" spans="1:14" x14ac:dyDescent="0.3">
      <c r="A235" s="69"/>
      <c r="B235" s="69"/>
      <c r="C235" s="68"/>
      <c r="D235" s="69"/>
      <c r="E235" s="69"/>
      <c r="F235" s="69"/>
      <c r="G235" s="79"/>
      <c r="H235" s="69"/>
      <c r="I235" s="69"/>
      <c r="J235" s="68"/>
      <c r="K235" s="80" t="str">
        <f t="shared" si="3"/>
        <v/>
      </c>
      <c r="L235" s="69"/>
      <c r="M235" s="68"/>
      <c r="N235" s="69"/>
    </row>
    <row r="236" spans="1:14" x14ac:dyDescent="0.3">
      <c r="A236" s="69"/>
      <c r="B236" s="69"/>
      <c r="C236" s="68"/>
      <c r="D236" s="69"/>
      <c r="E236" s="69"/>
      <c r="F236" s="69"/>
      <c r="G236" s="79"/>
      <c r="H236" s="69"/>
      <c r="I236" s="69"/>
      <c r="J236" s="68"/>
      <c r="K236" s="80" t="str">
        <f t="shared" si="3"/>
        <v/>
      </c>
      <c r="L236" s="69"/>
      <c r="M236" s="68"/>
      <c r="N236" s="69"/>
    </row>
    <row r="237" spans="1:14" x14ac:dyDescent="0.3">
      <c r="A237" s="69"/>
      <c r="B237" s="69"/>
      <c r="C237" s="68"/>
      <c r="D237" s="69"/>
      <c r="E237" s="69"/>
      <c r="F237" s="69"/>
      <c r="G237" s="79"/>
      <c r="H237" s="69"/>
      <c r="I237" s="69"/>
      <c r="J237" s="68"/>
      <c r="K237" s="80" t="str">
        <f t="shared" si="3"/>
        <v/>
      </c>
      <c r="L237" s="69"/>
      <c r="M237" s="68"/>
      <c r="N237" s="69"/>
    </row>
    <row r="238" spans="1:14" x14ac:dyDescent="0.3">
      <c r="A238" s="69"/>
      <c r="B238" s="69"/>
      <c r="C238" s="68"/>
      <c r="D238" s="69"/>
      <c r="E238" s="69"/>
      <c r="F238" s="69"/>
      <c r="G238" s="79"/>
      <c r="H238" s="69"/>
      <c r="I238" s="69"/>
      <c r="J238" s="68"/>
      <c r="K238" s="80" t="str">
        <f t="shared" si="3"/>
        <v/>
      </c>
      <c r="L238" s="69"/>
      <c r="M238" s="68"/>
      <c r="N238" s="69"/>
    </row>
    <row r="239" spans="1:14" x14ac:dyDescent="0.3">
      <c r="A239" s="69"/>
      <c r="B239" s="69"/>
      <c r="C239" s="68"/>
      <c r="D239" s="69"/>
      <c r="E239" s="69"/>
      <c r="F239" s="69"/>
      <c r="G239" s="79"/>
      <c r="H239" s="69"/>
      <c r="I239" s="69"/>
      <c r="J239" s="68"/>
      <c r="K239" s="80" t="str">
        <f t="shared" si="3"/>
        <v/>
      </c>
      <c r="L239" s="69"/>
      <c r="M239" s="68"/>
      <c r="N239" s="69"/>
    </row>
    <row r="240" spans="1:14" x14ac:dyDescent="0.3">
      <c r="A240" s="69"/>
      <c r="B240" s="69"/>
      <c r="C240" s="68"/>
      <c r="D240" s="69"/>
      <c r="E240" s="69"/>
      <c r="F240" s="69"/>
      <c r="G240" s="79"/>
      <c r="H240" s="69"/>
      <c r="I240" s="69"/>
      <c r="J240" s="68"/>
      <c r="K240" s="80" t="str">
        <f t="shared" si="3"/>
        <v/>
      </c>
      <c r="L240" s="69"/>
      <c r="M240" s="68"/>
      <c r="N240" s="69"/>
    </row>
    <row r="241" spans="1:14" x14ac:dyDescent="0.3">
      <c r="A241" s="69"/>
      <c r="B241" s="69"/>
      <c r="C241" s="68"/>
      <c r="D241" s="69"/>
      <c r="E241" s="69"/>
      <c r="F241" s="69"/>
      <c r="G241" s="79"/>
      <c r="H241" s="69"/>
      <c r="I241" s="69"/>
      <c r="J241" s="68"/>
      <c r="K241" s="80" t="str">
        <f t="shared" si="3"/>
        <v/>
      </c>
      <c r="L241" s="69"/>
      <c r="M241" s="68"/>
      <c r="N241" s="69"/>
    </row>
    <row r="242" spans="1:14" x14ac:dyDescent="0.3">
      <c r="A242" s="69"/>
      <c r="B242" s="69"/>
      <c r="C242" s="68"/>
      <c r="D242" s="69"/>
      <c r="E242" s="69"/>
      <c r="F242" s="69"/>
      <c r="G242" s="79"/>
      <c r="H242" s="69"/>
      <c r="I242" s="69"/>
      <c r="J242" s="68"/>
      <c r="K242" s="80" t="str">
        <f t="shared" si="3"/>
        <v/>
      </c>
      <c r="L242" s="69"/>
      <c r="M242" s="68"/>
      <c r="N242" s="69"/>
    </row>
    <row r="243" spans="1:14" x14ac:dyDescent="0.3">
      <c r="A243" s="69"/>
      <c r="B243" s="69"/>
      <c r="C243" s="68"/>
      <c r="D243" s="69"/>
      <c r="E243" s="69"/>
      <c r="F243" s="69"/>
      <c r="G243" s="79"/>
      <c r="H243" s="69"/>
      <c r="I243" s="69"/>
      <c r="J243" s="68"/>
      <c r="K243" s="80" t="str">
        <f t="shared" si="3"/>
        <v/>
      </c>
      <c r="L243" s="69"/>
      <c r="M243" s="68"/>
      <c r="N243" s="69"/>
    </row>
    <row r="244" spans="1:14" x14ac:dyDescent="0.3">
      <c r="A244" s="69"/>
      <c r="B244" s="69"/>
      <c r="C244" s="68"/>
      <c r="D244" s="69"/>
      <c r="E244" s="69"/>
      <c r="F244" s="69"/>
      <c r="G244" s="79"/>
      <c r="H244" s="69"/>
      <c r="I244" s="69"/>
      <c r="J244" s="68"/>
      <c r="K244" s="80" t="str">
        <f t="shared" si="3"/>
        <v/>
      </c>
      <c r="L244" s="69"/>
      <c r="M244" s="68"/>
      <c r="N244" s="69"/>
    </row>
    <row r="245" spans="1:14" x14ac:dyDescent="0.3">
      <c r="A245" s="69"/>
      <c r="B245" s="69"/>
      <c r="C245" s="68"/>
      <c r="D245" s="69"/>
      <c r="E245" s="69"/>
      <c r="F245" s="69"/>
      <c r="G245" s="79"/>
      <c r="H245" s="69"/>
      <c r="I245" s="69"/>
      <c r="J245" s="68"/>
      <c r="K245" s="80" t="str">
        <f t="shared" si="3"/>
        <v/>
      </c>
      <c r="L245" s="69"/>
      <c r="M245" s="68"/>
      <c r="N245" s="69"/>
    </row>
    <row r="246" spans="1:14" x14ac:dyDescent="0.3">
      <c r="A246" s="69"/>
      <c r="B246" s="69"/>
      <c r="C246" s="68"/>
      <c r="D246" s="69"/>
      <c r="E246" s="69"/>
      <c r="F246" s="69"/>
      <c r="G246" s="79"/>
      <c r="H246" s="69"/>
      <c r="I246" s="69"/>
      <c r="J246" s="68"/>
      <c r="K246" s="80" t="str">
        <f t="shared" si="3"/>
        <v/>
      </c>
      <c r="L246" s="69"/>
      <c r="M246" s="68"/>
      <c r="N246" s="69"/>
    </row>
    <row r="247" spans="1:14" x14ac:dyDescent="0.3">
      <c r="A247" s="69"/>
      <c r="B247" s="69"/>
      <c r="C247" s="68"/>
      <c r="D247" s="69"/>
      <c r="E247" s="69"/>
      <c r="F247" s="69"/>
      <c r="G247" s="79"/>
      <c r="H247" s="69"/>
      <c r="I247" s="69"/>
      <c r="J247" s="68"/>
      <c r="K247" s="80" t="str">
        <f t="shared" si="3"/>
        <v/>
      </c>
      <c r="L247" s="69"/>
      <c r="M247" s="68"/>
      <c r="N247" s="69"/>
    </row>
    <row r="248" spans="1:14" x14ac:dyDescent="0.3">
      <c r="A248" s="69"/>
      <c r="B248" s="69"/>
      <c r="C248" s="68"/>
      <c r="D248" s="69"/>
      <c r="E248" s="69"/>
      <c r="F248" s="69"/>
      <c r="G248" s="79"/>
      <c r="H248" s="69"/>
      <c r="I248" s="69"/>
      <c r="J248" s="68"/>
      <c r="K248" s="80" t="str">
        <f t="shared" si="3"/>
        <v/>
      </c>
      <c r="L248" s="69"/>
      <c r="M248" s="68"/>
      <c r="N248" s="69"/>
    </row>
    <row r="249" spans="1:14" x14ac:dyDescent="0.3">
      <c r="A249" s="69"/>
      <c r="B249" s="69"/>
      <c r="C249" s="68"/>
      <c r="D249" s="69"/>
      <c r="E249" s="69"/>
      <c r="F249" s="69"/>
      <c r="G249" s="79"/>
      <c r="H249" s="69"/>
      <c r="I249" s="69"/>
      <c r="J249" s="68"/>
      <c r="K249" s="80" t="str">
        <f t="shared" si="3"/>
        <v/>
      </c>
      <c r="L249" s="69"/>
      <c r="M249" s="68"/>
      <c r="N249" s="69"/>
    </row>
    <row r="250" spans="1:14" x14ac:dyDescent="0.3">
      <c r="A250" s="69"/>
      <c r="B250" s="69"/>
      <c r="C250" s="68"/>
      <c r="D250" s="69"/>
      <c r="E250" s="69"/>
      <c r="F250" s="69"/>
      <c r="G250" s="79"/>
      <c r="H250" s="69"/>
      <c r="I250" s="69"/>
      <c r="J250" s="68"/>
      <c r="K250" s="80" t="str">
        <f t="shared" si="3"/>
        <v/>
      </c>
      <c r="L250" s="69"/>
      <c r="M250" s="68"/>
      <c r="N250" s="69"/>
    </row>
    <row r="251" spans="1:14" x14ac:dyDescent="0.3">
      <c r="A251" s="69"/>
      <c r="B251" s="69"/>
      <c r="C251" s="68"/>
      <c r="D251" s="69"/>
      <c r="E251" s="69"/>
      <c r="F251" s="69"/>
      <c r="G251" s="79"/>
      <c r="H251" s="69"/>
      <c r="I251" s="69"/>
      <c r="J251" s="68"/>
      <c r="K251" s="80" t="str">
        <f t="shared" si="3"/>
        <v/>
      </c>
      <c r="L251" s="69"/>
      <c r="M251" s="68"/>
      <c r="N251" s="69"/>
    </row>
    <row r="252" spans="1:14" x14ac:dyDescent="0.3">
      <c r="A252" s="69"/>
      <c r="B252" s="69"/>
      <c r="C252" s="68"/>
      <c r="D252" s="69"/>
      <c r="E252" s="69"/>
      <c r="F252" s="69"/>
      <c r="G252" s="79"/>
      <c r="H252" s="69"/>
      <c r="I252" s="69"/>
      <c r="J252" s="68"/>
      <c r="K252" s="80" t="str">
        <f t="shared" si="3"/>
        <v/>
      </c>
      <c r="L252" s="69"/>
      <c r="M252" s="68"/>
      <c r="N252" s="69"/>
    </row>
    <row r="253" spans="1:14" x14ac:dyDescent="0.3">
      <c r="A253" s="69"/>
      <c r="B253" s="69"/>
      <c r="C253" s="68"/>
      <c r="D253" s="69"/>
      <c r="E253" s="69"/>
      <c r="F253" s="69"/>
      <c r="G253" s="79"/>
      <c r="H253" s="69"/>
      <c r="I253" s="69"/>
      <c r="J253" s="68"/>
      <c r="K253" s="80" t="str">
        <f t="shared" si="3"/>
        <v/>
      </c>
      <c r="L253" s="69"/>
      <c r="M253" s="68"/>
      <c r="N253" s="69"/>
    </row>
    <row r="254" spans="1:14" x14ac:dyDescent="0.3">
      <c r="A254" s="69"/>
      <c r="B254" s="69"/>
      <c r="C254" s="68"/>
      <c r="D254" s="69"/>
      <c r="E254" s="69"/>
      <c r="F254" s="69"/>
      <c r="G254" s="79"/>
      <c r="H254" s="69"/>
      <c r="I254" s="69"/>
      <c r="J254" s="68"/>
      <c r="K254" s="80" t="str">
        <f t="shared" si="3"/>
        <v/>
      </c>
      <c r="L254" s="69"/>
      <c r="M254" s="68"/>
      <c r="N254" s="69"/>
    </row>
    <row r="255" spans="1:14" x14ac:dyDescent="0.3">
      <c r="A255" s="69"/>
      <c r="B255" s="69"/>
      <c r="C255" s="68"/>
      <c r="D255" s="69"/>
      <c r="E255" s="69"/>
      <c r="F255" s="69"/>
      <c r="G255" s="79"/>
      <c r="H255" s="69"/>
      <c r="I255" s="69"/>
      <c r="J255" s="68"/>
      <c r="K255" s="80" t="str">
        <f t="shared" si="3"/>
        <v/>
      </c>
      <c r="L255" s="69"/>
      <c r="M255" s="68"/>
      <c r="N255" s="69"/>
    </row>
    <row r="256" spans="1:14" x14ac:dyDescent="0.3">
      <c r="A256" s="69"/>
      <c r="B256" s="69"/>
      <c r="C256" s="68"/>
      <c r="D256" s="69"/>
      <c r="E256" s="69"/>
      <c r="F256" s="69"/>
      <c r="G256" s="79"/>
      <c r="H256" s="69"/>
      <c r="I256" s="69"/>
      <c r="J256" s="68"/>
      <c r="K256" s="80" t="str">
        <f t="shared" si="3"/>
        <v/>
      </c>
      <c r="L256" s="69"/>
      <c r="M256" s="68"/>
      <c r="N256" s="69"/>
    </row>
    <row r="257" spans="1:14" x14ac:dyDescent="0.3">
      <c r="A257" s="69"/>
      <c r="B257" s="69"/>
      <c r="C257" s="68"/>
      <c r="D257" s="69"/>
      <c r="E257" s="69"/>
      <c r="F257" s="69"/>
      <c r="G257" s="79"/>
      <c r="H257" s="69"/>
      <c r="I257" s="69"/>
      <c r="J257" s="68"/>
      <c r="K257" s="80" t="str">
        <f t="shared" si="3"/>
        <v/>
      </c>
      <c r="L257" s="69"/>
      <c r="M257" s="68"/>
      <c r="N257" s="69"/>
    </row>
    <row r="258" spans="1:14" x14ac:dyDescent="0.3">
      <c r="A258" s="69"/>
      <c r="B258" s="69"/>
      <c r="C258" s="68"/>
      <c r="D258" s="69"/>
      <c r="E258" s="69"/>
      <c r="F258" s="69"/>
      <c r="G258" s="79"/>
      <c r="H258" s="69"/>
      <c r="I258" s="69"/>
      <c r="J258" s="68"/>
      <c r="K258" s="80" t="str">
        <f t="shared" si="3"/>
        <v/>
      </c>
      <c r="L258" s="69"/>
      <c r="M258" s="68"/>
      <c r="N258" s="69"/>
    </row>
    <row r="259" spans="1:14" x14ac:dyDescent="0.3">
      <c r="A259" s="69"/>
      <c r="B259" s="69"/>
      <c r="C259" s="68"/>
      <c r="D259" s="69"/>
      <c r="E259" s="69"/>
      <c r="F259" s="69"/>
      <c r="G259" s="79"/>
      <c r="H259" s="69"/>
      <c r="I259" s="69"/>
      <c r="J259" s="68"/>
      <c r="K259" s="80" t="str">
        <f t="shared" si="3"/>
        <v/>
      </c>
      <c r="L259" s="69"/>
      <c r="M259" s="68"/>
      <c r="N259" s="69"/>
    </row>
    <row r="260" spans="1:14" x14ac:dyDescent="0.3">
      <c r="A260" s="69"/>
      <c r="B260" s="69"/>
      <c r="C260" s="68"/>
      <c r="D260" s="69"/>
      <c r="E260" s="69"/>
      <c r="F260" s="69"/>
      <c r="G260" s="79"/>
      <c r="H260" s="69"/>
      <c r="I260" s="69"/>
      <c r="J260" s="68"/>
      <c r="K260" s="80" t="str">
        <f t="shared" si="3"/>
        <v/>
      </c>
      <c r="L260" s="69"/>
      <c r="M260" s="68"/>
      <c r="N260" s="69"/>
    </row>
    <row r="261" spans="1:14" x14ac:dyDescent="0.3">
      <c r="A261" s="69"/>
      <c r="B261" s="69"/>
      <c r="C261" s="68"/>
      <c r="D261" s="69"/>
      <c r="E261" s="69"/>
      <c r="F261" s="69"/>
      <c r="G261" s="79"/>
      <c r="H261" s="69"/>
      <c r="I261" s="69"/>
      <c r="J261" s="68"/>
      <c r="K261" s="80" t="str">
        <f t="shared" ref="K261:K324" si="4">IF(OR(C261="",J261=""),"",J261-C261)</f>
        <v/>
      </c>
      <c r="L261" s="69"/>
      <c r="M261" s="68"/>
      <c r="N261" s="69"/>
    </row>
    <row r="262" spans="1:14" x14ac:dyDescent="0.3">
      <c r="A262" s="69"/>
      <c r="B262" s="69"/>
      <c r="C262" s="68"/>
      <c r="D262" s="69"/>
      <c r="E262" s="69"/>
      <c r="F262" s="69"/>
      <c r="G262" s="79"/>
      <c r="H262" s="69"/>
      <c r="I262" s="69"/>
      <c r="J262" s="68"/>
      <c r="K262" s="80" t="str">
        <f t="shared" si="4"/>
        <v/>
      </c>
      <c r="L262" s="69"/>
      <c r="M262" s="68"/>
      <c r="N262" s="69"/>
    </row>
    <row r="263" spans="1:14" x14ac:dyDescent="0.3">
      <c r="A263" s="69"/>
      <c r="B263" s="69"/>
      <c r="C263" s="68"/>
      <c r="D263" s="69"/>
      <c r="E263" s="69"/>
      <c r="F263" s="69"/>
      <c r="G263" s="79"/>
      <c r="H263" s="69"/>
      <c r="I263" s="69"/>
      <c r="J263" s="68"/>
      <c r="K263" s="80" t="str">
        <f t="shared" si="4"/>
        <v/>
      </c>
      <c r="L263" s="69"/>
      <c r="M263" s="68"/>
      <c r="N263" s="69"/>
    </row>
    <row r="264" spans="1:14" x14ac:dyDescent="0.3">
      <c r="A264" s="69"/>
      <c r="B264" s="69"/>
      <c r="C264" s="68"/>
      <c r="D264" s="69"/>
      <c r="E264" s="69"/>
      <c r="F264" s="69"/>
      <c r="G264" s="79"/>
      <c r="H264" s="69"/>
      <c r="I264" s="69"/>
      <c r="J264" s="68"/>
      <c r="K264" s="80" t="str">
        <f t="shared" si="4"/>
        <v/>
      </c>
      <c r="L264" s="69"/>
      <c r="M264" s="68"/>
      <c r="N264" s="69"/>
    </row>
    <row r="265" spans="1:14" x14ac:dyDescent="0.3">
      <c r="A265" s="69"/>
      <c r="B265" s="69"/>
      <c r="C265" s="68"/>
      <c r="D265" s="69"/>
      <c r="E265" s="69"/>
      <c r="F265" s="69"/>
      <c r="G265" s="79"/>
      <c r="H265" s="69"/>
      <c r="I265" s="69"/>
      <c r="J265" s="68"/>
      <c r="K265" s="80" t="str">
        <f t="shared" si="4"/>
        <v/>
      </c>
      <c r="L265" s="69"/>
      <c r="M265" s="68"/>
      <c r="N265" s="69"/>
    </row>
    <row r="266" spans="1:14" x14ac:dyDescent="0.3">
      <c r="A266" s="69"/>
      <c r="B266" s="69"/>
      <c r="C266" s="68"/>
      <c r="D266" s="69"/>
      <c r="E266" s="69"/>
      <c r="F266" s="69"/>
      <c r="G266" s="79"/>
      <c r="H266" s="69"/>
      <c r="I266" s="69"/>
      <c r="J266" s="68"/>
      <c r="K266" s="80" t="str">
        <f t="shared" si="4"/>
        <v/>
      </c>
      <c r="L266" s="69"/>
      <c r="M266" s="68"/>
      <c r="N266" s="69"/>
    </row>
    <row r="267" spans="1:14" x14ac:dyDescent="0.3">
      <c r="A267" s="69"/>
      <c r="B267" s="69"/>
      <c r="C267" s="68"/>
      <c r="D267" s="69"/>
      <c r="E267" s="69"/>
      <c r="F267" s="69"/>
      <c r="G267" s="79"/>
      <c r="H267" s="69"/>
      <c r="I267" s="69"/>
      <c r="J267" s="68"/>
      <c r="K267" s="80" t="str">
        <f t="shared" si="4"/>
        <v/>
      </c>
      <c r="L267" s="69"/>
      <c r="M267" s="68"/>
      <c r="N267" s="69"/>
    </row>
    <row r="268" spans="1:14" x14ac:dyDescent="0.3">
      <c r="A268" s="69"/>
      <c r="B268" s="69"/>
      <c r="C268" s="68"/>
      <c r="D268" s="69"/>
      <c r="E268" s="69"/>
      <c r="F268" s="69"/>
      <c r="G268" s="79"/>
      <c r="H268" s="69"/>
      <c r="I268" s="69"/>
      <c r="J268" s="68"/>
      <c r="K268" s="80" t="str">
        <f t="shared" si="4"/>
        <v/>
      </c>
      <c r="L268" s="69"/>
      <c r="M268" s="68"/>
      <c r="N268" s="69"/>
    </row>
    <row r="269" spans="1:14" x14ac:dyDescent="0.3">
      <c r="A269" s="69"/>
      <c r="B269" s="69"/>
      <c r="C269" s="68"/>
      <c r="D269" s="69"/>
      <c r="E269" s="69"/>
      <c r="F269" s="69"/>
      <c r="G269" s="79"/>
      <c r="H269" s="69"/>
      <c r="I269" s="69"/>
      <c r="J269" s="68"/>
      <c r="K269" s="80" t="str">
        <f t="shared" si="4"/>
        <v/>
      </c>
      <c r="L269" s="69"/>
      <c r="M269" s="68"/>
      <c r="N269" s="69"/>
    </row>
    <row r="270" spans="1:14" x14ac:dyDescent="0.3">
      <c r="A270" s="69"/>
      <c r="B270" s="69"/>
      <c r="C270" s="68"/>
      <c r="D270" s="69"/>
      <c r="E270" s="69"/>
      <c r="F270" s="69"/>
      <c r="G270" s="79"/>
      <c r="H270" s="69"/>
      <c r="I270" s="69"/>
      <c r="J270" s="68"/>
      <c r="K270" s="80" t="str">
        <f t="shared" si="4"/>
        <v/>
      </c>
      <c r="L270" s="69"/>
      <c r="M270" s="68"/>
      <c r="N270" s="69"/>
    </row>
    <row r="271" spans="1:14" x14ac:dyDescent="0.3">
      <c r="A271" s="69"/>
      <c r="B271" s="69"/>
      <c r="C271" s="68"/>
      <c r="D271" s="69"/>
      <c r="E271" s="69"/>
      <c r="F271" s="69"/>
      <c r="G271" s="79"/>
      <c r="H271" s="69"/>
      <c r="I271" s="69"/>
      <c r="J271" s="68"/>
      <c r="K271" s="80" t="str">
        <f t="shared" si="4"/>
        <v/>
      </c>
      <c r="L271" s="69"/>
      <c r="M271" s="68"/>
      <c r="N271" s="69"/>
    </row>
    <row r="272" spans="1:14" x14ac:dyDescent="0.3">
      <c r="A272" s="69"/>
      <c r="B272" s="69"/>
      <c r="C272" s="68"/>
      <c r="D272" s="69"/>
      <c r="E272" s="69"/>
      <c r="F272" s="69"/>
      <c r="G272" s="79"/>
      <c r="H272" s="69"/>
      <c r="I272" s="69"/>
      <c r="J272" s="68"/>
      <c r="K272" s="80" t="str">
        <f t="shared" si="4"/>
        <v/>
      </c>
      <c r="L272" s="69"/>
      <c r="M272" s="68"/>
      <c r="N272" s="69"/>
    </row>
    <row r="273" spans="1:14" x14ac:dyDescent="0.3">
      <c r="A273" s="69"/>
      <c r="B273" s="69"/>
      <c r="C273" s="68"/>
      <c r="D273" s="69"/>
      <c r="E273" s="69"/>
      <c r="F273" s="69"/>
      <c r="G273" s="79"/>
      <c r="H273" s="69"/>
      <c r="I273" s="69"/>
      <c r="J273" s="68"/>
      <c r="K273" s="80" t="str">
        <f t="shared" si="4"/>
        <v/>
      </c>
      <c r="L273" s="69"/>
      <c r="M273" s="68"/>
      <c r="N273" s="69"/>
    </row>
    <row r="274" spans="1:14" x14ac:dyDescent="0.3">
      <c r="A274" s="69"/>
      <c r="B274" s="69"/>
      <c r="C274" s="68"/>
      <c r="D274" s="69"/>
      <c r="E274" s="69"/>
      <c r="F274" s="69"/>
      <c r="G274" s="79"/>
      <c r="H274" s="69"/>
      <c r="I274" s="69"/>
      <c r="J274" s="68"/>
      <c r="K274" s="80" t="str">
        <f t="shared" si="4"/>
        <v/>
      </c>
      <c r="L274" s="69"/>
      <c r="M274" s="68"/>
      <c r="N274" s="69"/>
    </row>
    <row r="275" spans="1:14" x14ac:dyDescent="0.3">
      <c r="A275" s="69"/>
      <c r="B275" s="69"/>
      <c r="C275" s="68"/>
      <c r="D275" s="69"/>
      <c r="E275" s="69"/>
      <c r="F275" s="69"/>
      <c r="G275" s="79"/>
      <c r="H275" s="69"/>
      <c r="I275" s="69"/>
      <c r="J275" s="68"/>
      <c r="K275" s="80" t="str">
        <f t="shared" si="4"/>
        <v/>
      </c>
      <c r="L275" s="69"/>
      <c r="M275" s="68"/>
      <c r="N275" s="69"/>
    </row>
    <row r="276" spans="1:14" x14ac:dyDescent="0.3">
      <c r="A276" s="69"/>
      <c r="B276" s="69"/>
      <c r="C276" s="68"/>
      <c r="D276" s="69"/>
      <c r="E276" s="69"/>
      <c r="F276" s="69"/>
      <c r="G276" s="79"/>
      <c r="H276" s="69"/>
      <c r="I276" s="69"/>
      <c r="J276" s="68"/>
      <c r="K276" s="80" t="str">
        <f t="shared" si="4"/>
        <v/>
      </c>
      <c r="L276" s="69"/>
      <c r="M276" s="68"/>
      <c r="N276" s="69"/>
    </row>
    <row r="277" spans="1:14" x14ac:dyDescent="0.3">
      <c r="A277" s="69"/>
      <c r="B277" s="69"/>
      <c r="C277" s="68"/>
      <c r="D277" s="69"/>
      <c r="E277" s="69"/>
      <c r="F277" s="69"/>
      <c r="G277" s="79"/>
      <c r="H277" s="69"/>
      <c r="I277" s="69"/>
      <c r="J277" s="68"/>
      <c r="K277" s="80" t="str">
        <f t="shared" si="4"/>
        <v/>
      </c>
      <c r="L277" s="69"/>
      <c r="M277" s="68"/>
      <c r="N277" s="69"/>
    </row>
    <row r="278" spans="1:14" x14ac:dyDescent="0.3">
      <c r="A278" s="69"/>
      <c r="B278" s="69"/>
      <c r="C278" s="68"/>
      <c r="D278" s="69"/>
      <c r="E278" s="69"/>
      <c r="F278" s="69"/>
      <c r="G278" s="79"/>
      <c r="H278" s="69"/>
      <c r="I278" s="69"/>
      <c r="J278" s="68"/>
      <c r="K278" s="80" t="str">
        <f t="shared" si="4"/>
        <v/>
      </c>
      <c r="L278" s="69"/>
      <c r="M278" s="68"/>
      <c r="N278" s="69"/>
    </row>
    <row r="279" spans="1:14" x14ac:dyDescent="0.3">
      <c r="A279" s="69"/>
      <c r="B279" s="69"/>
      <c r="C279" s="68"/>
      <c r="D279" s="69"/>
      <c r="E279" s="69"/>
      <c r="F279" s="69"/>
      <c r="G279" s="79"/>
      <c r="H279" s="69"/>
      <c r="I279" s="69"/>
      <c r="J279" s="68"/>
      <c r="K279" s="80" t="str">
        <f t="shared" si="4"/>
        <v/>
      </c>
      <c r="L279" s="69"/>
      <c r="M279" s="68"/>
      <c r="N279" s="69"/>
    </row>
    <row r="280" spans="1:14" x14ac:dyDescent="0.3">
      <c r="A280" s="69"/>
      <c r="B280" s="69"/>
      <c r="C280" s="68"/>
      <c r="D280" s="69"/>
      <c r="E280" s="69"/>
      <c r="F280" s="69"/>
      <c r="G280" s="79"/>
      <c r="H280" s="69"/>
      <c r="I280" s="69"/>
      <c r="J280" s="68"/>
      <c r="K280" s="80" t="str">
        <f t="shared" si="4"/>
        <v/>
      </c>
      <c r="L280" s="69"/>
      <c r="M280" s="68"/>
      <c r="N280" s="69"/>
    </row>
    <row r="281" spans="1:14" x14ac:dyDescent="0.3">
      <c r="A281" s="69"/>
      <c r="B281" s="69"/>
      <c r="C281" s="68"/>
      <c r="D281" s="69"/>
      <c r="E281" s="69"/>
      <c r="F281" s="69"/>
      <c r="G281" s="79"/>
      <c r="H281" s="69"/>
      <c r="I281" s="69"/>
      <c r="J281" s="68"/>
      <c r="K281" s="80" t="str">
        <f t="shared" si="4"/>
        <v/>
      </c>
      <c r="L281" s="69"/>
      <c r="M281" s="68"/>
      <c r="N281" s="69"/>
    </row>
    <row r="282" spans="1:14" x14ac:dyDescent="0.3">
      <c r="A282" s="69"/>
      <c r="B282" s="69"/>
      <c r="C282" s="68"/>
      <c r="D282" s="69"/>
      <c r="E282" s="69"/>
      <c r="F282" s="69"/>
      <c r="G282" s="79"/>
      <c r="H282" s="69"/>
      <c r="I282" s="69"/>
      <c r="J282" s="68"/>
      <c r="K282" s="80" t="str">
        <f t="shared" si="4"/>
        <v/>
      </c>
      <c r="L282" s="69"/>
      <c r="M282" s="68"/>
      <c r="N282" s="69"/>
    </row>
    <row r="283" spans="1:14" x14ac:dyDescent="0.3">
      <c r="A283" s="69"/>
      <c r="B283" s="69"/>
      <c r="C283" s="68"/>
      <c r="D283" s="69"/>
      <c r="E283" s="69"/>
      <c r="F283" s="69"/>
      <c r="G283" s="79"/>
      <c r="H283" s="69"/>
      <c r="I283" s="69"/>
      <c r="J283" s="68"/>
      <c r="K283" s="80" t="str">
        <f t="shared" si="4"/>
        <v/>
      </c>
      <c r="L283" s="69"/>
      <c r="M283" s="68"/>
      <c r="N283" s="69"/>
    </row>
    <row r="284" spans="1:14" x14ac:dyDescent="0.3">
      <c r="A284" s="69"/>
      <c r="B284" s="69"/>
      <c r="C284" s="68"/>
      <c r="D284" s="69"/>
      <c r="E284" s="69"/>
      <c r="F284" s="69"/>
      <c r="G284" s="79"/>
      <c r="H284" s="69"/>
      <c r="I284" s="69"/>
      <c r="J284" s="68"/>
      <c r="K284" s="80" t="str">
        <f t="shared" si="4"/>
        <v/>
      </c>
      <c r="L284" s="69"/>
      <c r="M284" s="68"/>
      <c r="N284" s="69"/>
    </row>
    <row r="285" spans="1:14" x14ac:dyDescent="0.3">
      <c r="A285" s="69"/>
      <c r="B285" s="69"/>
      <c r="C285" s="68"/>
      <c r="D285" s="69"/>
      <c r="E285" s="69"/>
      <c r="F285" s="69"/>
      <c r="G285" s="79"/>
      <c r="H285" s="69"/>
      <c r="I285" s="69"/>
      <c r="J285" s="68"/>
      <c r="K285" s="80" t="str">
        <f t="shared" si="4"/>
        <v/>
      </c>
      <c r="L285" s="69"/>
      <c r="M285" s="68"/>
      <c r="N285" s="69"/>
    </row>
    <row r="286" spans="1:14" x14ac:dyDescent="0.3">
      <c r="A286" s="69"/>
      <c r="B286" s="69"/>
      <c r="C286" s="68"/>
      <c r="D286" s="69"/>
      <c r="E286" s="69"/>
      <c r="F286" s="69"/>
      <c r="G286" s="79"/>
      <c r="H286" s="69"/>
      <c r="I286" s="69"/>
      <c r="J286" s="68"/>
      <c r="K286" s="80" t="str">
        <f t="shared" si="4"/>
        <v/>
      </c>
      <c r="L286" s="69"/>
      <c r="M286" s="68"/>
      <c r="N286" s="69"/>
    </row>
    <row r="287" spans="1:14" x14ac:dyDescent="0.3">
      <c r="A287" s="69"/>
      <c r="B287" s="69"/>
      <c r="C287" s="68"/>
      <c r="D287" s="69"/>
      <c r="E287" s="69"/>
      <c r="F287" s="69"/>
      <c r="G287" s="79"/>
      <c r="H287" s="69"/>
      <c r="I287" s="69"/>
      <c r="J287" s="68"/>
      <c r="K287" s="80" t="str">
        <f t="shared" si="4"/>
        <v/>
      </c>
      <c r="L287" s="69"/>
      <c r="M287" s="68"/>
      <c r="N287" s="69"/>
    </row>
    <row r="288" spans="1:14" x14ac:dyDescent="0.3">
      <c r="A288" s="69"/>
      <c r="B288" s="69"/>
      <c r="C288" s="68"/>
      <c r="D288" s="69"/>
      <c r="E288" s="69"/>
      <c r="F288" s="69"/>
      <c r="G288" s="79"/>
      <c r="H288" s="69"/>
      <c r="I288" s="69"/>
      <c r="J288" s="68"/>
      <c r="K288" s="80" t="str">
        <f t="shared" si="4"/>
        <v/>
      </c>
      <c r="L288" s="69"/>
      <c r="M288" s="68"/>
      <c r="N288" s="69"/>
    </row>
    <row r="289" spans="1:14" x14ac:dyDescent="0.3">
      <c r="A289" s="69"/>
      <c r="B289" s="69"/>
      <c r="C289" s="68"/>
      <c r="D289" s="69"/>
      <c r="E289" s="69"/>
      <c r="F289" s="69"/>
      <c r="G289" s="79"/>
      <c r="H289" s="69"/>
      <c r="I289" s="69"/>
      <c r="J289" s="68"/>
      <c r="K289" s="80" t="str">
        <f t="shared" si="4"/>
        <v/>
      </c>
      <c r="L289" s="69"/>
      <c r="M289" s="68"/>
      <c r="N289" s="69"/>
    </row>
    <row r="290" spans="1:14" x14ac:dyDescent="0.3">
      <c r="A290" s="69"/>
      <c r="B290" s="69"/>
      <c r="C290" s="68"/>
      <c r="D290" s="69"/>
      <c r="E290" s="69"/>
      <c r="F290" s="69"/>
      <c r="G290" s="79"/>
      <c r="H290" s="69"/>
      <c r="I290" s="69"/>
      <c r="J290" s="68"/>
      <c r="K290" s="80" t="str">
        <f t="shared" si="4"/>
        <v/>
      </c>
      <c r="L290" s="69"/>
      <c r="M290" s="68"/>
      <c r="N290" s="69"/>
    </row>
    <row r="291" spans="1:14" x14ac:dyDescent="0.3">
      <c r="A291" s="69"/>
      <c r="B291" s="69"/>
      <c r="C291" s="68"/>
      <c r="D291" s="69"/>
      <c r="E291" s="69"/>
      <c r="F291" s="69"/>
      <c r="G291" s="79"/>
      <c r="H291" s="69"/>
      <c r="I291" s="69"/>
      <c r="J291" s="68"/>
      <c r="K291" s="80" t="str">
        <f t="shared" si="4"/>
        <v/>
      </c>
      <c r="L291" s="69"/>
      <c r="M291" s="68"/>
      <c r="N291" s="69"/>
    </row>
    <row r="292" spans="1:14" x14ac:dyDescent="0.3">
      <c r="A292" s="69"/>
      <c r="B292" s="69"/>
      <c r="C292" s="68"/>
      <c r="D292" s="69"/>
      <c r="E292" s="69"/>
      <c r="F292" s="69"/>
      <c r="G292" s="79"/>
      <c r="H292" s="69"/>
      <c r="I292" s="69"/>
      <c r="J292" s="68"/>
      <c r="K292" s="80" t="str">
        <f t="shared" si="4"/>
        <v/>
      </c>
      <c r="L292" s="69"/>
      <c r="M292" s="68"/>
      <c r="N292" s="69"/>
    </row>
    <row r="293" spans="1:14" x14ac:dyDescent="0.3">
      <c r="A293" s="69"/>
      <c r="B293" s="69"/>
      <c r="C293" s="68"/>
      <c r="D293" s="69"/>
      <c r="E293" s="69"/>
      <c r="F293" s="69"/>
      <c r="G293" s="79"/>
      <c r="H293" s="69"/>
      <c r="I293" s="69"/>
      <c r="J293" s="68"/>
      <c r="K293" s="80" t="str">
        <f t="shared" si="4"/>
        <v/>
      </c>
      <c r="L293" s="69"/>
      <c r="M293" s="68"/>
      <c r="N293" s="69"/>
    </row>
    <row r="294" spans="1:14" x14ac:dyDescent="0.3">
      <c r="A294" s="69"/>
      <c r="B294" s="69"/>
      <c r="C294" s="68"/>
      <c r="D294" s="69"/>
      <c r="E294" s="69"/>
      <c r="F294" s="69"/>
      <c r="G294" s="79"/>
      <c r="H294" s="69"/>
      <c r="I294" s="69"/>
      <c r="J294" s="68"/>
      <c r="K294" s="80" t="str">
        <f t="shared" si="4"/>
        <v/>
      </c>
      <c r="L294" s="69"/>
      <c r="M294" s="68"/>
      <c r="N294" s="69"/>
    </row>
    <row r="295" spans="1:14" x14ac:dyDescent="0.3">
      <c r="A295" s="69"/>
      <c r="B295" s="69"/>
      <c r="C295" s="68"/>
      <c r="D295" s="69"/>
      <c r="E295" s="69"/>
      <c r="F295" s="69"/>
      <c r="G295" s="79"/>
      <c r="H295" s="69"/>
      <c r="I295" s="69"/>
      <c r="J295" s="68"/>
      <c r="K295" s="80" t="str">
        <f t="shared" si="4"/>
        <v/>
      </c>
      <c r="L295" s="69"/>
      <c r="M295" s="68"/>
      <c r="N295" s="69"/>
    </row>
    <row r="296" spans="1:14" x14ac:dyDescent="0.3">
      <c r="A296" s="69"/>
      <c r="B296" s="69"/>
      <c r="C296" s="68"/>
      <c r="D296" s="69"/>
      <c r="E296" s="69"/>
      <c r="F296" s="69"/>
      <c r="G296" s="79"/>
      <c r="H296" s="69"/>
      <c r="I296" s="69"/>
      <c r="J296" s="68"/>
      <c r="K296" s="80" t="str">
        <f t="shared" si="4"/>
        <v/>
      </c>
      <c r="L296" s="69"/>
      <c r="M296" s="68"/>
      <c r="N296" s="69"/>
    </row>
    <row r="297" spans="1:14" x14ac:dyDescent="0.3">
      <c r="A297" s="69"/>
      <c r="B297" s="69"/>
      <c r="C297" s="68"/>
      <c r="D297" s="69"/>
      <c r="E297" s="69"/>
      <c r="F297" s="69"/>
      <c r="G297" s="79"/>
      <c r="H297" s="69"/>
      <c r="I297" s="69"/>
      <c r="J297" s="68"/>
      <c r="K297" s="80" t="str">
        <f t="shared" si="4"/>
        <v/>
      </c>
      <c r="L297" s="69"/>
      <c r="M297" s="68"/>
      <c r="N297" s="69"/>
    </row>
    <row r="298" spans="1:14" x14ac:dyDescent="0.3">
      <c r="A298" s="69"/>
      <c r="B298" s="69"/>
      <c r="C298" s="68"/>
      <c r="D298" s="69"/>
      <c r="E298" s="69"/>
      <c r="F298" s="69"/>
      <c r="G298" s="79"/>
      <c r="H298" s="69"/>
      <c r="I298" s="69"/>
      <c r="J298" s="68"/>
      <c r="K298" s="80" t="str">
        <f t="shared" si="4"/>
        <v/>
      </c>
      <c r="L298" s="69"/>
      <c r="M298" s="68"/>
      <c r="N298" s="69"/>
    </row>
    <row r="299" spans="1:14" x14ac:dyDescent="0.3">
      <c r="A299" s="69"/>
      <c r="B299" s="69"/>
      <c r="C299" s="68"/>
      <c r="D299" s="69"/>
      <c r="E299" s="69"/>
      <c r="F299" s="69"/>
      <c r="G299" s="79"/>
      <c r="H299" s="69"/>
      <c r="I299" s="69"/>
      <c r="J299" s="68"/>
      <c r="K299" s="80" t="str">
        <f t="shared" si="4"/>
        <v/>
      </c>
      <c r="L299" s="69"/>
      <c r="M299" s="68"/>
      <c r="N299" s="69"/>
    </row>
    <row r="300" spans="1:14" x14ac:dyDescent="0.3">
      <c r="A300" s="69"/>
      <c r="B300" s="69"/>
      <c r="C300" s="68"/>
      <c r="D300" s="69"/>
      <c r="E300" s="69"/>
      <c r="F300" s="69"/>
      <c r="G300" s="79"/>
      <c r="H300" s="69"/>
      <c r="I300" s="69"/>
      <c r="J300" s="68"/>
      <c r="K300" s="80" t="str">
        <f t="shared" si="4"/>
        <v/>
      </c>
      <c r="L300" s="69"/>
      <c r="M300" s="68"/>
      <c r="N300" s="69"/>
    </row>
    <row r="301" spans="1:14" x14ac:dyDescent="0.3">
      <c r="A301" s="69"/>
      <c r="B301" s="69"/>
      <c r="C301" s="68"/>
      <c r="D301" s="69"/>
      <c r="E301" s="69"/>
      <c r="F301" s="69"/>
      <c r="G301" s="79"/>
      <c r="H301" s="69"/>
      <c r="I301" s="69"/>
      <c r="J301" s="68"/>
      <c r="K301" s="80" t="str">
        <f t="shared" si="4"/>
        <v/>
      </c>
      <c r="L301" s="69"/>
      <c r="M301" s="68"/>
      <c r="N301" s="69"/>
    </row>
    <row r="302" spans="1:14" x14ac:dyDescent="0.3">
      <c r="A302" s="69"/>
      <c r="B302" s="69"/>
      <c r="C302" s="68"/>
      <c r="D302" s="69"/>
      <c r="E302" s="69"/>
      <c r="F302" s="69"/>
      <c r="G302" s="79"/>
      <c r="H302" s="69"/>
      <c r="I302" s="69"/>
      <c r="J302" s="68"/>
      <c r="K302" s="80" t="str">
        <f t="shared" si="4"/>
        <v/>
      </c>
      <c r="L302" s="69"/>
      <c r="M302" s="68"/>
      <c r="N302" s="69"/>
    </row>
    <row r="303" spans="1:14" x14ac:dyDescent="0.3">
      <c r="A303" s="69"/>
      <c r="B303" s="69"/>
      <c r="C303" s="68"/>
      <c r="D303" s="69"/>
      <c r="E303" s="69"/>
      <c r="F303" s="69"/>
      <c r="G303" s="79"/>
      <c r="H303" s="69"/>
      <c r="I303" s="69"/>
      <c r="J303" s="68"/>
      <c r="K303" s="80" t="str">
        <f t="shared" si="4"/>
        <v/>
      </c>
      <c r="L303" s="69"/>
      <c r="M303" s="68"/>
      <c r="N303" s="69"/>
    </row>
    <row r="304" spans="1:14" x14ac:dyDescent="0.3">
      <c r="A304" s="69"/>
      <c r="B304" s="69"/>
      <c r="C304" s="68"/>
      <c r="D304" s="69"/>
      <c r="E304" s="69"/>
      <c r="F304" s="69"/>
      <c r="G304" s="79"/>
      <c r="H304" s="69"/>
      <c r="I304" s="69"/>
      <c r="J304" s="68"/>
      <c r="K304" s="80" t="str">
        <f t="shared" si="4"/>
        <v/>
      </c>
      <c r="L304" s="69"/>
      <c r="M304" s="68"/>
      <c r="N304" s="69"/>
    </row>
    <row r="305" spans="1:14" x14ac:dyDescent="0.3">
      <c r="A305" s="69"/>
      <c r="B305" s="69"/>
      <c r="C305" s="68"/>
      <c r="D305" s="69"/>
      <c r="E305" s="69"/>
      <c r="F305" s="69"/>
      <c r="G305" s="79"/>
      <c r="H305" s="69"/>
      <c r="I305" s="69"/>
      <c r="J305" s="68"/>
      <c r="K305" s="80" t="str">
        <f t="shared" si="4"/>
        <v/>
      </c>
      <c r="L305" s="69"/>
      <c r="M305" s="68"/>
      <c r="N305" s="69"/>
    </row>
    <row r="306" spans="1:14" x14ac:dyDescent="0.3">
      <c r="A306" s="69"/>
      <c r="B306" s="69"/>
      <c r="C306" s="68"/>
      <c r="D306" s="69"/>
      <c r="E306" s="69"/>
      <c r="F306" s="69"/>
      <c r="G306" s="79"/>
      <c r="H306" s="69"/>
      <c r="I306" s="69"/>
      <c r="J306" s="68"/>
      <c r="K306" s="80" t="str">
        <f t="shared" si="4"/>
        <v/>
      </c>
      <c r="L306" s="69"/>
      <c r="M306" s="68"/>
      <c r="N306" s="69"/>
    </row>
    <row r="307" spans="1:14" x14ac:dyDescent="0.3">
      <c r="A307" s="69"/>
      <c r="B307" s="69"/>
      <c r="C307" s="68"/>
      <c r="D307" s="69"/>
      <c r="E307" s="69"/>
      <c r="F307" s="69"/>
      <c r="G307" s="79"/>
      <c r="H307" s="69"/>
      <c r="I307" s="69"/>
      <c r="J307" s="68"/>
      <c r="K307" s="80" t="str">
        <f t="shared" si="4"/>
        <v/>
      </c>
      <c r="L307" s="69"/>
      <c r="M307" s="68"/>
      <c r="N307" s="69"/>
    </row>
    <row r="308" spans="1:14" x14ac:dyDescent="0.3">
      <c r="A308" s="69"/>
      <c r="B308" s="69"/>
      <c r="C308" s="68"/>
      <c r="D308" s="69"/>
      <c r="E308" s="69"/>
      <c r="F308" s="69"/>
      <c r="G308" s="79"/>
      <c r="H308" s="69"/>
      <c r="I308" s="69"/>
      <c r="J308" s="68"/>
      <c r="K308" s="80" t="str">
        <f t="shared" si="4"/>
        <v/>
      </c>
      <c r="L308" s="69"/>
      <c r="M308" s="68"/>
      <c r="N308" s="69"/>
    </row>
    <row r="309" spans="1:14" x14ac:dyDescent="0.3">
      <c r="A309" s="69"/>
      <c r="B309" s="69"/>
      <c r="C309" s="68"/>
      <c r="D309" s="69"/>
      <c r="E309" s="69"/>
      <c r="F309" s="69"/>
      <c r="G309" s="79"/>
      <c r="H309" s="69"/>
      <c r="I309" s="69"/>
      <c r="J309" s="68"/>
      <c r="K309" s="80" t="str">
        <f t="shared" si="4"/>
        <v/>
      </c>
      <c r="L309" s="69"/>
      <c r="M309" s="68"/>
      <c r="N309" s="69"/>
    </row>
    <row r="310" spans="1:14" x14ac:dyDescent="0.3">
      <c r="A310" s="69"/>
      <c r="B310" s="69"/>
      <c r="C310" s="68"/>
      <c r="D310" s="69"/>
      <c r="E310" s="69"/>
      <c r="F310" s="69"/>
      <c r="G310" s="79"/>
      <c r="H310" s="69"/>
      <c r="I310" s="69"/>
      <c r="J310" s="68"/>
      <c r="K310" s="80" t="str">
        <f t="shared" si="4"/>
        <v/>
      </c>
      <c r="L310" s="69"/>
      <c r="M310" s="68"/>
      <c r="N310" s="69"/>
    </row>
    <row r="311" spans="1:14" x14ac:dyDescent="0.3">
      <c r="A311" s="69"/>
      <c r="B311" s="69"/>
      <c r="C311" s="68"/>
      <c r="D311" s="69"/>
      <c r="E311" s="69"/>
      <c r="F311" s="69"/>
      <c r="G311" s="79"/>
      <c r="H311" s="69"/>
      <c r="I311" s="69"/>
      <c r="J311" s="68"/>
      <c r="K311" s="80" t="str">
        <f t="shared" si="4"/>
        <v/>
      </c>
      <c r="L311" s="69"/>
      <c r="M311" s="68"/>
      <c r="N311" s="69"/>
    </row>
    <row r="312" spans="1:14" x14ac:dyDescent="0.3">
      <c r="A312" s="69"/>
      <c r="B312" s="69"/>
      <c r="C312" s="68"/>
      <c r="D312" s="69"/>
      <c r="E312" s="69"/>
      <c r="F312" s="69"/>
      <c r="G312" s="79"/>
      <c r="H312" s="69"/>
      <c r="I312" s="69"/>
      <c r="J312" s="68"/>
      <c r="K312" s="80" t="str">
        <f t="shared" si="4"/>
        <v/>
      </c>
      <c r="L312" s="69"/>
      <c r="M312" s="68"/>
      <c r="N312" s="69"/>
    </row>
    <row r="313" spans="1:14" x14ac:dyDescent="0.3">
      <c r="A313" s="69"/>
      <c r="B313" s="69"/>
      <c r="C313" s="68"/>
      <c r="D313" s="69"/>
      <c r="E313" s="69"/>
      <c r="F313" s="69"/>
      <c r="G313" s="79"/>
      <c r="H313" s="69"/>
      <c r="I313" s="69"/>
      <c r="J313" s="68"/>
      <c r="K313" s="80" t="str">
        <f t="shared" si="4"/>
        <v/>
      </c>
      <c r="L313" s="69"/>
      <c r="M313" s="68"/>
      <c r="N313" s="69"/>
    </row>
    <row r="314" spans="1:14" x14ac:dyDescent="0.3">
      <c r="A314" s="69"/>
      <c r="B314" s="69"/>
      <c r="C314" s="68"/>
      <c r="D314" s="69"/>
      <c r="E314" s="69"/>
      <c r="F314" s="69"/>
      <c r="G314" s="79"/>
      <c r="H314" s="69"/>
      <c r="I314" s="69"/>
      <c r="J314" s="68"/>
      <c r="K314" s="80" t="str">
        <f t="shared" si="4"/>
        <v/>
      </c>
      <c r="L314" s="69"/>
      <c r="M314" s="68"/>
      <c r="N314" s="69"/>
    </row>
    <row r="315" spans="1:14" x14ac:dyDescent="0.3">
      <c r="A315" s="69"/>
      <c r="B315" s="69"/>
      <c r="C315" s="68"/>
      <c r="D315" s="69"/>
      <c r="E315" s="69"/>
      <c r="F315" s="69"/>
      <c r="G315" s="79"/>
      <c r="H315" s="69"/>
      <c r="I315" s="69"/>
      <c r="J315" s="68"/>
      <c r="K315" s="80" t="str">
        <f t="shared" si="4"/>
        <v/>
      </c>
      <c r="L315" s="69"/>
      <c r="M315" s="68"/>
      <c r="N315" s="69"/>
    </row>
    <row r="316" spans="1:14" x14ac:dyDescent="0.3">
      <c r="A316" s="69"/>
      <c r="B316" s="69"/>
      <c r="C316" s="68"/>
      <c r="D316" s="69"/>
      <c r="E316" s="69"/>
      <c r="F316" s="69"/>
      <c r="G316" s="79"/>
      <c r="H316" s="69"/>
      <c r="I316" s="69"/>
      <c r="J316" s="68"/>
      <c r="K316" s="80" t="str">
        <f t="shared" si="4"/>
        <v/>
      </c>
      <c r="L316" s="69"/>
      <c r="M316" s="68"/>
      <c r="N316" s="69"/>
    </row>
    <row r="317" spans="1:14" x14ac:dyDescent="0.3">
      <c r="A317" s="69"/>
      <c r="B317" s="69"/>
      <c r="C317" s="68"/>
      <c r="D317" s="69"/>
      <c r="E317" s="69"/>
      <c r="F317" s="69"/>
      <c r="G317" s="79"/>
      <c r="H317" s="69"/>
      <c r="I317" s="69"/>
      <c r="J317" s="68"/>
      <c r="K317" s="80" t="str">
        <f t="shared" si="4"/>
        <v/>
      </c>
      <c r="L317" s="69"/>
      <c r="M317" s="68"/>
      <c r="N317" s="69"/>
    </row>
    <row r="318" spans="1:14" x14ac:dyDescent="0.3">
      <c r="A318" s="69"/>
      <c r="B318" s="69"/>
      <c r="C318" s="68"/>
      <c r="D318" s="69"/>
      <c r="E318" s="69"/>
      <c r="F318" s="69"/>
      <c r="G318" s="79"/>
      <c r="H318" s="69"/>
      <c r="I318" s="69"/>
      <c r="J318" s="68"/>
      <c r="K318" s="80" t="str">
        <f t="shared" si="4"/>
        <v/>
      </c>
      <c r="L318" s="69"/>
      <c r="M318" s="68"/>
      <c r="N318" s="69"/>
    </row>
    <row r="319" spans="1:14" x14ac:dyDescent="0.3">
      <c r="A319" s="69"/>
      <c r="B319" s="69"/>
      <c r="C319" s="68"/>
      <c r="D319" s="69"/>
      <c r="E319" s="69"/>
      <c r="F319" s="69"/>
      <c r="G319" s="79"/>
      <c r="H319" s="69"/>
      <c r="I319" s="69"/>
      <c r="J319" s="68"/>
      <c r="K319" s="80" t="str">
        <f t="shared" si="4"/>
        <v/>
      </c>
      <c r="L319" s="69"/>
      <c r="M319" s="68"/>
      <c r="N319" s="69"/>
    </row>
    <row r="320" spans="1:14" x14ac:dyDescent="0.3">
      <c r="A320" s="69"/>
      <c r="B320" s="69"/>
      <c r="C320" s="68"/>
      <c r="D320" s="69"/>
      <c r="E320" s="69"/>
      <c r="F320" s="69"/>
      <c r="G320" s="79"/>
      <c r="H320" s="69"/>
      <c r="I320" s="69"/>
      <c r="J320" s="68"/>
      <c r="K320" s="80" t="str">
        <f t="shared" si="4"/>
        <v/>
      </c>
      <c r="L320" s="69"/>
      <c r="M320" s="68"/>
      <c r="N320" s="69"/>
    </row>
    <row r="321" spans="1:14" x14ac:dyDescent="0.3">
      <c r="A321" s="69"/>
      <c r="B321" s="69"/>
      <c r="C321" s="68"/>
      <c r="D321" s="69"/>
      <c r="E321" s="69"/>
      <c r="F321" s="69"/>
      <c r="G321" s="79"/>
      <c r="H321" s="69"/>
      <c r="I321" s="69"/>
      <c r="J321" s="68"/>
      <c r="K321" s="80" t="str">
        <f t="shared" si="4"/>
        <v/>
      </c>
      <c r="L321" s="69"/>
      <c r="M321" s="68"/>
      <c r="N321" s="69"/>
    </row>
    <row r="322" spans="1:14" x14ac:dyDescent="0.3">
      <c r="A322" s="69"/>
      <c r="B322" s="69"/>
      <c r="C322" s="68"/>
      <c r="D322" s="69"/>
      <c r="E322" s="69"/>
      <c r="F322" s="69"/>
      <c r="G322" s="79"/>
      <c r="H322" s="69"/>
      <c r="I322" s="69"/>
      <c r="J322" s="68"/>
      <c r="K322" s="80" t="str">
        <f t="shared" si="4"/>
        <v/>
      </c>
      <c r="L322" s="69"/>
      <c r="M322" s="68"/>
      <c r="N322" s="69"/>
    </row>
    <row r="323" spans="1:14" x14ac:dyDescent="0.3">
      <c r="A323" s="69"/>
      <c r="B323" s="69"/>
      <c r="C323" s="68"/>
      <c r="D323" s="69"/>
      <c r="E323" s="69"/>
      <c r="F323" s="69"/>
      <c r="G323" s="79"/>
      <c r="H323" s="69"/>
      <c r="I323" s="69"/>
      <c r="J323" s="68"/>
      <c r="K323" s="80" t="str">
        <f t="shared" si="4"/>
        <v/>
      </c>
      <c r="L323" s="69"/>
      <c r="M323" s="68"/>
      <c r="N323" s="69"/>
    </row>
    <row r="324" spans="1:14" x14ac:dyDescent="0.3">
      <c r="A324" s="69"/>
      <c r="B324" s="69"/>
      <c r="C324" s="68"/>
      <c r="D324" s="69"/>
      <c r="E324" s="69"/>
      <c r="F324" s="69"/>
      <c r="G324" s="79"/>
      <c r="H324" s="69"/>
      <c r="I324" s="69"/>
      <c r="J324" s="68"/>
      <c r="K324" s="80" t="str">
        <f t="shared" si="4"/>
        <v/>
      </c>
      <c r="L324" s="69"/>
      <c r="M324" s="68"/>
      <c r="N324" s="69"/>
    </row>
    <row r="325" spans="1:14" x14ac:dyDescent="0.3">
      <c r="A325" s="69"/>
      <c r="B325" s="69"/>
      <c r="C325" s="68"/>
      <c r="D325" s="69"/>
      <c r="E325" s="69"/>
      <c r="F325" s="69"/>
      <c r="G325" s="79"/>
      <c r="H325" s="69"/>
      <c r="I325" s="69"/>
      <c r="J325" s="68"/>
      <c r="K325" s="80" t="str">
        <f t="shared" ref="K325:K388" si="5">IF(OR(C325="",J325=""),"",J325-C325)</f>
        <v/>
      </c>
      <c r="L325" s="69"/>
      <c r="M325" s="68"/>
      <c r="N325" s="69"/>
    </row>
    <row r="326" spans="1:14" x14ac:dyDescent="0.3">
      <c r="A326" s="69"/>
      <c r="B326" s="69"/>
      <c r="C326" s="68"/>
      <c r="D326" s="69"/>
      <c r="E326" s="69"/>
      <c r="F326" s="69"/>
      <c r="G326" s="79"/>
      <c r="H326" s="69"/>
      <c r="I326" s="69"/>
      <c r="J326" s="68"/>
      <c r="K326" s="80" t="str">
        <f t="shared" si="5"/>
        <v/>
      </c>
      <c r="L326" s="69"/>
      <c r="M326" s="68"/>
      <c r="N326" s="69"/>
    </row>
    <row r="327" spans="1:14" x14ac:dyDescent="0.3">
      <c r="A327" s="69"/>
      <c r="B327" s="69"/>
      <c r="C327" s="68"/>
      <c r="D327" s="69"/>
      <c r="E327" s="69"/>
      <c r="F327" s="69"/>
      <c r="G327" s="79"/>
      <c r="H327" s="69"/>
      <c r="I327" s="69"/>
      <c r="J327" s="68"/>
      <c r="K327" s="80" t="str">
        <f t="shared" si="5"/>
        <v/>
      </c>
      <c r="L327" s="69"/>
      <c r="M327" s="68"/>
      <c r="N327" s="69"/>
    </row>
    <row r="328" spans="1:14" x14ac:dyDescent="0.3">
      <c r="A328" s="69"/>
      <c r="B328" s="69"/>
      <c r="C328" s="68"/>
      <c r="D328" s="69"/>
      <c r="E328" s="69"/>
      <c r="F328" s="69"/>
      <c r="G328" s="79"/>
      <c r="H328" s="69"/>
      <c r="I328" s="69"/>
      <c r="J328" s="68"/>
      <c r="K328" s="80" t="str">
        <f t="shared" si="5"/>
        <v/>
      </c>
      <c r="L328" s="69"/>
      <c r="M328" s="68"/>
      <c r="N328" s="69"/>
    </row>
    <row r="329" spans="1:14" x14ac:dyDescent="0.3">
      <c r="A329" s="69"/>
      <c r="B329" s="69"/>
      <c r="C329" s="68"/>
      <c r="D329" s="69"/>
      <c r="E329" s="69"/>
      <c r="F329" s="69"/>
      <c r="G329" s="79"/>
      <c r="H329" s="69"/>
      <c r="I329" s="69"/>
      <c r="J329" s="68"/>
      <c r="K329" s="80" t="str">
        <f t="shared" si="5"/>
        <v/>
      </c>
      <c r="L329" s="69"/>
      <c r="M329" s="68"/>
      <c r="N329" s="69"/>
    </row>
    <row r="330" spans="1:14" x14ac:dyDescent="0.3">
      <c r="A330" s="69"/>
      <c r="B330" s="69"/>
      <c r="C330" s="68"/>
      <c r="D330" s="69"/>
      <c r="E330" s="69"/>
      <c r="F330" s="69"/>
      <c r="G330" s="79"/>
      <c r="H330" s="69"/>
      <c r="I330" s="69"/>
      <c r="J330" s="68"/>
      <c r="K330" s="80" t="str">
        <f t="shared" si="5"/>
        <v/>
      </c>
      <c r="L330" s="69"/>
      <c r="M330" s="68"/>
      <c r="N330" s="69"/>
    </row>
    <row r="331" spans="1:14" x14ac:dyDescent="0.3">
      <c r="A331" s="69"/>
      <c r="B331" s="69"/>
      <c r="C331" s="68"/>
      <c r="D331" s="69"/>
      <c r="E331" s="69"/>
      <c r="F331" s="69"/>
      <c r="G331" s="79"/>
      <c r="H331" s="69"/>
      <c r="I331" s="69"/>
      <c r="J331" s="68"/>
      <c r="K331" s="80" t="str">
        <f t="shared" si="5"/>
        <v/>
      </c>
      <c r="L331" s="69"/>
      <c r="M331" s="68"/>
      <c r="N331" s="69"/>
    </row>
    <row r="332" spans="1:14" x14ac:dyDescent="0.3">
      <c r="A332" s="69"/>
      <c r="B332" s="69"/>
      <c r="C332" s="68"/>
      <c r="D332" s="69"/>
      <c r="E332" s="69"/>
      <c r="F332" s="69"/>
      <c r="G332" s="79"/>
      <c r="H332" s="69"/>
      <c r="I332" s="69"/>
      <c r="J332" s="68"/>
      <c r="K332" s="80" t="str">
        <f t="shared" si="5"/>
        <v/>
      </c>
      <c r="L332" s="69"/>
      <c r="M332" s="68"/>
      <c r="N332" s="69"/>
    </row>
    <row r="333" spans="1:14" x14ac:dyDescent="0.3">
      <c r="A333" s="69"/>
      <c r="B333" s="69"/>
      <c r="C333" s="68"/>
      <c r="D333" s="69"/>
      <c r="E333" s="69"/>
      <c r="F333" s="69"/>
      <c r="G333" s="79"/>
      <c r="H333" s="69"/>
      <c r="I333" s="69"/>
      <c r="J333" s="68"/>
      <c r="K333" s="80" t="str">
        <f t="shared" si="5"/>
        <v/>
      </c>
      <c r="L333" s="69"/>
      <c r="M333" s="68"/>
      <c r="N333" s="69"/>
    </row>
    <row r="334" spans="1:14" x14ac:dyDescent="0.3">
      <c r="A334" s="69"/>
      <c r="B334" s="69"/>
      <c r="C334" s="68"/>
      <c r="D334" s="69"/>
      <c r="E334" s="69"/>
      <c r="F334" s="69"/>
      <c r="G334" s="79"/>
      <c r="H334" s="69"/>
      <c r="I334" s="69"/>
      <c r="J334" s="68"/>
      <c r="K334" s="80" t="str">
        <f t="shared" si="5"/>
        <v/>
      </c>
      <c r="L334" s="69"/>
      <c r="M334" s="68"/>
      <c r="N334" s="69"/>
    </row>
    <row r="335" spans="1:14" x14ac:dyDescent="0.3">
      <c r="A335" s="69"/>
      <c r="B335" s="69"/>
      <c r="C335" s="68"/>
      <c r="D335" s="69"/>
      <c r="E335" s="69"/>
      <c r="F335" s="69"/>
      <c r="G335" s="79"/>
      <c r="H335" s="69"/>
      <c r="I335" s="69"/>
      <c r="J335" s="68"/>
      <c r="K335" s="80" t="str">
        <f t="shared" si="5"/>
        <v/>
      </c>
      <c r="L335" s="69"/>
      <c r="M335" s="68"/>
      <c r="N335" s="69"/>
    </row>
    <row r="336" spans="1:14" x14ac:dyDescent="0.3">
      <c r="A336" s="69"/>
      <c r="B336" s="69"/>
      <c r="C336" s="68"/>
      <c r="D336" s="69"/>
      <c r="E336" s="69"/>
      <c r="F336" s="69"/>
      <c r="G336" s="79"/>
      <c r="H336" s="69"/>
      <c r="I336" s="69"/>
      <c r="J336" s="68"/>
      <c r="K336" s="80" t="str">
        <f t="shared" si="5"/>
        <v/>
      </c>
      <c r="L336" s="69"/>
      <c r="M336" s="68"/>
      <c r="N336" s="69"/>
    </row>
    <row r="337" spans="1:14" x14ac:dyDescent="0.3">
      <c r="A337" s="69"/>
      <c r="B337" s="69"/>
      <c r="C337" s="68"/>
      <c r="D337" s="69"/>
      <c r="E337" s="69"/>
      <c r="F337" s="69"/>
      <c r="G337" s="79"/>
      <c r="H337" s="69"/>
      <c r="I337" s="69"/>
      <c r="J337" s="68"/>
      <c r="K337" s="80" t="str">
        <f t="shared" si="5"/>
        <v/>
      </c>
      <c r="L337" s="69"/>
      <c r="M337" s="68"/>
      <c r="N337" s="69"/>
    </row>
    <row r="338" spans="1:14" x14ac:dyDescent="0.3">
      <c r="A338" s="69"/>
      <c r="B338" s="69"/>
      <c r="C338" s="68"/>
      <c r="D338" s="69"/>
      <c r="E338" s="69"/>
      <c r="F338" s="69"/>
      <c r="G338" s="79"/>
      <c r="H338" s="69"/>
      <c r="I338" s="69"/>
      <c r="J338" s="68"/>
      <c r="K338" s="80" t="str">
        <f t="shared" si="5"/>
        <v/>
      </c>
      <c r="L338" s="69"/>
      <c r="M338" s="68"/>
      <c r="N338" s="69"/>
    </row>
    <row r="339" spans="1:14" x14ac:dyDescent="0.3">
      <c r="A339" s="69"/>
      <c r="B339" s="69"/>
      <c r="C339" s="68"/>
      <c r="D339" s="69"/>
      <c r="E339" s="69"/>
      <c r="F339" s="69"/>
      <c r="G339" s="79"/>
      <c r="H339" s="69"/>
      <c r="I339" s="69"/>
      <c r="J339" s="68"/>
      <c r="K339" s="80" t="str">
        <f t="shared" si="5"/>
        <v/>
      </c>
      <c r="L339" s="69"/>
      <c r="M339" s="68"/>
      <c r="N339" s="69"/>
    </row>
    <row r="340" spans="1:14" x14ac:dyDescent="0.3">
      <c r="A340" s="69"/>
      <c r="B340" s="69"/>
      <c r="C340" s="68"/>
      <c r="D340" s="69"/>
      <c r="E340" s="69"/>
      <c r="F340" s="69"/>
      <c r="G340" s="79"/>
      <c r="H340" s="69"/>
      <c r="I340" s="69"/>
      <c r="J340" s="68"/>
      <c r="K340" s="80" t="str">
        <f t="shared" si="5"/>
        <v/>
      </c>
      <c r="L340" s="69"/>
      <c r="M340" s="68"/>
      <c r="N340" s="69"/>
    </row>
    <row r="341" spans="1:14" x14ac:dyDescent="0.3">
      <c r="A341" s="69"/>
      <c r="B341" s="69"/>
      <c r="C341" s="68"/>
      <c r="D341" s="69"/>
      <c r="E341" s="69"/>
      <c r="F341" s="69"/>
      <c r="G341" s="79"/>
      <c r="H341" s="69"/>
      <c r="I341" s="69"/>
      <c r="J341" s="68"/>
      <c r="K341" s="80" t="str">
        <f t="shared" si="5"/>
        <v/>
      </c>
      <c r="L341" s="69"/>
      <c r="M341" s="68"/>
      <c r="N341" s="69"/>
    </row>
    <row r="342" spans="1:14" x14ac:dyDescent="0.3">
      <c r="A342" s="69"/>
      <c r="B342" s="69"/>
      <c r="C342" s="68"/>
      <c r="D342" s="69"/>
      <c r="E342" s="69"/>
      <c r="F342" s="69"/>
      <c r="G342" s="79"/>
      <c r="H342" s="69"/>
      <c r="I342" s="69"/>
      <c r="J342" s="68"/>
      <c r="K342" s="80" t="str">
        <f t="shared" si="5"/>
        <v/>
      </c>
      <c r="L342" s="69"/>
      <c r="M342" s="68"/>
      <c r="N342" s="69"/>
    </row>
    <row r="343" spans="1:14" x14ac:dyDescent="0.3">
      <c r="A343" s="69"/>
      <c r="B343" s="69"/>
      <c r="C343" s="68"/>
      <c r="D343" s="69"/>
      <c r="E343" s="69"/>
      <c r="F343" s="69"/>
      <c r="G343" s="79"/>
      <c r="H343" s="69"/>
      <c r="I343" s="69"/>
      <c r="J343" s="68"/>
      <c r="K343" s="80" t="str">
        <f t="shared" si="5"/>
        <v/>
      </c>
      <c r="L343" s="69"/>
      <c r="M343" s="68"/>
      <c r="N343" s="69"/>
    </row>
    <row r="344" spans="1:14" x14ac:dyDescent="0.3">
      <c r="A344" s="69"/>
      <c r="B344" s="69"/>
      <c r="C344" s="68"/>
      <c r="D344" s="69"/>
      <c r="E344" s="69"/>
      <c r="F344" s="69"/>
      <c r="G344" s="79"/>
      <c r="H344" s="69"/>
      <c r="I344" s="69"/>
      <c r="J344" s="68"/>
      <c r="K344" s="80" t="str">
        <f t="shared" si="5"/>
        <v/>
      </c>
      <c r="L344" s="69"/>
      <c r="M344" s="68"/>
      <c r="N344" s="69"/>
    </row>
    <row r="345" spans="1:14" x14ac:dyDescent="0.3">
      <c r="A345" s="69"/>
      <c r="B345" s="69"/>
      <c r="C345" s="68"/>
      <c r="D345" s="69"/>
      <c r="E345" s="69"/>
      <c r="F345" s="69"/>
      <c r="G345" s="79"/>
      <c r="H345" s="69"/>
      <c r="I345" s="69"/>
      <c r="J345" s="68"/>
      <c r="K345" s="80" t="str">
        <f t="shared" si="5"/>
        <v/>
      </c>
      <c r="L345" s="69"/>
      <c r="M345" s="68"/>
      <c r="N345" s="69"/>
    </row>
    <row r="346" spans="1:14" x14ac:dyDescent="0.3">
      <c r="A346" s="69"/>
      <c r="B346" s="69"/>
      <c r="C346" s="68"/>
      <c r="D346" s="69"/>
      <c r="E346" s="69"/>
      <c r="F346" s="69"/>
      <c r="G346" s="79"/>
      <c r="H346" s="69"/>
      <c r="I346" s="69"/>
      <c r="J346" s="68"/>
      <c r="K346" s="80" t="str">
        <f t="shared" si="5"/>
        <v/>
      </c>
      <c r="L346" s="69"/>
      <c r="M346" s="68"/>
      <c r="N346" s="69"/>
    </row>
    <row r="347" spans="1:14" x14ac:dyDescent="0.3">
      <c r="A347" s="69"/>
      <c r="B347" s="69"/>
      <c r="C347" s="68"/>
      <c r="D347" s="69"/>
      <c r="E347" s="69"/>
      <c r="F347" s="69"/>
      <c r="G347" s="79"/>
      <c r="H347" s="69"/>
      <c r="I347" s="69"/>
      <c r="J347" s="68"/>
      <c r="K347" s="80" t="str">
        <f t="shared" si="5"/>
        <v/>
      </c>
      <c r="L347" s="69"/>
      <c r="M347" s="68"/>
      <c r="N347" s="69"/>
    </row>
    <row r="348" spans="1:14" x14ac:dyDescent="0.3">
      <c r="A348" s="69"/>
      <c r="B348" s="69"/>
      <c r="C348" s="68"/>
      <c r="D348" s="69"/>
      <c r="E348" s="69"/>
      <c r="F348" s="69"/>
      <c r="G348" s="79"/>
      <c r="H348" s="69"/>
      <c r="I348" s="69"/>
      <c r="J348" s="68"/>
      <c r="K348" s="80" t="str">
        <f t="shared" si="5"/>
        <v/>
      </c>
      <c r="L348" s="69"/>
      <c r="M348" s="68"/>
      <c r="N348" s="69"/>
    </row>
    <row r="349" spans="1:14" x14ac:dyDescent="0.3">
      <c r="A349" s="69"/>
      <c r="B349" s="69"/>
      <c r="C349" s="68"/>
      <c r="D349" s="69"/>
      <c r="E349" s="69"/>
      <c r="F349" s="69"/>
      <c r="G349" s="79"/>
      <c r="H349" s="69"/>
      <c r="I349" s="69"/>
      <c r="J349" s="68"/>
      <c r="K349" s="80" t="str">
        <f t="shared" si="5"/>
        <v/>
      </c>
      <c r="L349" s="69"/>
      <c r="M349" s="68"/>
      <c r="N349" s="69"/>
    </row>
    <row r="350" spans="1:14" x14ac:dyDescent="0.3">
      <c r="A350" s="69"/>
      <c r="B350" s="69"/>
      <c r="C350" s="68"/>
      <c r="D350" s="69"/>
      <c r="E350" s="69"/>
      <c r="F350" s="69"/>
      <c r="G350" s="79"/>
      <c r="H350" s="69"/>
      <c r="I350" s="69"/>
      <c r="J350" s="68"/>
      <c r="K350" s="80" t="str">
        <f t="shared" si="5"/>
        <v/>
      </c>
      <c r="L350" s="69"/>
      <c r="M350" s="68"/>
      <c r="N350" s="69"/>
    </row>
    <row r="351" spans="1:14" x14ac:dyDescent="0.3">
      <c r="A351" s="69"/>
      <c r="B351" s="69"/>
      <c r="C351" s="68"/>
      <c r="D351" s="69"/>
      <c r="E351" s="69"/>
      <c r="F351" s="69"/>
      <c r="G351" s="79"/>
      <c r="H351" s="69"/>
      <c r="I351" s="69"/>
      <c r="J351" s="68"/>
      <c r="K351" s="80" t="str">
        <f t="shared" si="5"/>
        <v/>
      </c>
      <c r="L351" s="69"/>
      <c r="M351" s="68"/>
      <c r="N351" s="69"/>
    </row>
    <row r="352" spans="1:14" x14ac:dyDescent="0.3">
      <c r="A352" s="69"/>
      <c r="B352" s="69"/>
      <c r="C352" s="68"/>
      <c r="D352" s="69"/>
      <c r="E352" s="69"/>
      <c r="F352" s="69"/>
      <c r="G352" s="79"/>
      <c r="H352" s="69"/>
      <c r="I352" s="69"/>
      <c r="J352" s="68"/>
      <c r="K352" s="80" t="str">
        <f t="shared" si="5"/>
        <v/>
      </c>
      <c r="L352" s="69"/>
      <c r="M352" s="68"/>
      <c r="N352" s="69"/>
    </row>
    <row r="353" spans="1:14" x14ac:dyDescent="0.3">
      <c r="A353" s="69"/>
      <c r="B353" s="69"/>
      <c r="C353" s="68"/>
      <c r="D353" s="69"/>
      <c r="E353" s="69"/>
      <c r="F353" s="69"/>
      <c r="G353" s="79"/>
      <c r="H353" s="69"/>
      <c r="I353" s="69"/>
      <c r="J353" s="68"/>
      <c r="K353" s="80" t="str">
        <f t="shared" si="5"/>
        <v/>
      </c>
      <c r="L353" s="69"/>
      <c r="M353" s="68"/>
      <c r="N353" s="69"/>
    </row>
    <row r="354" spans="1:14" x14ac:dyDescent="0.3">
      <c r="A354" s="69"/>
      <c r="B354" s="69"/>
      <c r="C354" s="68"/>
      <c r="D354" s="69"/>
      <c r="E354" s="69"/>
      <c r="F354" s="69"/>
      <c r="G354" s="79"/>
      <c r="H354" s="69"/>
      <c r="I354" s="69"/>
      <c r="J354" s="68"/>
      <c r="K354" s="80" t="str">
        <f t="shared" si="5"/>
        <v/>
      </c>
      <c r="L354" s="69"/>
      <c r="M354" s="68"/>
      <c r="N354" s="69"/>
    </row>
    <row r="355" spans="1:14" x14ac:dyDescent="0.3">
      <c r="A355" s="69"/>
      <c r="B355" s="69"/>
      <c r="C355" s="68"/>
      <c r="D355" s="69"/>
      <c r="E355" s="69"/>
      <c r="F355" s="69"/>
      <c r="G355" s="79"/>
      <c r="H355" s="69"/>
      <c r="I355" s="69"/>
      <c r="J355" s="68"/>
      <c r="K355" s="80" t="str">
        <f t="shared" si="5"/>
        <v/>
      </c>
      <c r="L355" s="69"/>
      <c r="M355" s="68"/>
      <c r="N355" s="69"/>
    </row>
    <row r="356" spans="1:14" x14ac:dyDescent="0.3">
      <c r="A356" s="69"/>
      <c r="B356" s="69"/>
      <c r="C356" s="68"/>
      <c r="D356" s="69"/>
      <c r="E356" s="69"/>
      <c r="F356" s="69"/>
      <c r="G356" s="79"/>
      <c r="H356" s="69"/>
      <c r="I356" s="69"/>
      <c r="J356" s="68"/>
      <c r="K356" s="80" t="str">
        <f t="shared" si="5"/>
        <v/>
      </c>
      <c r="L356" s="69"/>
      <c r="M356" s="68"/>
      <c r="N356" s="69"/>
    </row>
    <row r="357" spans="1:14" x14ac:dyDescent="0.3">
      <c r="A357" s="69"/>
      <c r="B357" s="69"/>
      <c r="C357" s="68"/>
      <c r="D357" s="69"/>
      <c r="E357" s="69"/>
      <c r="F357" s="69"/>
      <c r="G357" s="79"/>
      <c r="H357" s="69"/>
      <c r="I357" s="69"/>
      <c r="J357" s="68"/>
      <c r="K357" s="80" t="str">
        <f t="shared" si="5"/>
        <v/>
      </c>
      <c r="L357" s="69"/>
      <c r="M357" s="68"/>
      <c r="N357" s="69"/>
    </row>
    <row r="358" spans="1:14" x14ac:dyDescent="0.3">
      <c r="A358" s="69"/>
      <c r="B358" s="69"/>
      <c r="C358" s="68"/>
      <c r="D358" s="69"/>
      <c r="E358" s="69"/>
      <c r="F358" s="69"/>
      <c r="G358" s="79"/>
      <c r="H358" s="69"/>
      <c r="I358" s="69"/>
      <c r="J358" s="68"/>
      <c r="K358" s="80" t="str">
        <f t="shared" si="5"/>
        <v/>
      </c>
      <c r="L358" s="69"/>
      <c r="M358" s="68"/>
      <c r="N358" s="69"/>
    </row>
    <row r="359" spans="1:14" x14ac:dyDescent="0.3">
      <c r="A359" s="69"/>
      <c r="B359" s="69"/>
      <c r="C359" s="68"/>
      <c r="D359" s="69"/>
      <c r="E359" s="69"/>
      <c r="F359" s="69"/>
      <c r="G359" s="79"/>
      <c r="H359" s="69"/>
      <c r="I359" s="69"/>
      <c r="J359" s="68"/>
      <c r="K359" s="80" t="str">
        <f t="shared" si="5"/>
        <v/>
      </c>
      <c r="L359" s="69"/>
      <c r="M359" s="68"/>
      <c r="N359" s="69"/>
    </row>
    <row r="360" spans="1:14" x14ac:dyDescent="0.3">
      <c r="A360" s="69"/>
      <c r="B360" s="69"/>
      <c r="C360" s="68"/>
      <c r="D360" s="69"/>
      <c r="E360" s="69"/>
      <c r="F360" s="69"/>
      <c r="G360" s="79"/>
      <c r="H360" s="69"/>
      <c r="I360" s="69"/>
      <c r="J360" s="68"/>
      <c r="K360" s="80" t="str">
        <f t="shared" si="5"/>
        <v/>
      </c>
      <c r="L360" s="69"/>
      <c r="M360" s="68"/>
      <c r="N360" s="69"/>
    </row>
    <row r="361" spans="1:14" x14ac:dyDescent="0.3">
      <c r="A361" s="69"/>
      <c r="B361" s="69"/>
      <c r="C361" s="68"/>
      <c r="D361" s="69"/>
      <c r="E361" s="69"/>
      <c r="F361" s="69"/>
      <c r="G361" s="79"/>
      <c r="H361" s="69"/>
      <c r="I361" s="69"/>
      <c r="J361" s="68"/>
      <c r="K361" s="80" t="str">
        <f t="shared" si="5"/>
        <v/>
      </c>
      <c r="L361" s="69"/>
      <c r="M361" s="68"/>
      <c r="N361" s="69"/>
    </row>
    <row r="362" spans="1:14" x14ac:dyDescent="0.3">
      <c r="A362" s="69"/>
      <c r="B362" s="69"/>
      <c r="C362" s="68"/>
      <c r="D362" s="69"/>
      <c r="E362" s="69"/>
      <c r="F362" s="69"/>
      <c r="G362" s="79"/>
      <c r="H362" s="69"/>
      <c r="I362" s="69"/>
      <c r="J362" s="68"/>
      <c r="K362" s="80" t="str">
        <f t="shared" si="5"/>
        <v/>
      </c>
      <c r="L362" s="69"/>
      <c r="M362" s="68"/>
      <c r="N362" s="69"/>
    </row>
    <row r="363" spans="1:14" x14ac:dyDescent="0.3">
      <c r="A363" s="69"/>
      <c r="B363" s="69"/>
      <c r="C363" s="68"/>
      <c r="D363" s="69"/>
      <c r="E363" s="69"/>
      <c r="F363" s="69"/>
      <c r="G363" s="79"/>
      <c r="H363" s="69"/>
      <c r="I363" s="69"/>
      <c r="J363" s="68"/>
      <c r="K363" s="80" t="str">
        <f t="shared" si="5"/>
        <v/>
      </c>
      <c r="L363" s="69"/>
      <c r="M363" s="68"/>
      <c r="N363" s="69"/>
    </row>
    <row r="364" spans="1:14" x14ac:dyDescent="0.3">
      <c r="A364" s="69"/>
      <c r="B364" s="69"/>
      <c r="C364" s="68"/>
      <c r="D364" s="69"/>
      <c r="E364" s="69"/>
      <c r="F364" s="69"/>
      <c r="G364" s="79"/>
      <c r="H364" s="69"/>
      <c r="I364" s="69"/>
      <c r="J364" s="68"/>
      <c r="K364" s="80" t="str">
        <f t="shared" si="5"/>
        <v/>
      </c>
      <c r="L364" s="69"/>
      <c r="M364" s="68"/>
      <c r="N364" s="69"/>
    </row>
    <row r="365" spans="1:14" x14ac:dyDescent="0.3">
      <c r="A365" s="69"/>
      <c r="B365" s="69"/>
      <c r="C365" s="68"/>
      <c r="D365" s="69"/>
      <c r="E365" s="69"/>
      <c r="F365" s="69"/>
      <c r="G365" s="79"/>
      <c r="H365" s="69"/>
      <c r="I365" s="69"/>
      <c r="J365" s="68"/>
      <c r="K365" s="80" t="str">
        <f t="shared" si="5"/>
        <v/>
      </c>
      <c r="L365" s="69"/>
      <c r="M365" s="68"/>
      <c r="N365" s="69"/>
    </row>
    <row r="366" spans="1:14" x14ac:dyDescent="0.3">
      <c r="A366" s="69"/>
      <c r="B366" s="69"/>
      <c r="C366" s="68"/>
      <c r="D366" s="69"/>
      <c r="E366" s="69"/>
      <c r="F366" s="69"/>
      <c r="G366" s="79"/>
      <c r="H366" s="69"/>
      <c r="I366" s="69"/>
      <c r="J366" s="68"/>
      <c r="K366" s="80" t="str">
        <f t="shared" si="5"/>
        <v/>
      </c>
      <c r="L366" s="69"/>
      <c r="M366" s="68"/>
      <c r="N366" s="69"/>
    </row>
    <row r="367" spans="1:14" x14ac:dyDescent="0.3">
      <c r="A367" s="69"/>
      <c r="B367" s="69"/>
      <c r="C367" s="68"/>
      <c r="D367" s="69"/>
      <c r="E367" s="69"/>
      <c r="F367" s="69"/>
      <c r="G367" s="79"/>
      <c r="H367" s="69"/>
      <c r="I367" s="69"/>
      <c r="J367" s="68"/>
      <c r="K367" s="80" t="str">
        <f t="shared" si="5"/>
        <v/>
      </c>
      <c r="L367" s="69"/>
      <c r="M367" s="68"/>
      <c r="N367" s="69"/>
    </row>
    <row r="368" spans="1:14" x14ac:dyDescent="0.3">
      <c r="A368" s="69"/>
      <c r="B368" s="69"/>
      <c r="C368" s="68"/>
      <c r="D368" s="69"/>
      <c r="E368" s="69"/>
      <c r="F368" s="69"/>
      <c r="G368" s="79"/>
      <c r="H368" s="69"/>
      <c r="I368" s="69"/>
      <c r="J368" s="68"/>
      <c r="K368" s="80" t="str">
        <f t="shared" si="5"/>
        <v/>
      </c>
      <c r="L368" s="69"/>
      <c r="M368" s="68"/>
      <c r="N368" s="69"/>
    </row>
    <row r="369" spans="1:14" x14ac:dyDescent="0.3">
      <c r="A369" s="69"/>
      <c r="B369" s="69"/>
      <c r="C369" s="68"/>
      <c r="D369" s="69"/>
      <c r="E369" s="69"/>
      <c r="F369" s="69"/>
      <c r="G369" s="79"/>
      <c r="H369" s="69"/>
      <c r="I369" s="69"/>
      <c r="J369" s="68"/>
      <c r="K369" s="80" t="str">
        <f t="shared" si="5"/>
        <v/>
      </c>
      <c r="L369" s="69"/>
      <c r="M369" s="68"/>
      <c r="N369" s="69"/>
    </row>
    <row r="370" spans="1:14" x14ac:dyDescent="0.3">
      <c r="A370" s="69"/>
      <c r="B370" s="69"/>
      <c r="C370" s="68"/>
      <c r="D370" s="69"/>
      <c r="E370" s="69"/>
      <c r="F370" s="69"/>
      <c r="G370" s="79"/>
      <c r="H370" s="69"/>
      <c r="I370" s="69"/>
      <c r="J370" s="68"/>
      <c r="K370" s="80" t="str">
        <f t="shared" si="5"/>
        <v/>
      </c>
      <c r="L370" s="69"/>
      <c r="M370" s="68"/>
      <c r="N370" s="69"/>
    </row>
    <row r="371" spans="1:14" x14ac:dyDescent="0.3">
      <c r="A371" s="69"/>
      <c r="B371" s="69"/>
      <c r="C371" s="68"/>
      <c r="D371" s="69"/>
      <c r="E371" s="69"/>
      <c r="F371" s="69"/>
      <c r="G371" s="79"/>
      <c r="H371" s="69"/>
      <c r="I371" s="69"/>
      <c r="J371" s="68"/>
      <c r="K371" s="80" t="str">
        <f t="shared" si="5"/>
        <v/>
      </c>
      <c r="L371" s="69"/>
      <c r="M371" s="68"/>
      <c r="N371" s="69"/>
    </row>
    <row r="372" spans="1:14" x14ac:dyDescent="0.3">
      <c r="A372" s="69"/>
      <c r="B372" s="69"/>
      <c r="C372" s="68"/>
      <c r="D372" s="69"/>
      <c r="E372" s="69"/>
      <c r="F372" s="69"/>
      <c r="G372" s="79"/>
      <c r="H372" s="69"/>
      <c r="I372" s="69"/>
      <c r="J372" s="68"/>
      <c r="K372" s="80" t="str">
        <f t="shared" si="5"/>
        <v/>
      </c>
      <c r="L372" s="69"/>
      <c r="M372" s="68"/>
      <c r="N372" s="69"/>
    </row>
    <row r="373" spans="1:14" x14ac:dyDescent="0.3">
      <c r="A373" s="69"/>
      <c r="B373" s="69"/>
      <c r="C373" s="68"/>
      <c r="D373" s="69"/>
      <c r="E373" s="69"/>
      <c r="F373" s="69"/>
      <c r="G373" s="79"/>
      <c r="H373" s="69"/>
      <c r="I373" s="69"/>
      <c r="J373" s="68"/>
      <c r="K373" s="80" t="str">
        <f t="shared" si="5"/>
        <v/>
      </c>
      <c r="L373" s="69"/>
      <c r="M373" s="68"/>
      <c r="N373" s="69"/>
    </row>
    <row r="374" spans="1:14" x14ac:dyDescent="0.3">
      <c r="A374" s="69"/>
      <c r="B374" s="69"/>
      <c r="C374" s="68"/>
      <c r="D374" s="69"/>
      <c r="E374" s="69"/>
      <c r="F374" s="69"/>
      <c r="G374" s="79"/>
      <c r="H374" s="69"/>
      <c r="I374" s="69"/>
      <c r="J374" s="68"/>
      <c r="K374" s="80" t="str">
        <f t="shared" si="5"/>
        <v/>
      </c>
      <c r="L374" s="69"/>
      <c r="M374" s="68"/>
      <c r="N374" s="69"/>
    </row>
    <row r="375" spans="1:14" x14ac:dyDescent="0.3">
      <c r="A375" s="69"/>
      <c r="B375" s="69"/>
      <c r="C375" s="68"/>
      <c r="D375" s="69"/>
      <c r="E375" s="69"/>
      <c r="F375" s="69"/>
      <c r="G375" s="79"/>
      <c r="H375" s="69"/>
      <c r="I375" s="69"/>
      <c r="J375" s="68"/>
      <c r="K375" s="80" t="str">
        <f t="shared" si="5"/>
        <v/>
      </c>
      <c r="L375" s="69"/>
      <c r="M375" s="68"/>
      <c r="N375" s="69"/>
    </row>
    <row r="376" spans="1:14" x14ac:dyDescent="0.3">
      <c r="A376" s="69"/>
      <c r="B376" s="69"/>
      <c r="C376" s="68"/>
      <c r="D376" s="69"/>
      <c r="E376" s="69"/>
      <c r="F376" s="69"/>
      <c r="G376" s="79"/>
      <c r="H376" s="69"/>
      <c r="I376" s="69"/>
      <c r="J376" s="68"/>
      <c r="K376" s="80" t="str">
        <f t="shared" si="5"/>
        <v/>
      </c>
      <c r="L376" s="69"/>
      <c r="M376" s="68"/>
      <c r="N376" s="69"/>
    </row>
    <row r="377" spans="1:14" x14ac:dyDescent="0.3">
      <c r="A377" s="69"/>
      <c r="B377" s="69"/>
      <c r="C377" s="68"/>
      <c r="D377" s="69"/>
      <c r="E377" s="69"/>
      <c r="F377" s="69"/>
      <c r="G377" s="79"/>
      <c r="H377" s="69"/>
      <c r="I377" s="69"/>
      <c r="J377" s="68"/>
      <c r="K377" s="80" t="str">
        <f t="shared" si="5"/>
        <v/>
      </c>
      <c r="L377" s="69"/>
      <c r="M377" s="68"/>
      <c r="N377" s="69"/>
    </row>
    <row r="378" spans="1:14" x14ac:dyDescent="0.3">
      <c r="A378" s="69"/>
      <c r="B378" s="69"/>
      <c r="C378" s="68"/>
      <c r="D378" s="69"/>
      <c r="E378" s="69"/>
      <c r="F378" s="69"/>
      <c r="G378" s="79"/>
      <c r="H378" s="69"/>
      <c r="I378" s="69"/>
      <c r="J378" s="68"/>
      <c r="K378" s="80" t="str">
        <f t="shared" si="5"/>
        <v/>
      </c>
      <c r="L378" s="69"/>
      <c r="M378" s="68"/>
      <c r="N378" s="69"/>
    </row>
    <row r="379" spans="1:14" x14ac:dyDescent="0.3">
      <c r="A379" s="69"/>
      <c r="B379" s="69"/>
      <c r="C379" s="68"/>
      <c r="D379" s="69"/>
      <c r="E379" s="69"/>
      <c r="F379" s="69"/>
      <c r="G379" s="79"/>
      <c r="H379" s="69"/>
      <c r="I379" s="69"/>
      <c r="J379" s="68"/>
      <c r="K379" s="80" t="str">
        <f t="shared" si="5"/>
        <v/>
      </c>
      <c r="L379" s="69"/>
      <c r="M379" s="68"/>
      <c r="N379" s="69"/>
    </row>
    <row r="380" spans="1:14" x14ac:dyDescent="0.3">
      <c r="A380" s="69"/>
      <c r="B380" s="69"/>
      <c r="C380" s="68"/>
      <c r="D380" s="69"/>
      <c r="E380" s="69"/>
      <c r="F380" s="69"/>
      <c r="G380" s="79"/>
      <c r="H380" s="69"/>
      <c r="I380" s="69"/>
      <c r="J380" s="68"/>
      <c r="K380" s="80" t="str">
        <f t="shared" si="5"/>
        <v/>
      </c>
      <c r="L380" s="69"/>
      <c r="M380" s="68"/>
      <c r="N380" s="69"/>
    </row>
    <row r="381" spans="1:14" x14ac:dyDescent="0.3">
      <c r="A381" s="69"/>
      <c r="B381" s="69"/>
      <c r="C381" s="68"/>
      <c r="D381" s="69"/>
      <c r="E381" s="69"/>
      <c r="F381" s="69"/>
      <c r="G381" s="79"/>
      <c r="H381" s="69"/>
      <c r="I381" s="69"/>
      <c r="J381" s="68"/>
      <c r="K381" s="80" t="str">
        <f t="shared" si="5"/>
        <v/>
      </c>
      <c r="L381" s="69"/>
      <c r="M381" s="68"/>
      <c r="N381" s="69"/>
    </row>
    <row r="382" spans="1:14" x14ac:dyDescent="0.3">
      <c r="A382" s="69"/>
      <c r="B382" s="69"/>
      <c r="C382" s="68"/>
      <c r="D382" s="69"/>
      <c r="E382" s="69"/>
      <c r="F382" s="69"/>
      <c r="G382" s="79"/>
      <c r="H382" s="69"/>
      <c r="I382" s="69"/>
      <c r="J382" s="68"/>
      <c r="K382" s="80" t="str">
        <f t="shared" si="5"/>
        <v/>
      </c>
      <c r="L382" s="69"/>
      <c r="M382" s="68"/>
      <c r="N382" s="69"/>
    </row>
    <row r="383" spans="1:14" x14ac:dyDescent="0.3">
      <c r="A383" s="69"/>
      <c r="B383" s="69"/>
      <c r="C383" s="68"/>
      <c r="D383" s="69"/>
      <c r="E383" s="69"/>
      <c r="F383" s="69"/>
      <c r="G383" s="79"/>
      <c r="H383" s="69"/>
      <c r="I383" s="69"/>
      <c r="J383" s="68"/>
      <c r="K383" s="80" t="str">
        <f t="shared" si="5"/>
        <v/>
      </c>
      <c r="L383" s="69"/>
      <c r="M383" s="68"/>
      <c r="N383" s="69"/>
    </row>
    <row r="384" spans="1:14" x14ac:dyDescent="0.3">
      <c r="A384" s="69"/>
      <c r="B384" s="69"/>
      <c r="C384" s="68"/>
      <c r="D384" s="69"/>
      <c r="E384" s="69"/>
      <c r="F384" s="69"/>
      <c r="G384" s="79"/>
      <c r="H384" s="69"/>
      <c r="I384" s="69"/>
      <c r="J384" s="68"/>
      <c r="K384" s="80" t="str">
        <f t="shared" si="5"/>
        <v/>
      </c>
      <c r="L384" s="69"/>
      <c r="M384" s="68"/>
      <c r="N384" s="69"/>
    </row>
    <row r="385" spans="1:14" x14ac:dyDescent="0.3">
      <c r="A385" s="69"/>
      <c r="B385" s="69"/>
      <c r="C385" s="68"/>
      <c r="D385" s="69"/>
      <c r="E385" s="69"/>
      <c r="F385" s="69"/>
      <c r="G385" s="79"/>
      <c r="H385" s="69"/>
      <c r="I385" s="69"/>
      <c r="J385" s="68"/>
      <c r="K385" s="80" t="str">
        <f t="shared" si="5"/>
        <v/>
      </c>
      <c r="L385" s="69"/>
      <c r="M385" s="68"/>
      <c r="N385" s="69"/>
    </row>
    <row r="386" spans="1:14" x14ac:dyDescent="0.3">
      <c r="A386" s="69"/>
      <c r="B386" s="69"/>
      <c r="C386" s="68"/>
      <c r="D386" s="69"/>
      <c r="E386" s="69"/>
      <c r="F386" s="69"/>
      <c r="G386" s="79"/>
      <c r="H386" s="69"/>
      <c r="I386" s="69"/>
      <c r="J386" s="68"/>
      <c r="K386" s="80" t="str">
        <f t="shared" si="5"/>
        <v/>
      </c>
      <c r="L386" s="69"/>
      <c r="M386" s="68"/>
      <c r="N386" s="69"/>
    </row>
    <row r="387" spans="1:14" x14ac:dyDescent="0.3">
      <c r="A387" s="69"/>
      <c r="B387" s="69"/>
      <c r="C387" s="68"/>
      <c r="D387" s="69"/>
      <c r="E387" s="69"/>
      <c r="F387" s="69"/>
      <c r="G387" s="79"/>
      <c r="H387" s="69"/>
      <c r="I387" s="69"/>
      <c r="J387" s="68"/>
      <c r="K387" s="80" t="str">
        <f t="shared" si="5"/>
        <v/>
      </c>
      <c r="L387" s="69"/>
      <c r="M387" s="68"/>
      <c r="N387" s="69"/>
    </row>
    <row r="388" spans="1:14" x14ac:dyDescent="0.3">
      <c r="A388" s="69"/>
      <c r="B388" s="69"/>
      <c r="C388" s="68"/>
      <c r="D388" s="69"/>
      <c r="E388" s="69"/>
      <c r="F388" s="69"/>
      <c r="G388" s="79"/>
      <c r="H388" s="69"/>
      <c r="I388" s="69"/>
      <c r="J388" s="68"/>
      <c r="K388" s="80" t="str">
        <f t="shared" si="5"/>
        <v/>
      </c>
      <c r="L388" s="69"/>
      <c r="M388" s="68"/>
      <c r="N388" s="69"/>
    </row>
    <row r="389" spans="1:14" x14ac:dyDescent="0.3">
      <c r="A389" s="69"/>
      <c r="B389" s="69"/>
      <c r="C389" s="68"/>
      <c r="D389" s="69"/>
      <c r="E389" s="69"/>
      <c r="F389" s="69"/>
      <c r="G389" s="79"/>
      <c r="H389" s="69"/>
      <c r="I389" s="69"/>
      <c r="J389" s="68"/>
      <c r="K389" s="80" t="str">
        <f t="shared" ref="K389:K452" si="6">IF(OR(C389="",J389=""),"",J389-C389)</f>
        <v/>
      </c>
      <c r="L389" s="69"/>
      <c r="M389" s="68"/>
      <c r="N389" s="69"/>
    </row>
    <row r="390" spans="1:14" x14ac:dyDescent="0.3">
      <c r="A390" s="69"/>
      <c r="B390" s="69"/>
      <c r="C390" s="68"/>
      <c r="D390" s="69"/>
      <c r="E390" s="69"/>
      <c r="F390" s="69"/>
      <c r="G390" s="79"/>
      <c r="H390" s="69"/>
      <c r="I390" s="69"/>
      <c r="J390" s="68"/>
      <c r="K390" s="80" t="str">
        <f t="shared" si="6"/>
        <v/>
      </c>
      <c r="L390" s="69"/>
      <c r="M390" s="68"/>
      <c r="N390" s="69"/>
    </row>
    <row r="391" spans="1:14" x14ac:dyDescent="0.3">
      <c r="A391" s="69"/>
      <c r="B391" s="69"/>
      <c r="C391" s="68"/>
      <c r="D391" s="69"/>
      <c r="E391" s="69"/>
      <c r="F391" s="69"/>
      <c r="G391" s="79"/>
      <c r="H391" s="69"/>
      <c r="I391" s="69"/>
      <c r="J391" s="68"/>
      <c r="K391" s="80" t="str">
        <f t="shared" si="6"/>
        <v/>
      </c>
      <c r="L391" s="69"/>
      <c r="M391" s="68"/>
      <c r="N391" s="69"/>
    </row>
    <row r="392" spans="1:14" x14ac:dyDescent="0.3">
      <c r="A392" s="69"/>
      <c r="B392" s="69"/>
      <c r="C392" s="68"/>
      <c r="D392" s="69"/>
      <c r="E392" s="69"/>
      <c r="F392" s="69"/>
      <c r="G392" s="79"/>
      <c r="H392" s="69"/>
      <c r="I392" s="69"/>
      <c r="J392" s="68"/>
      <c r="K392" s="80" t="str">
        <f t="shared" si="6"/>
        <v/>
      </c>
      <c r="L392" s="69"/>
      <c r="M392" s="68"/>
      <c r="N392" s="69"/>
    </row>
    <row r="393" spans="1:14" x14ac:dyDescent="0.3">
      <c r="A393" s="69"/>
      <c r="B393" s="69"/>
      <c r="C393" s="68"/>
      <c r="D393" s="69"/>
      <c r="E393" s="69"/>
      <c r="F393" s="69"/>
      <c r="G393" s="79"/>
      <c r="H393" s="69"/>
      <c r="I393" s="69"/>
      <c r="J393" s="68"/>
      <c r="K393" s="80" t="str">
        <f t="shared" si="6"/>
        <v/>
      </c>
      <c r="L393" s="69"/>
      <c r="M393" s="68"/>
      <c r="N393" s="69"/>
    </row>
    <row r="394" spans="1:14" x14ac:dyDescent="0.3">
      <c r="A394" s="69"/>
      <c r="B394" s="69"/>
      <c r="C394" s="68"/>
      <c r="D394" s="69"/>
      <c r="E394" s="69"/>
      <c r="F394" s="69"/>
      <c r="G394" s="79"/>
      <c r="H394" s="69"/>
      <c r="I394" s="69"/>
      <c r="J394" s="68"/>
      <c r="K394" s="80" t="str">
        <f t="shared" si="6"/>
        <v/>
      </c>
      <c r="L394" s="69"/>
      <c r="M394" s="68"/>
      <c r="N394" s="69"/>
    </row>
    <row r="395" spans="1:14" x14ac:dyDescent="0.3">
      <c r="A395" s="69"/>
      <c r="B395" s="69"/>
      <c r="C395" s="68"/>
      <c r="D395" s="69"/>
      <c r="E395" s="69"/>
      <c r="F395" s="69"/>
      <c r="G395" s="79"/>
      <c r="H395" s="69"/>
      <c r="I395" s="69"/>
      <c r="J395" s="68"/>
      <c r="K395" s="80" t="str">
        <f t="shared" si="6"/>
        <v/>
      </c>
      <c r="L395" s="69"/>
      <c r="M395" s="68"/>
      <c r="N395" s="69"/>
    </row>
    <row r="396" spans="1:14" x14ac:dyDescent="0.3">
      <c r="A396" s="69"/>
      <c r="B396" s="69"/>
      <c r="C396" s="68"/>
      <c r="D396" s="69"/>
      <c r="E396" s="69"/>
      <c r="F396" s="69"/>
      <c r="G396" s="79"/>
      <c r="H396" s="69"/>
      <c r="I396" s="69"/>
      <c r="J396" s="68"/>
      <c r="K396" s="80" t="str">
        <f t="shared" si="6"/>
        <v/>
      </c>
      <c r="L396" s="69"/>
      <c r="M396" s="68"/>
      <c r="N396" s="69"/>
    </row>
    <row r="397" spans="1:14" x14ac:dyDescent="0.3">
      <c r="A397" s="69"/>
      <c r="B397" s="69"/>
      <c r="C397" s="68"/>
      <c r="D397" s="69"/>
      <c r="E397" s="69"/>
      <c r="F397" s="69"/>
      <c r="G397" s="79"/>
      <c r="H397" s="69"/>
      <c r="I397" s="69"/>
      <c r="J397" s="68"/>
      <c r="K397" s="80" t="str">
        <f t="shared" si="6"/>
        <v/>
      </c>
      <c r="L397" s="69"/>
      <c r="M397" s="68"/>
      <c r="N397" s="69"/>
    </row>
    <row r="398" spans="1:14" x14ac:dyDescent="0.3">
      <c r="A398" s="69"/>
      <c r="B398" s="69"/>
      <c r="C398" s="68"/>
      <c r="D398" s="69"/>
      <c r="E398" s="69"/>
      <c r="F398" s="69"/>
      <c r="G398" s="79"/>
      <c r="H398" s="69"/>
      <c r="I398" s="69"/>
      <c r="J398" s="68"/>
      <c r="K398" s="80" t="str">
        <f t="shared" si="6"/>
        <v/>
      </c>
      <c r="L398" s="69"/>
      <c r="M398" s="68"/>
      <c r="N398" s="69"/>
    </row>
    <row r="399" spans="1:14" x14ac:dyDescent="0.3">
      <c r="A399" s="69"/>
      <c r="B399" s="69"/>
      <c r="C399" s="68"/>
      <c r="D399" s="69"/>
      <c r="E399" s="69"/>
      <c r="F399" s="69"/>
      <c r="G399" s="79"/>
      <c r="H399" s="69"/>
      <c r="I399" s="69"/>
      <c r="J399" s="68"/>
      <c r="K399" s="80" t="str">
        <f t="shared" si="6"/>
        <v/>
      </c>
      <c r="L399" s="69"/>
      <c r="M399" s="68"/>
      <c r="N399" s="69"/>
    </row>
    <row r="400" spans="1:14" x14ac:dyDescent="0.3">
      <c r="A400" s="69"/>
      <c r="B400" s="69"/>
      <c r="C400" s="68"/>
      <c r="D400" s="69"/>
      <c r="E400" s="69"/>
      <c r="F400" s="69"/>
      <c r="G400" s="79"/>
      <c r="H400" s="69"/>
      <c r="I400" s="69"/>
      <c r="J400" s="68"/>
      <c r="K400" s="80" t="str">
        <f t="shared" si="6"/>
        <v/>
      </c>
      <c r="L400" s="69"/>
      <c r="M400" s="68"/>
      <c r="N400" s="69"/>
    </row>
    <row r="401" spans="1:14" x14ac:dyDescent="0.3">
      <c r="A401" s="69"/>
      <c r="B401" s="69"/>
      <c r="C401" s="68"/>
      <c r="D401" s="69"/>
      <c r="E401" s="69"/>
      <c r="F401" s="69"/>
      <c r="G401" s="79"/>
      <c r="H401" s="69"/>
      <c r="I401" s="69"/>
      <c r="J401" s="68"/>
      <c r="K401" s="80" t="str">
        <f t="shared" si="6"/>
        <v/>
      </c>
      <c r="L401" s="69"/>
      <c r="M401" s="68"/>
      <c r="N401" s="69"/>
    </row>
    <row r="402" spans="1:14" x14ac:dyDescent="0.3">
      <c r="A402" s="69"/>
      <c r="B402" s="69"/>
      <c r="C402" s="68"/>
      <c r="D402" s="69"/>
      <c r="E402" s="69"/>
      <c r="F402" s="69"/>
      <c r="G402" s="79"/>
      <c r="H402" s="69"/>
      <c r="I402" s="69"/>
      <c r="J402" s="68"/>
      <c r="K402" s="80" t="str">
        <f t="shared" si="6"/>
        <v/>
      </c>
      <c r="L402" s="69"/>
      <c r="M402" s="68"/>
      <c r="N402" s="69"/>
    </row>
    <row r="403" spans="1:14" x14ac:dyDescent="0.3">
      <c r="A403" s="69"/>
      <c r="B403" s="69"/>
      <c r="C403" s="68"/>
      <c r="D403" s="69"/>
      <c r="E403" s="69"/>
      <c r="F403" s="69"/>
      <c r="G403" s="79"/>
      <c r="H403" s="69"/>
      <c r="I403" s="69"/>
      <c r="J403" s="68"/>
      <c r="K403" s="80" t="str">
        <f t="shared" si="6"/>
        <v/>
      </c>
      <c r="L403" s="69"/>
      <c r="M403" s="68"/>
      <c r="N403" s="69"/>
    </row>
    <row r="404" spans="1:14" x14ac:dyDescent="0.3">
      <c r="A404" s="69"/>
      <c r="B404" s="69"/>
      <c r="C404" s="68"/>
      <c r="D404" s="69"/>
      <c r="E404" s="69"/>
      <c r="F404" s="69"/>
      <c r="G404" s="79"/>
      <c r="H404" s="69"/>
      <c r="I404" s="69"/>
      <c r="J404" s="68"/>
      <c r="K404" s="80" t="str">
        <f t="shared" si="6"/>
        <v/>
      </c>
      <c r="L404" s="69"/>
      <c r="M404" s="68"/>
      <c r="N404" s="69"/>
    </row>
    <row r="405" spans="1:14" x14ac:dyDescent="0.3">
      <c r="A405" s="69"/>
      <c r="B405" s="69"/>
      <c r="C405" s="68"/>
      <c r="D405" s="69"/>
      <c r="E405" s="69"/>
      <c r="F405" s="69"/>
      <c r="G405" s="79"/>
      <c r="H405" s="69"/>
      <c r="I405" s="69"/>
      <c r="J405" s="68"/>
      <c r="K405" s="80" t="str">
        <f t="shared" si="6"/>
        <v/>
      </c>
      <c r="L405" s="69"/>
      <c r="M405" s="68"/>
      <c r="N405" s="69"/>
    </row>
    <row r="406" spans="1:14" x14ac:dyDescent="0.3">
      <c r="A406" s="69"/>
      <c r="B406" s="69"/>
      <c r="C406" s="68"/>
      <c r="D406" s="69"/>
      <c r="E406" s="69"/>
      <c r="F406" s="69"/>
      <c r="G406" s="79"/>
      <c r="H406" s="69"/>
      <c r="I406" s="69"/>
      <c r="J406" s="68"/>
      <c r="K406" s="80" t="str">
        <f t="shared" si="6"/>
        <v/>
      </c>
      <c r="L406" s="69"/>
      <c r="M406" s="68"/>
      <c r="N406" s="69"/>
    </row>
    <row r="407" spans="1:14" x14ac:dyDescent="0.3">
      <c r="A407" s="69"/>
      <c r="B407" s="69"/>
      <c r="C407" s="68"/>
      <c r="D407" s="69"/>
      <c r="E407" s="69"/>
      <c r="F407" s="69"/>
      <c r="G407" s="79"/>
      <c r="H407" s="69"/>
      <c r="I407" s="69"/>
      <c r="J407" s="68"/>
      <c r="K407" s="80" t="str">
        <f t="shared" si="6"/>
        <v/>
      </c>
      <c r="L407" s="69"/>
      <c r="M407" s="68"/>
      <c r="N407" s="69"/>
    </row>
    <row r="408" spans="1:14" x14ac:dyDescent="0.3">
      <c r="A408" s="69"/>
      <c r="B408" s="69"/>
      <c r="C408" s="68"/>
      <c r="D408" s="69"/>
      <c r="E408" s="69"/>
      <c r="F408" s="69"/>
      <c r="G408" s="79"/>
      <c r="H408" s="69"/>
      <c r="I408" s="69"/>
      <c r="J408" s="68"/>
      <c r="K408" s="80" t="str">
        <f t="shared" si="6"/>
        <v/>
      </c>
      <c r="L408" s="69"/>
      <c r="M408" s="68"/>
      <c r="N408" s="69"/>
    </row>
    <row r="409" spans="1:14" x14ac:dyDescent="0.3">
      <c r="A409" s="69"/>
      <c r="B409" s="69"/>
      <c r="C409" s="68"/>
      <c r="D409" s="69"/>
      <c r="E409" s="69"/>
      <c r="F409" s="69"/>
      <c r="G409" s="79"/>
      <c r="H409" s="69"/>
      <c r="I409" s="69"/>
      <c r="J409" s="68"/>
      <c r="K409" s="80" t="str">
        <f t="shared" si="6"/>
        <v/>
      </c>
      <c r="L409" s="69"/>
      <c r="M409" s="68"/>
      <c r="N409" s="69"/>
    </row>
    <row r="410" spans="1:14" x14ac:dyDescent="0.3">
      <c r="A410" s="69"/>
      <c r="B410" s="69"/>
      <c r="C410" s="68"/>
      <c r="D410" s="69"/>
      <c r="E410" s="69"/>
      <c r="F410" s="69"/>
      <c r="G410" s="79"/>
      <c r="H410" s="69"/>
      <c r="I410" s="69"/>
      <c r="J410" s="68"/>
      <c r="K410" s="80" t="str">
        <f t="shared" si="6"/>
        <v/>
      </c>
      <c r="L410" s="69"/>
      <c r="M410" s="68"/>
      <c r="N410" s="69"/>
    </row>
    <row r="411" spans="1:14" x14ac:dyDescent="0.3">
      <c r="A411" s="69"/>
      <c r="B411" s="69"/>
      <c r="C411" s="68"/>
      <c r="D411" s="69"/>
      <c r="E411" s="69"/>
      <c r="F411" s="69"/>
      <c r="G411" s="79"/>
      <c r="H411" s="69"/>
      <c r="I411" s="69"/>
      <c r="J411" s="68"/>
      <c r="K411" s="80" t="str">
        <f t="shared" si="6"/>
        <v/>
      </c>
      <c r="L411" s="69"/>
      <c r="M411" s="68"/>
      <c r="N411" s="69"/>
    </row>
    <row r="412" spans="1:14" x14ac:dyDescent="0.3">
      <c r="A412" s="69"/>
      <c r="B412" s="69"/>
      <c r="C412" s="68"/>
      <c r="D412" s="69"/>
      <c r="E412" s="69"/>
      <c r="F412" s="69"/>
      <c r="G412" s="79"/>
      <c r="H412" s="69"/>
      <c r="I412" s="69"/>
      <c r="J412" s="68"/>
      <c r="K412" s="80" t="str">
        <f t="shared" si="6"/>
        <v/>
      </c>
      <c r="L412" s="69"/>
      <c r="M412" s="68"/>
      <c r="N412" s="69"/>
    </row>
    <row r="413" spans="1:14" x14ac:dyDescent="0.3">
      <c r="A413" s="69"/>
      <c r="B413" s="69"/>
      <c r="C413" s="68"/>
      <c r="D413" s="69"/>
      <c r="E413" s="69"/>
      <c r="F413" s="69"/>
      <c r="G413" s="79"/>
      <c r="H413" s="69"/>
      <c r="I413" s="69"/>
      <c r="J413" s="68"/>
      <c r="K413" s="80" t="str">
        <f t="shared" si="6"/>
        <v/>
      </c>
      <c r="L413" s="69"/>
      <c r="M413" s="68"/>
      <c r="N413" s="69"/>
    </row>
    <row r="414" spans="1:14" x14ac:dyDescent="0.3">
      <c r="A414" s="69"/>
      <c r="B414" s="69"/>
      <c r="C414" s="68"/>
      <c r="D414" s="69"/>
      <c r="E414" s="69"/>
      <c r="F414" s="69"/>
      <c r="G414" s="79"/>
      <c r="H414" s="69"/>
      <c r="I414" s="69"/>
      <c r="J414" s="68"/>
      <c r="K414" s="80" t="str">
        <f t="shared" si="6"/>
        <v/>
      </c>
      <c r="L414" s="69"/>
      <c r="M414" s="68"/>
      <c r="N414" s="69"/>
    </row>
    <row r="415" spans="1:14" x14ac:dyDescent="0.3">
      <c r="A415" s="69"/>
      <c r="B415" s="69"/>
      <c r="C415" s="68"/>
      <c r="D415" s="69"/>
      <c r="E415" s="69"/>
      <c r="F415" s="69"/>
      <c r="G415" s="79"/>
      <c r="H415" s="69"/>
      <c r="I415" s="69"/>
      <c r="J415" s="68"/>
      <c r="K415" s="80" t="str">
        <f t="shared" si="6"/>
        <v/>
      </c>
      <c r="L415" s="69"/>
      <c r="M415" s="68"/>
      <c r="N415" s="69"/>
    </row>
    <row r="416" spans="1:14" x14ac:dyDescent="0.3">
      <c r="A416" s="69"/>
      <c r="B416" s="69"/>
      <c r="C416" s="68"/>
      <c r="D416" s="69"/>
      <c r="E416" s="69"/>
      <c r="F416" s="69"/>
      <c r="G416" s="79"/>
      <c r="H416" s="69"/>
      <c r="I416" s="69"/>
      <c r="J416" s="68"/>
      <c r="K416" s="80" t="str">
        <f t="shared" si="6"/>
        <v/>
      </c>
      <c r="L416" s="69"/>
      <c r="M416" s="68"/>
      <c r="N416" s="69"/>
    </row>
    <row r="417" spans="1:14" x14ac:dyDescent="0.3">
      <c r="A417" s="69"/>
      <c r="B417" s="69"/>
      <c r="C417" s="68"/>
      <c r="D417" s="69"/>
      <c r="E417" s="69"/>
      <c r="F417" s="69"/>
      <c r="G417" s="79"/>
      <c r="H417" s="69"/>
      <c r="I417" s="69"/>
      <c r="J417" s="68"/>
      <c r="K417" s="80" t="str">
        <f t="shared" si="6"/>
        <v/>
      </c>
      <c r="L417" s="69"/>
      <c r="M417" s="68"/>
      <c r="N417" s="69"/>
    </row>
    <row r="418" spans="1:14" x14ac:dyDescent="0.3">
      <c r="A418" s="69"/>
      <c r="B418" s="69"/>
      <c r="C418" s="68"/>
      <c r="D418" s="69"/>
      <c r="E418" s="69"/>
      <c r="F418" s="69"/>
      <c r="G418" s="79"/>
      <c r="H418" s="69"/>
      <c r="I418" s="69"/>
      <c r="J418" s="68"/>
      <c r="K418" s="80" t="str">
        <f t="shared" si="6"/>
        <v/>
      </c>
      <c r="L418" s="69"/>
      <c r="M418" s="68"/>
      <c r="N418" s="69"/>
    </row>
    <row r="419" spans="1:14" x14ac:dyDescent="0.3">
      <c r="A419" s="69"/>
      <c r="B419" s="69"/>
      <c r="C419" s="68"/>
      <c r="D419" s="69"/>
      <c r="E419" s="69"/>
      <c r="F419" s="69"/>
      <c r="G419" s="79"/>
      <c r="H419" s="69"/>
      <c r="I419" s="69"/>
      <c r="J419" s="68"/>
      <c r="K419" s="80" t="str">
        <f t="shared" si="6"/>
        <v/>
      </c>
      <c r="L419" s="69"/>
      <c r="M419" s="68"/>
      <c r="N419" s="69"/>
    </row>
    <row r="420" spans="1:14" x14ac:dyDescent="0.3">
      <c r="A420" s="69"/>
      <c r="B420" s="69"/>
      <c r="C420" s="68"/>
      <c r="D420" s="69"/>
      <c r="E420" s="69"/>
      <c r="F420" s="69"/>
      <c r="G420" s="79"/>
      <c r="H420" s="69"/>
      <c r="I420" s="69"/>
      <c r="J420" s="68"/>
      <c r="K420" s="80" t="str">
        <f t="shared" si="6"/>
        <v/>
      </c>
      <c r="L420" s="69"/>
      <c r="M420" s="68"/>
      <c r="N420" s="69"/>
    </row>
    <row r="421" spans="1:14" x14ac:dyDescent="0.3">
      <c r="A421" s="69"/>
      <c r="B421" s="69"/>
      <c r="C421" s="68"/>
      <c r="D421" s="69"/>
      <c r="E421" s="69"/>
      <c r="F421" s="69"/>
      <c r="G421" s="79"/>
      <c r="H421" s="69"/>
      <c r="I421" s="69"/>
      <c r="J421" s="68"/>
      <c r="K421" s="80" t="str">
        <f t="shared" si="6"/>
        <v/>
      </c>
      <c r="L421" s="69"/>
      <c r="M421" s="68"/>
      <c r="N421" s="69"/>
    </row>
    <row r="422" spans="1:14" x14ac:dyDescent="0.3">
      <c r="A422" s="69"/>
      <c r="B422" s="69"/>
      <c r="C422" s="68"/>
      <c r="D422" s="69"/>
      <c r="E422" s="69"/>
      <c r="F422" s="69"/>
      <c r="G422" s="79"/>
      <c r="H422" s="69"/>
      <c r="I422" s="69"/>
      <c r="J422" s="68"/>
      <c r="K422" s="80" t="str">
        <f t="shared" si="6"/>
        <v/>
      </c>
      <c r="L422" s="69"/>
      <c r="M422" s="68"/>
      <c r="N422" s="69"/>
    </row>
    <row r="423" spans="1:14" x14ac:dyDescent="0.3">
      <c r="A423" s="69"/>
      <c r="B423" s="69"/>
      <c r="C423" s="68"/>
      <c r="D423" s="69"/>
      <c r="E423" s="69"/>
      <c r="F423" s="69"/>
      <c r="G423" s="79"/>
      <c r="H423" s="69"/>
      <c r="I423" s="69"/>
      <c r="J423" s="68"/>
      <c r="K423" s="80" t="str">
        <f t="shared" si="6"/>
        <v/>
      </c>
      <c r="L423" s="69"/>
      <c r="M423" s="68"/>
      <c r="N423" s="69"/>
    </row>
    <row r="424" spans="1:14" x14ac:dyDescent="0.3">
      <c r="A424" s="69"/>
      <c r="B424" s="69"/>
      <c r="C424" s="68"/>
      <c r="D424" s="69"/>
      <c r="E424" s="69"/>
      <c r="F424" s="69"/>
      <c r="G424" s="79"/>
      <c r="H424" s="69"/>
      <c r="I424" s="69"/>
      <c r="J424" s="68"/>
      <c r="K424" s="80" t="str">
        <f t="shared" si="6"/>
        <v/>
      </c>
      <c r="L424" s="69"/>
      <c r="M424" s="68"/>
      <c r="N424" s="69"/>
    </row>
    <row r="425" spans="1:14" x14ac:dyDescent="0.3">
      <c r="A425" s="69"/>
      <c r="B425" s="69"/>
      <c r="C425" s="68"/>
      <c r="D425" s="69"/>
      <c r="E425" s="69"/>
      <c r="F425" s="69"/>
      <c r="G425" s="79"/>
      <c r="H425" s="69"/>
      <c r="I425" s="69"/>
      <c r="J425" s="68"/>
      <c r="K425" s="80" t="str">
        <f t="shared" si="6"/>
        <v/>
      </c>
      <c r="L425" s="69"/>
      <c r="M425" s="68"/>
      <c r="N425" s="69"/>
    </row>
    <row r="426" spans="1:14" x14ac:dyDescent="0.3">
      <c r="A426" s="69"/>
      <c r="B426" s="69"/>
      <c r="C426" s="68"/>
      <c r="D426" s="69"/>
      <c r="E426" s="69"/>
      <c r="F426" s="69"/>
      <c r="G426" s="79"/>
      <c r="H426" s="69"/>
      <c r="I426" s="69"/>
      <c r="J426" s="68"/>
      <c r="K426" s="80" t="str">
        <f t="shared" si="6"/>
        <v/>
      </c>
      <c r="L426" s="69"/>
      <c r="M426" s="68"/>
      <c r="N426" s="69"/>
    </row>
    <row r="427" spans="1:14" x14ac:dyDescent="0.3">
      <c r="A427" s="69"/>
      <c r="B427" s="69"/>
      <c r="C427" s="68"/>
      <c r="D427" s="69"/>
      <c r="E427" s="69"/>
      <c r="F427" s="69"/>
      <c r="G427" s="79"/>
      <c r="H427" s="69"/>
      <c r="I427" s="69"/>
      <c r="J427" s="68"/>
      <c r="K427" s="80" t="str">
        <f t="shared" si="6"/>
        <v/>
      </c>
      <c r="L427" s="69"/>
      <c r="M427" s="68"/>
      <c r="N427" s="69"/>
    </row>
    <row r="428" spans="1:14" x14ac:dyDescent="0.3">
      <c r="A428" s="69"/>
      <c r="B428" s="69"/>
      <c r="C428" s="68"/>
      <c r="D428" s="69"/>
      <c r="E428" s="69"/>
      <c r="F428" s="69"/>
      <c r="G428" s="79"/>
      <c r="H428" s="69"/>
      <c r="I428" s="69"/>
      <c r="J428" s="68"/>
      <c r="K428" s="80" t="str">
        <f t="shared" si="6"/>
        <v/>
      </c>
      <c r="L428" s="69"/>
      <c r="M428" s="68"/>
      <c r="N428" s="69"/>
    </row>
    <row r="429" spans="1:14" x14ac:dyDescent="0.3">
      <c r="A429" s="69"/>
      <c r="B429" s="69"/>
      <c r="C429" s="68"/>
      <c r="D429" s="69"/>
      <c r="E429" s="69"/>
      <c r="F429" s="69"/>
      <c r="G429" s="79"/>
      <c r="H429" s="69"/>
      <c r="I429" s="69"/>
      <c r="J429" s="68"/>
      <c r="K429" s="80" t="str">
        <f t="shared" si="6"/>
        <v/>
      </c>
      <c r="L429" s="69"/>
      <c r="M429" s="68"/>
      <c r="N429" s="69"/>
    </row>
    <row r="430" spans="1:14" x14ac:dyDescent="0.3">
      <c r="A430" s="69"/>
      <c r="B430" s="69"/>
      <c r="C430" s="68"/>
      <c r="D430" s="69"/>
      <c r="E430" s="69"/>
      <c r="F430" s="69"/>
      <c r="G430" s="79"/>
      <c r="H430" s="69"/>
      <c r="I430" s="69"/>
      <c r="J430" s="68"/>
      <c r="K430" s="80" t="str">
        <f t="shared" si="6"/>
        <v/>
      </c>
      <c r="L430" s="69"/>
      <c r="M430" s="68"/>
      <c r="N430" s="69"/>
    </row>
    <row r="431" spans="1:14" x14ac:dyDescent="0.3">
      <c r="A431" s="69"/>
      <c r="B431" s="69"/>
      <c r="C431" s="68"/>
      <c r="D431" s="69"/>
      <c r="E431" s="69"/>
      <c r="F431" s="69"/>
      <c r="G431" s="79"/>
      <c r="H431" s="69"/>
      <c r="I431" s="69"/>
      <c r="J431" s="68"/>
      <c r="K431" s="80" t="str">
        <f t="shared" si="6"/>
        <v/>
      </c>
      <c r="L431" s="69"/>
      <c r="M431" s="68"/>
      <c r="N431" s="69"/>
    </row>
    <row r="432" spans="1:14" x14ac:dyDescent="0.3">
      <c r="A432" s="69"/>
      <c r="B432" s="69"/>
      <c r="C432" s="68"/>
      <c r="D432" s="69"/>
      <c r="E432" s="69"/>
      <c r="F432" s="69"/>
      <c r="G432" s="79"/>
      <c r="H432" s="69"/>
      <c r="I432" s="69"/>
      <c r="J432" s="68"/>
      <c r="K432" s="80" t="str">
        <f t="shared" si="6"/>
        <v/>
      </c>
      <c r="L432" s="69"/>
      <c r="M432" s="68"/>
      <c r="N432" s="69"/>
    </row>
    <row r="433" spans="1:14" x14ac:dyDescent="0.3">
      <c r="A433" s="69"/>
      <c r="B433" s="69"/>
      <c r="C433" s="68"/>
      <c r="D433" s="69"/>
      <c r="E433" s="69"/>
      <c r="F433" s="69"/>
      <c r="G433" s="79"/>
      <c r="H433" s="69"/>
      <c r="I433" s="69"/>
      <c r="J433" s="68"/>
      <c r="K433" s="80" t="str">
        <f t="shared" si="6"/>
        <v/>
      </c>
      <c r="L433" s="69"/>
      <c r="M433" s="68"/>
      <c r="N433" s="69"/>
    </row>
    <row r="434" spans="1:14" x14ac:dyDescent="0.3">
      <c r="A434" s="69"/>
      <c r="B434" s="69"/>
      <c r="C434" s="68"/>
      <c r="D434" s="69"/>
      <c r="E434" s="69"/>
      <c r="F434" s="69"/>
      <c r="G434" s="79"/>
      <c r="H434" s="69"/>
      <c r="I434" s="69"/>
      <c r="J434" s="68"/>
      <c r="K434" s="80" t="str">
        <f t="shared" si="6"/>
        <v/>
      </c>
      <c r="L434" s="69"/>
      <c r="M434" s="68"/>
      <c r="N434" s="69"/>
    </row>
    <row r="435" spans="1:14" x14ac:dyDescent="0.3">
      <c r="A435" s="69"/>
      <c r="B435" s="69"/>
      <c r="C435" s="68"/>
      <c r="D435" s="69"/>
      <c r="E435" s="69"/>
      <c r="F435" s="69"/>
      <c r="G435" s="79"/>
      <c r="H435" s="69"/>
      <c r="I435" s="69"/>
      <c r="J435" s="68"/>
      <c r="K435" s="80" t="str">
        <f t="shared" si="6"/>
        <v/>
      </c>
      <c r="L435" s="69"/>
      <c r="M435" s="68"/>
      <c r="N435" s="69"/>
    </row>
    <row r="436" spans="1:14" x14ac:dyDescent="0.3">
      <c r="A436" s="69"/>
      <c r="B436" s="69"/>
      <c r="C436" s="68"/>
      <c r="D436" s="69"/>
      <c r="E436" s="69"/>
      <c r="F436" s="69"/>
      <c r="G436" s="79"/>
      <c r="H436" s="69"/>
      <c r="I436" s="69"/>
      <c r="J436" s="68"/>
      <c r="K436" s="80" t="str">
        <f t="shared" si="6"/>
        <v/>
      </c>
      <c r="L436" s="69"/>
      <c r="M436" s="68"/>
      <c r="N436" s="69"/>
    </row>
    <row r="437" spans="1:14" x14ac:dyDescent="0.3">
      <c r="A437" s="69"/>
      <c r="B437" s="69"/>
      <c r="C437" s="68"/>
      <c r="D437" s="69"/>
      <c r="E437" s="69"/>
      <c r="F437" s="69"/>
      <c r="G437" s="79"/>
      <c r="H437" s="69"/>
      <c r="I437" s="69"/>
      <c r="J437" s="68"/>
      <c r="K437" s="80" t="str">
        <f t="shared" si="6"/>
        <v/>
      </c>
      <c r="L437" s="69"/>
      <c r="M437" s="68"/>
      <c r="N437" s="69"/>
    </row>
    <row r="438" spans="1:14" x14ac:dyDescent="0.3">
      <c r="A438" s="69"/>
      <c r="B438" s="69"/>
      <c r="C438" s="68"/>
      <c r="D438" s="69"/>
      <c r="E438" s="69"/>
      <c r="F438" s="69"/>
      <c r="G438" s="79"/>
      <c r="H438" s="69"/>
      <c r="I438" s="69"/>
      <c r="J438" s="68"/>
      <c r="K438" s="80" t="str">
        <f t="shared" si="6"/>
        <v/>
      </c>
      <c r="L438" s="69"/>
      <c r="M438" s="68"/>
      <c r="N438" s="69"/>
    </row>
    <row r="439" spans="1:14" x14ac:dyDescent="0.3">
      <c r="A439" s="69"/>
      <c r="B439" s="69"/>
      <c r="C439" s="68"/>
      <c r="D439" s="69"/>
      <c r="E439" s="69"/>
      <c r="F439" s="69"/>
      <c r="G439" s="79"/>
      <c r="H439" s="69"/>
      <c r="I439" s="69"/>
      <c r="J439" s="68"/>
      <c r="K439" s="80" t="str">
        <f t="shared" si="6"/>
        <v/>
      </c>
      <c r="L439" s="69"/>
      <c r="M439" s="68"/>
      <c r="N439" s="69"/>
    </row>
    <row r="440" spans="1:14" x14ac:dyDescent="0.3">
      <c r="A440" s="69"/>
      <c r="B440" s="69"/>
      <c r="C440" s="68"/>
      <c r="D440" s="69"/>
      <c r="E440" s="69"/>
      <c r="F440" s="69"/>
      <c r="G440" s="79"/>
      <c r="H440" s="69"/>
      <c r="I440" s="69"/>
      <c r="J440" s="68"/>
      <c r="K440" s="80" t="str">
        <f t="shared" si="6"/>
        <v/>
      </c>
      <c r="L440" s="69"/>
      <c r="M440" s="68"/>
      <c r="N440" s="69"/>
    </row>
    <row r="441" spans="1:14" x14ac:dyDescent="0.3">
      <c r="A441" s="69"/>
      <c r="B441" s="69"/>
      <c r="C441" s="68"/>
      <c r="D441" s="69"/>
      <c r="E441" s="69"/>
      <c r="F441" s="69"/>
      <c r="G441" s="79"/>
      <c r="H441" s="69"/>
      <c r="I441" s="69"/>
      <c r="J441" s="68"/>
      <c r="K441" s="80" t="str">
        <f t="shared" si="6"/>
        <v/>
      </c>
      <c r="L441" s="69"/>
      <c r="M441" s="68"/>
      <c r="N441" s="69"/>
    </row>
    <row r="442" spans="1:14" x14ac:dyDescent="0.3">
      <c r="A442" s="69"/>
      <c r="B442" s="69"/>
      <c r="C442" s="68"/>
      <c r="D442" s="69"/>
      <c r="E442" s="69"/>
      <c r="F442" s="69"/>
      <c r="G442" s="79"/>
      <c r="H442" s="69"/>
      <c r="I442" s="69"/>
      <c r="J442" s="68"/>
      <c r="K442" s="80" t="str">
        <f t="shared" si="6"/>
        <v/>
      </c>
      <c r="L442" s="69"/>
      <c r="M442" s="68"/>
      <c r="N442" s="69"/>
    </row>
    <row r="443" spans="1:14" x14ac:dyDescent="0.3">
      <c r="A443" s="69"/>
      <c r="B443" s="69"/>
      <c r="C443" s="68"/>
      <c r="D443" s="69"/>
      <c r="E443" s="69"/>
      <c r="F443" s="69"/>
      <c r="G443" s="79"/>
      <c r="H443" s="69"/>
      <c r="I443" s="69"/>
      <c r="J443" s="68"/>
      <c r="K443" s="80" t="str">
        <f t="shared" si="6"/>
        <v/>
      </c>
      <c r="L443" s="69"/>
      <c r="M443" s="68"/>
      <c r="N443" s="69"/>
    </row>
    <row r="444" spans="1:14" x14ac:dyDescent="0.3">
      <c r="A444" s="69"/>
      <c r="B444" s="69"/>
      <c r="C444" s="68"/>
      <c r="D444" s="69"/>
      <c r="E444" s="69"/>
      <c r="F444" s="69"/>
      <c r="G444" s="79"/>
      <c r="H444" s="69"/>
      <c r="I444" s="69"/>
      <c r="J444" s="68"/>
      <c r="K444" s="80" t="str">
        <f t="shared" si="6"/>
        <v/>
      </c>
      <c r="L444" s="69"/>
      <c r="M444" s="68"/>
      <c r="N444" s="69"/>
    </row>
    <row r="445" spans="1:14" x14ac:dyDescent="0.3">
      <c r="A445" s="69"/>
      <c r="B445" s="69"/>
      <c r="C445" s="68"/>
      <c r="D445" s="69"/>
      <c r="E445" s="69"/>
      <c r="F445" s="69"/>
      <c r="G445" s="79"/>
      <c r="H445" s="69"/>
      <c r="I445" s="69"/>
      <c r="J445" s="68"/>
      <c r="K445" s="80" t="str">
        <f t="shared" si="6"/>
        <v/>
      </c>
      <c r="L445" s="69"/>
      <c r="M445" s="68"/>
      <c r="N445" s="69"/>
    </row>
    <row r="446" spans="1:14" x14ac:dyDescent="0.3">
      <c r="A446" s="69"/>
      <c r="B446" s="69"/>
      <c r="C446" s="68"/>
      <c r="D446" s="69"/>
      <c r="E446" s="69"/>
      <c r="F446" s="69"/>
      <c r="G446" s="79"/>
      <c r="H446" s="69"/>
      <c r="I446" s="69"/>
      <c r="J446" s="68"/>
      <c r="K446" s="80" t="str">
        <f t="shared" si="6"/>
        <v/>
      </c>
      <c r="L446" s="69"/>
      <c r="M446" s="68"/>
      <c r="N446" s="69"/>
    </row>
    <row r="447" spans="1:14" x14ac:dyDescent="0.3">
      <c r="A447" s="69"/>
      <c r="B447" s="69"/>
      <c r="C447" s="68"/>
      <c r="D447" s="69"/>
      <c r="E447" s="69"/>
      <c r="F447" s="69"/>
      <c r="G447" s="79"/>
      <c r="H447" s="69"/>
      <c r="I447" s="69"/>
      <c r="J447" s="68"/>
      <c r="K447" s="80" t="str">
        <f t="shared" si="6"/>
        <v/>
      </c>
      <c r="L447" s="69"/>
      <c r="M447" s="68"/>
      <c r="N447" s="69"/>
    </row>
    <row r="448" spans="1:14" x14ac:dyDescent="0.3">
      <c r="A448" s="69"/>
      <c r="B448" s="69"/>
      <c r="C448" s="68"/>
      <c r="D448" s="69"/>
      <c r="E448" s="69"/>
      <c r="F448" s="69"/>
      <c r="G448" s="79"/>
      <c r="H448" s="69"/>
      <c r="I448" s="69"/>
      <c r="J448" s="68"/>
      <c r="K448" s="80" t="str">
        <f t="shared" si="6"/>
        <v/>
      </c>
      <c r="L448" s="69"/>
      <c r="M448" s="68"/>
      <c r="N448" s="69"/>
    </row>
    <row r="449" spans="1:14" x14ac:dyDescent="0.3">
      <c r="A449" s="69"/>
      <c r="B449" s="69"/>
      <c r="C449" s="68"/>
      <c r="D449" s="69"/>
      <c r="E449" s="69"/>
      <c r="F449" s="69"/>
      <c r="G449" s="79"/>
      <c r="H449" s="69"/>
      <c r="I449" s="69"/>
      <c r="J449" s="68"/>
      <c r="K449" s="80" t="str">
        <f t="shared" si="6"/>
        <v/>
      </c>
      <c r="L449" s="69"/>
      <c r="M449" s="68"/>
      <c r="N449" s="69"/>
    </row>
    <row r="450" spans="1:14" x14ac:dyDescent="0.3">
      <c r="A450" s="69"/>
      <c r="B450" s="69"/>
      <c r="C450" s="68"/>
      <c r="D450" s="69"/>
      <c r="E450" s="69"/>
      <c r="F450" s="69"/>
      <c r="G450" s="79"/>
      <c r="H450" s="69"/>
      <c r="I450" s="69"/>
      <c r="J450" s="68"/>
      <c r="K450" s="80" t="str">
        <f t="shared" si="6"/>
        <v/>
      </c>
      <c r="L450" s="69"/>
      <c r="M450" s="68"/>
      <c r="N450" s="69"/>
    </row>
    <row r="451" spans="1:14" x14ac:dyDescent="0.3">
      <c r="A451" s="69"/>
      <c r="B451" s="69"/>
      <c r="C451" s="68"/>
      <c r="D451" s="69"/>
      <c r="E451" s="69"/>
      <c r="F451" s="69"/>
      <c r="G451" s="79"/>
      <c r="H451" s="69"/>
      <c r="I451" s="69"/>
      <c r="J451" s="68"/>
      <c r="K451" s="80" t="str">
        <f t="shared" si="6"/>
        <v/>
      </c>
      <c r="L451" s="69"/>
      <c r="M451" s="68"/>
      <c r="N451" s="69"/>
    </row>
    <row r="452" spans="1:14" x14ac:dyDescent="0.3">
      <c r="A452" s="69"/>
      <c r="B452" s="69"/>
      <c r="C452" s="68"/>
      <c r="D452" s="69"/>
      <c r="E452" s="69"/>
      <c r="F452" s="69"/>
      <c r="G452" s="79"/>
      <c r="H452" s="69"/>
      <c r="I452" s="69"/>
      <c r="J452" s="68"/>
      <c r="K452" s="80" t="str">
        <f t="shared" si="6"/>
        <v/>
      </c>
      <c r="L452" s="69"/>
      <c r="M452" s="68"/>
      <c r="N452" s="69"/>
    </row>
    <row r="453" spans="1:14" x14ac:dyDescent="0.3">
      <c r="A453" s="69"/>
      <c r="B453" s="69"/>
      <c r="C453" s="68"/>
      <c r="D453" s="69"/>
      <c r="E453" s="69"/>
      <c r="F453" s="69"/>
      <c r="G453" s="79"/>
      <c r="H453" s="69"/>
      <c r="I453" s="69"/>
      <c r="J453" s="68"/>
      <c r="K453" s="80" t="str">
        <f t="shared" ref="K453:K516" si="7">IF(OR(C453="",J453=""),"",J453-C453)</f>
        <v/>
      </c>
      <c r="L453" s="69"/>
      <c r="M453" s="68"/>
      <c r="N453" s="69"/>
    </row>
    <row r="454" spans="1:14" x14ac:dyDescent="0.3">
      <c r="A454" s="69"/>
      <c r="B454" s="69"/>
      <c r="C454" s="68"/>
      <c r="D454" s="69"/>
      <c r="E454" s="69"/>
      <c r="F454" s="69"/>
      <c r="G454" s="79"/>
      <c r="H454" s="69"/>
      <c r="I454" s="69"/>
      <c r="J454" s="68"/>
      <c r="K454" s="80" t="str">
        <f t="shared" si="7"/>
        <v/>
      </c>
      <c r="L454" s="69"/>
      <c r="M454" s="68"/>
      <c r="N454" s="69"/>
    </row>
    <row r="455" spans="1:14" x14ac:dyDescent="0.3">
      <c r="A455" s="69"/>
      <c r="B455" s="69"/>
      <c r="C455" s="68"/>
      <c r="D455" s="69"/>
      <c r="E455" s="69"/>
      <c r="F455" s="69"/>
      <c r="G455" s="79"/>
      <c r="H455" s="69"/>
      <c r="I455" s="69"/>
      <c r="J455" s="68"/>
      <c r="K455" s="80" t="str">
        <f t="shared" si="7"/>
        <v/>
      </c>
      <c r="L455" s="69"/>
      <c r="M455" s="68"/>
      <c r="N455" s="69"/>
    </row>
    <row r="456" spans="1:14" x14ac:dyDescent="0.3">
      <c r="A456" s="69"/>
      <c r="B456" s="69"/>
      <c r="C456" s="68"/>
      <c r="D456" s="69"/>
      <c r="E456" s="69"/>
      <c r="F456" s="69"/>
      <c r="G456" s="79"/>
      <c r="H456" s="69"/>
      <c r="I456" s="69"/>
      <c r="J456" s="68"/>
      <c r="K456" s="80" t="str">
        <f t="shared" si="7"/>
        <v/>
      </c>
      <c r="L456" s="69"/>
      <c r="M456" s="68"/>
      <c r="N456" s="69"/>
    </row>
    <row r="457" spans="1:14" x14ac:dyDescent="0.3">
      <c r="A457" s="69"/>
      <c r="B457" s="69"/>
      <c r="C457" s="68"/>
      <c r="D457" s="69"/>
      <c r="E457" s="69"/>
      <c r="F457" s="69"/>
      <c r="G457" s="79"/>
      <c r="H457" s="69"/>
      <c r="I457" s="69"/>
      <c r="J457" s="68"/>
      <c r="K457" s="80" t="str">
        <f t="shared" si="7"/>
        <v/>
      </c>
      <c r="L457" s="69"/>
      <c r="M457" s="68"/>
      <c r="N457" s="69"/>
    </row>
    <row r="458" spans="1:14" x14ac:dyDescent="0.3">
      <c r="A458" s="69"/>
      <c r="B458" s="69"/>
      <c r="C458" s="68"/>
      <c r="D458" s="69"/>
      <c r="E458" s="69"/>
      <c r="F458" s="69"/>
      <c r="G458" s="79"/>
      <c r="H458" s="69"/>
      <c r="I458" s="69"/>
      <c r="J458" s="68"/>
      <c r="K458" s="80" t="str">
        <f t="shared" si="7"/>
        <v/>
      </c>
      <c r="L458" s="69"/>
      <c r="M458" s="68"/>
      <c r="N458" s="69"/>
    </row>
    <row r="459" spans="1:14" x14ac:dyDescent="0.3">
      <c r="A459" s="69"/>
      <c r="B459" s="69"/>
      <c r="C459" s="68"/>
      <c r="D459" s="69"/>
      <c r="E459" s="69"/>
      <c r="F459" s="69"/>
      <c r="G459" s="79"/>
      <c r="H459" s="69"/>
      <c r="I459" s="69"/>
      <c r="J459" s="68"/>
      <c r="K459" s="80" t="str">
        <f t="shared" si="7"/>
        <v/>
      </c>
      <c r="L459" s="69"/>
      <c r="M459" s="68"/>
      <c r="N459" s="69"/>
    </row>
    <row r="460" spans="1:14" x14ac:dyDescent="0.3">
      <c r="A460" s="69"/>
      <c r="B460" s="69"/>
      <c r="C460" s="68"/>
      <c r="D460" s="69"/>
      <c r="E460" s="69"/>
      <c r="F460" s="69"/>
      <c r="G460" s="79"/>
      <c r="H460" s="69"/>
      <c r="I460" s="69"/>
      <c r="J460" s="68"/>
      <c r="K460" s="80" t="str">
        <f t="shared" si="7"/>
        <v/>
      </c>
      <c r="L460" s="69"/>
      <c r="M460" s="68"/>
      <c r="N460" s="69"/>
    </row>
    <row r="461" spans="1:14" x14ac:dyDescent="0.3">
      <c r="A461" s="69"/>
      <c r="B461" s="69"/>
      <c r="C461" s="68"/>
      <c r="D461" s="69"/>
      <c r="E461" s="69"/>
      <c r="F461" s="69"/>
      <c r="G461" s="79"/>
      <c r="H461" s="69"/>
      <c r="I461" s="69"/>
      <c r="J461" s="68"/>
      <c r="K461" s="80" t="str">
        <f t="shared" si="7"/>
        <v/>
      </c>
      <c r="L461" s="69"/>
      <c r="M461" s="68"/>
      <c r="N461" s="69"/>
    </row>
    <row r="462" spans="1:14" x14ac:dyDescent="0.3">
      <c r="A462" s="69"/>
      <c r="B462" s="69"/>
      <c r="C462" s="68"/>
      <c r="D462" s="69"/>
      <c r="E462" s="69"/>
      <c r="F462" s="69"/>
      <c r="G462" s="79"/>
      <c r="H462" s="69"/>
      <c r="I462" s="69"/>
      <c r="J462" s="68"/>
      <c r="K462" s="80" t="str">
        <f t="shared" si="7"/>
        <v/>
      </c>
      <c r="L462" s="69"/>
      <c r="M462" s="68"/>
      <c r="N462" s="69"/>
    </row>
    <row r="463" spans="1:14" x14ac:dyDescent="0.3">
      <c r="A463" s="69"/>
      <c r="B463" s="69"/>
      <c r="C463" s="68"/>
      <c r="D463" s="69"/>
      <c r="E463" s="69"/>
      <c r="F463" s="69"/>
      <c r="G463" s="79"/>
      <c r="H463" s="69"/>
      <c r="I463" s="69"/>
      <c r="J463" s="68"/>
      <c r="K463" s="80" t="str">
        <f t="shared" si="7"/>
        <v/>
      </c>
      <c r="L463" s="69"/>
      <c r="M463" s="68"/>
      <c r="N463" s="69"/>
    </row>
    <row r="464" spans="1:14" x14ac:dyDescent="0.3">
      <c r="A464" s="69"/>
      <c r="B464" s="69"/>
      <c r="C464" s="68"/>
      <c r="D464" s="69"/>
      <c r="E464" s="69"/>
      <c r="F464" s="69"/>
      <c r="G464" s="79"/>
      <c r="H464" s="69"/>
      <c r="I464" s="69"/>
      <c r="J464" s="68"/>
      <c r="K464" s="80" t="str">
        <f t="shared" si="7"/>
        <v/>
      </c>
      <c r="L464" s="69"/>
      <c r="M464" s="68"/>
      <c r="N464" s="69"/>
    </row>
    <row r="465" spans="1:14" x14ac:dyDescent="0.3">
      <c r="A465" s="69"/>
      <c r="B465" s="69"/>
      <c r="C465" s="68"/>
      <c r="D465" s="69"/>
      <c r="E465" s="69"/>
      <c r="F465" s="69"/>
      <c r="G465" s="79"/>
      <c r="H465" s="69"/>
      <c r="I465" s="69"/>
      <c r="J465" s="68"/>
      <c r="K465" s="80" t="str">
        <f t="shared" si="7"/>
        <v/>
      </c>
      <c r="L465" s="69"/>
      <c r="M465" s="68"/>
      <c r="N465" s="69"/>
    </row>
    <row r="466" spans="1:14" x14ac:dyDescent="0.3">
      <c r="A466" s="69"/>
      <c r="B466" s="69"/>
      <c r="C466" s="68"/>
      <c r="D466" s="69"/>
      <c r="E466" s="69"/>
      <c r="F466" s="69"/>
      <c r="G466" s="79"/>
      <c r="H466" s="69"/>
      <c r="I466" s="69"/>
      <c r="J466" s="68"/>
      <c r="K466" s="80" t="str">
        <f t="shared" si="7"/>
        <v/>
      </c>
      <c r="L466" s="69"/>
      <c r="M466" s="68"/>
      <c r="N466" s="69"/>
    </row>
    <row r="467" spans="1:14" x14ac:dyDescent="0.3">
      <c r="A467" s="69"/>
      <c r="B467" s="69"/>
      <c r="C467" s="68"/>
      <c r="D467" s="69"/>
      <c r="E467" s="69"/>
      <c r="F467" s="69"/>
      <c r="G467" s="79"/>
      <c r="H467" s="69"/>
      <c r="I467" s="69"/>
      <c r="J467" s="68"/>
      <c r="K467" s="80" t="str">
        <f t="shared" si="7"/>
        <v/>
      </c>
      <c r="L467" s="69"/>
      <c r="M467" s="68"/>
      <c r="N467" s="69"/>
    </row>
    <row r="468" spans="1:14" x14ac:dyDescent="0.3">
      <c r="A468" s="69"/>
      <c r="B468" s="69"/>
      <c r="C468" s="68"/>
      <c r="D468" s="69"/>
      <c r="E468" s="69"/>
      <c r="F468" s="69"/>
      <c r="G468" s="79"/>
      <c r="H468" s="69"/>
      <c r="I468" s="69"/>
      <c r="J468" s="68"/>
      <c r="K468" s="80" t="str">
        <f t="shared" si="7"/>
        <v/>
      </c>
      <c r="L468" s="69"/>
      <c r="M468" s="68"/>
      <c r="N468" s="69"/>
    </row>
    <row r="469" spans="1:14" x14ac:dyDescent="0.3">
      <c r="A469" s="69"/>
      <c r="B469" s="69"/>
      <c r="C469" s="68"/>
      <c r="D469" s="69"/>
      <c r="E469" s="69"/>
      <c r="F469" s="69"/>
      <c r="G469" s="79"/>
      <c r="H469" s="69"/>
      <c r="I469" s="69"/>
      <c r="J469" s="68"/>
      <c r="K469" s="80" t="str">
        <f t="shared" si="7"/>
        <v/>
      </c>
      <c r="L469" s="69"/>
      <c r="M469" s="68"/>
      <c r="N469" s="69"/>
    </row>
    <row r="470" spans="1:14" x14ac:dyDescent="0.3">
      <c r="A470" s="69"/>
      <c r="B470" s="69"/>
      <c r="C470" s="68"/>
      <c r="D470" s="69"/>
      <c r="E470" s="69"/>
      <c r="F470" s="69"/>
      <c r="G470" s="79"/>
      <c r="H470" s="69"/>
      <c r="I470" s="69"/>
      <c r="J470" s="68"/>
      <c r="K470" s="80" t="str">
        <f t="shared" si="7"/>
        <v/>
      </c>
      <c r="L470" s="69"/>
      <c r="M470" s="68"/>
      <c r="N470" s="69"/>
    </row>
    <row r="471" spans="1:14" x14ac:dyDescent="0.3">
      <c r="A471" s="69"/>
      <c r="B471" s="69"/>
      <c r="C471" s="68"/>
      <c r="D471" s="69"/>
      <c r="E471" s="69"/>
      <c r="F471" s="69"/>
      <c r="G471" s="79"/>
      <c r="H471" s="69"/>
      <c r="I471" s="69"/>
      <c r="J471" s="68"/>
      <c r="K471" s="80" t="str">
        <f t="shared" si="7"/>
        <v/>
      </c>
      <c r="L471" s="69"/>
      <c r="M471" s="68"/>
      <c r="N471" s="69"/>
    </row>
    <row r="472" spans="1:14" x14ac:dyDescent="0.3">
      <c r="A472" s="69"/>
      <c r="B472" s="69"/>
      <c r="C472" s="68"/>
      <c r="D472" s="69"/>
      <c r="E472" s="69"/>
      <c r="F472" s="69"/>
      <c r="G472" s="79"/>
      <c r="H472" s="69"/>
      <c r="I472" s="69"/>
      <c r="J472" s="68"/>
      <c r="K472" s="80" t="str">
        <f t="shared" si="7"/>
        <v/>
      </c>
      <c r="L472" s="69"/>
      <c r="M472" s="68"/>
      <c r="N472" s="69"/>
    </row>
    <row r="473" spans="1:14" x14ac:dyDescent="0.3">
      <c r="A473" s="69"/>
      <c r="B473" s="69"/>
      <c r="C473" s="68"/>
      <c r="D473" s="69"/>
      <c r="E473" s="69"/>
      <c r="F473" s="69"/>
      <c r="G473" s="79"/>
      <c r="H473" s="69"/>
      <c r="I473" s="69"/>
      <c r="J473" s="68"/>
      <c r="K473" s="80" t="str">
        <f t="shared" si="7"/>
        <v/>
      </c>
      <c r="L473" s="69"/>
      <c r="M473" s="68"/>
      <c r="N473" s="69"/>
    </row>
    <row r="474" spans="1:14" x14ac:dyDescent="0.3">
      <c r="A474" s="69"/>
      <c r="B474" s="69"/>
      <c r="C474" s="68"/>
      <c r="D474" s="69"/>
      <c r="E474" s="69"/>
      <c r="F474" s="69"/>
      <c r="G474" s="79"/>
      <c r="H474" s="69"/>
      <c r="I474" s="69"/>
      <c r="J474" s="68"/>
      <c r="K474" s="80" t="str">
        <f t="shared" si="7"/>
        <v/>
      </c>
      <c r="L474" s="69"/>
      <c r="M474" s="68"/>
      <c r="N474" s="69"/>
    </row>
    <row r="475" spans="1:14" x14ac:dyDescent="0.3">
      <c r="A475" s="69"/>
      <c r="B475" s="69"/>
      <c r="C475" s="68"/>
      <c r="D475" s="69"/>
      <c r="E475" s="69"/>
      <c r="F475" s="69"/>
      <c r="G475" s="79"/>
      <c r="H475" s="69"/>
      <c r="I475" s="69"/>
      <c r="J475" s="68"/>
      <c r="K475" s="80" t="str">
        <f t="shared" si="7"/>
        <v/>
      </c>
      <c r="L475" s="69"/>
      <c r="M475" s="68"/>
      <c r="N475" s="69"/>
    </row>
    <row r="476" spans="1:14" x14ac:dyDescent="0.3">
      <c r="A476" s="69"/>
      <c r="B476" s="69"/>
      <c r="C476" s="68"/>
      <c r="D476" s="69"/>
      <c r="E476" s="69"/>
      <c r="F476" s="69"/>
      <c r="G476" s="79"/>
      <c r="H476" s="69"/>
      <c r="I476" s="69"/>
      <c r="J476" s="68"/>
      <c r="K476" s="80" t="str">
        <f t="shared" si="7"/>
        <v/>
      </c>
      <c r="L476" s="69"/>
      <c r="M476" s="68"/>
      <c r="N476" s="69"/>
    </row>
    <row r="477" spans="1:14" x14ac:dyDescent="0.3">
      <c r="A477" s="69"/>
      <c r="B477" s="69"/>
      <c r="C477" s="68"/>
      <c r="D477" s="69"/>
      <c r="E477" s="69"/>
      <c r="F477" s="69"/>
      <c r="G477" s="79"/>
      <c r="H477" s="69"/>
      <c r="I477" s="69"/>
      <c r="J477" s="68"/>
      <c r="K477" s="80" t="str">
        <f t="shared" si="7"/>
        <v/>
      </c>
      <c r="L477" s="69"/>
      <c r="M477" s="68"/>
      <c r="N477" s="69"/>
    </row>
    <row r="478" spans="1:14" x14ac:dyDescent="0.3">
      <c r="A478" s="69"/>
      <c r="B478" s="69"/>
      <c r="C478" s="68"/>
      <c r="D478" s="69"/>
      <c r="E478" s="69"/>
      <c r="F478" s="69"/>
      <c r="G478" s="79"/>
      <c r="H478" s="69"/>
      <c r="I478" s="69"/>
      <c r="J478" s="68"/>
      <c r="K478" s="80" t="str">
        <f t="shared" si="7"/>
        <v/>
      </c>
      <c r="L478" s="69"/>
      <c r="M478" s="68"/>
      <c r="N478" s="69"/>
    </row>
    <row r="479" spans="1:14" x14ac:dyDescent="0.3">
      <c r="A479" s="69"/>
      <c r="B479" s="69"/>
      <c r="C479" s="68"/>
      <c r="D479" s="69"/>
      <c r="E479" s="69"/>
      <c r="F479" s="69"/>
      <c r="G479" s="79"/>
      <c r="H479" s="69"/>
      <c r="I479" s="69"/>
      <c r="J479" s="68"/>
      <c r="K479" s="80" t="str">
        <f t="shared" si="7"/>
        <v/>
      </c>
      <c r="L479" s="69"/>
      <c r="M479" s="68"/>
      <c r="N479" s="69"/>
    </row>
    <row r="480" spans="1:14" x14ac:dyDescent="0.3">
      <c r="A480" s="69"/>
      <c r="B480" s="69"/>
      <c r="C480" s="68"/>
      <c r="D480" s="69"/>
      <c r="E480" s="69"/>
      <c r="F480" s="69"/>
      <c r="G480" s="79"/>
      <c r="H480" s="69"/>
      <c r="I480" s="69"/>
      <c r="J480" s="68"/>
      <c r="K480" s="80" t="str">
        <f t="shared" si="7"/>
        <v/>
      </c>
      <c r="L480" s="69"/>
      <c r="M480" s="68"/>
      <c r="N480" s="69"/>
    </row>
    <row r="481" spans="1:14" x14ac:dyDescent="0.3">
      <c r="A481" s="69"/>
      <c r="B481" s="69"/>
      <c r="C481" s="68"/>
      <c r="D481" s="69"/>
      <c r="E481" s="69"/>
      <c r="F481" s="69"/>
      <c r="G481" s="79"/>
      <c r="H481" s="69"/>
      <c r="I481" s="69"/>
      <c r="J481" s="68"/>
      <c r="K481" s="80" t="str">
        <f t="shared" si="7"/>
        <v/>
      </c>
      <c r="L481" s="69"/>
      <c r="M481" s="68"/>
      <c r="N481" s="69"/>
    </row>
    <row r="482" spans="1:14" x14ac:dyDescent="0.3">
      <c r="A482" s="69"/>
      <c r="B482" s="69"/>
      <c r="C482" s="68"/>
      <c r="D482" s="69"/>
      <c r="E482" s="69"/>
      <c r="F482" s="69"/>
      <c r="G482" s="79"/>
      <c r="H482" s="69"/>
      <c r="I482" s="69"/>
      <c r="J482" s="68"/>
      <c r="K482" s="80" t="str">
        <f t="shared" si="7"/>
        <v/>
      </c>
      <c r="L482" s="69"/>
      <c r="M482" s="68"/>
      <c r="N482" s="69"/>
    </row>
    <row r="483" spans="1:14" x14ac:dyDescent="0.3">
      <c r="A483" s="69"/>
      <c r="B483" s="69"/>
      <c r="C483" s="68"/>
      <c r="D483" s="69"/>
      <c r="E483" s="69"/>
      <c r="F483" s="69"/>
      <c r="G483" s="79"/>
      <c r="H483" s="69"/>
      <c r="I483" s="69"/>
      <c r="J483" s="68"/>
      <c r="K483" s="80" t="str">
        <f t="shared" si="7"/>
        <v/>
      </c>
      <c r="L483" s="69"/>
      <c r="M483" s="68"/>
      <c r="N483" s="69"/>
    </row>
    <row r="484" spans="1:14" x14ac:dyDescent="0.3">
      <c r="A484" s="69"/>
      <c r="B484" s="69"/>
      <c r="C484" s="68"/>
      <c r="D484" s="69"/>
      <c r="E484" s="69"/>
      <c r="F484" s="69"/>
      <c r="G484" s="79"/>
      <c r="H484" s="69"/>
      <c r="I484" s="69"/>
      <c r="J484" s="68"/>
      <c r="K484" s="80" t="str">
        <f t="shared" si="7"/>
        <v/>
      </c>
      <c r="L484" s="69"/>
      <c r="M484" s="68"/>
      <c r="N484" s="69"/>
    </row>
    <row r="485" spans="1:14" x14ac:dyDescent="0.3">
      <c r="A485" s="69"/>
      <c r="B485" s="69"/>
      <c r="C485" s="68"/>
      <c r="D485" s="69"/>
      <c r="E485" s="69"/>
      <c r="F485" s="69"/>
      <c r="G485" s="79"/>
      <c r="H485" s="69"/>
      <c r="I485" s="69"/>
      <c r="J485" s="68"/>
      <c r="K485" s="80" t="str">
        <f t="shared" si="7"/>
        <v/>
      </c>
      <c r="L485" s="69"/>
      <c r="M485" s="68"/>
      <c r="N485" s="69"/>
    </row>
    <row r="486" spans="1:14" x14ac:dyDescent="0.3">
      <c r="A486" s="69"/>
      <c r="B486" s="69"/>
      <c r="C486" s="68"/>
      <c r="D486" s="69"/>
      <c r="E486" s="69"/>
      <c r="F486" s="69"/>
      <c r="G486" s="79"/>
      <c r="H486" s="69"/>
      <c r="I486" s="69"/>
      <c r="J486" s="68"/>
      <c r="K486" s="80" t="str">
        <f t="shared" si="7"/>
        <v/>
      </c>
      <c r="L486" s="69"/>
      <c r="M486" s="68"/>
      <c r="N486" s="69"/>
    </row>
    <row r="487" spans="1:14" x14ac:dyDescent="0.3">
      <c r="A487" s="69"/>
      <c r="B487" s="69"/>
      <c r="C487" s="68"/>
      <c r="D487" s="69"/>
      <c r="E487" s="69"/>
      <c r="F487" s="69"/>
      <c r="G487" s="79"/>
      <c r="H487" s="69"/>
      <c r="I487" s="69"/>
      <c r="J487" s="68"/>
      <c r="K487" s="80" t="str">
        <f t="shared" si="7"/>
        <v/>
      </c>
      <c r="L487" s="69"/>
      <c r="M487" s="68"/>
      <c r="N487" s="69"/>
    </row>
    <row r="488" spans="1:14" x14ac:dyDescent="0.3">
      <c r="A488" s="69"/>
      <c r="B488" s="69"/>
      <c r="C488" s="68"/>
      <c r="D488" s="69"/>
      <c r="E488" s="69"/>
      <c r="F488" s="69"/>
      <c r="G488" s="79"/>
      <c r="H488" s="69"/>
      <c r="I488" s="69"/>
      <c r="J488" s="68"/>
      <c r="K488" s="80" t="str">
        <f t="shared" si="7"/>
        <v/>
      </c>
      <c r="L488" s="69"/>
      <c r="M488" s="68"/>
      <c r="N488" s="69"/>
    </row>
    <row r="489" spans="1:14" x14ac:dyDescent="0.3">
      <c r="A489" s="69"/>
      <c r="B489" s="69"/>
      <c r="C489" s="68"/>
      <c r="D489" s="69"/>
      <c r="E489" s="69"/>
      <c r="F489" s="69"/>
      <c r="G489" s="79"/>
      <c r="H489" s="69"/>
      <c r="I489" s="69"/>
      <c r="J489" s="68"/>
      <c r="K489" s="80" t="str">
        <f t="shared" si="7"/>
        <v/>
      </c>
      <c r="L489" s="69"/>
      <c r="M489" s="68"/>
      <c r="N489" s="69"/>
    </row>
    <row r="490" spans="1:14" x14ac:dyDescent="0.3">
      <c r="A490" s="69"/>
      <c r="B490" s="69"/>
      <c r="C490" s="68"/>
      <c r="D490" s="69"/>
      <c r="E490" s="69"/>
      <c r="F490" s="69"/>
      <c r="G490" s="79"/>
      <c r="H490" s="69"/>
      <c r="I490" s="69"/>
      <c r="J490" s="68"/>
      <c r="K490" s="80" t="str">
        <f t="shared" si="7"/>
        <v/>
      </c>
      <c r="L490" s="69"/>
      <c r="M490" s="68"/>
      <c r="N490" s="69"/>
    </row>
    <row r="491" spans="1:14" x14ac:dyDescent="0.3">
      <c r="A491" s="69"/>
      <c r="B491" s="69"/>
      <c r="C491" s="68"/>
      <c r="D491" s="69"/>
      <c r="E491" s="69"/>
      <c r="F491" s="69"/>
      <c r="G491" s="79"/>
      <c r="H491" s="69"/>
      <c r="I491" s="69"/>
      <c r="J491" s="68"/>
      <c r="K491" s="80" t="str">
        <f t="shared" si="7"/>
        <v/>
      </c>
      <c r="L491" s="69"/>
      <c r="M491" s="68"/>
      <c r="N491" s="69"/>
    </row>
    <row r="492" spans="1:14" x14ac:dyDescent="0.3">
      <c r="A492" s="69"/>
      <c r="B492" s="69"/>
      <c r="C492" s="68"/>
      <c r="D492" s="69"/>
      <c r="E492" s="69"/>
      <c r="F492" s="69"/>
      <c r="G492" s="79"/>
      <c r="H492" s="69"/>
      <c r="I492" s="69"/>
      <c r="J492" s="68"/>
      <c r="K492" s="80" t="str">
        <f t="shared" si="7"/>
        <v/>
      </c>
      <c r="L492" s="69"/>
      <c r="M492" s="68"/>
      <c r="N492" s="69"/>
    </row>
    <row r="493" spans="1:14" x14ac:dyDescent="0.3">
      <c r="A493" s="69"/>
      <c r="B493" s="69"/>
      <c r="C493" s="68"/>
      <c r="D493" s="69"/>
      <c r="E493" s="69"/>
      <c r="F493" s="69"/>
      <c r="G493" s="79"/>
      <c r="H493" s="69"/>
      <c r="I493" s="69"/>
      <c r="J493" s="68"/>
      <c r="K493" s="80" t="str">
        <f t="shared" si="7"/>
        <v/>
      </c>
      <c r="L493" s="69"/>
      <c r="M493" s="68"/>
      <c r="N493" s="69"/>
    </row>
    <row r="494" spans="1:14" x14ac:dyDescent="0.3">
      <c r="A494" s="69"/>
      <c r="B494" s="69"/>
      <c r="C494" s="68"/>
      <c r="D494" s="69"/>
      <c r="E494" s="69"/>
      <c r="F494" s="69"/>
      <c r="G494" s="79"/>
      <c r="H494" s="69"/>
      <c r="I494" s="69"/>
      <c r="J494" s="68"/>
      <c r="K494" s="80" t="str">
        <f t="shared" si="7"/>
        <v/>
      </c>
      <c r="L494" s="69"/>
      <c r="M494" s="68"/>
      <c r="N494" s="69"/>
    </row>
    <row r="495" spans="1:14" x14ac:dyDescent="0.3">
      <c r="A495" s="69"/>
      <c r="B495" s="69"/>
      <c r="C495" s="68"/>
      <c r="D495" s="69"/>
      <c r="E495" s="69"/>
      <c r="F495" s="69"/>
      <c r="G495" s="79"/>
      <c r="H495" s="69"/>
      <c r="I495" s="69"/>
      <c r="J495" s="68"/>
      <c r="K495" s="80" t="str">
        <f t="shared" si="7"/>
        <v/>
      </c>
      <c r="L495" s="69"/>
      <c r="M495" s="68"/>
      <c r="N495" s="69"/>
    </row>
    <row r="496" spans="1:14" x14ac:dyDescent="0.3">
      <c r="A496" s="69"/>
      <c r="B496" s="69"/>
      <c r="C496" s="68"/>
      <c r="D496" s="69"/>
      <c r="E496" s="69"/>
      <c r="F496" s="69"/>
      <c r="G496" s="79"/>
      <c r="H496" s="69"/>
      <c r="I496" s="69"/>
      <c r="J496" s="68"/>
      <c r="K496" s="80" t="str">
        <f t="shared" si="7"/>
        <v/>
      </c>
      <c r="L496" s="69"/>
      <c r="M496" s="68"/>
      <c r="N496" s="69"/>
    </row>
    <row r="497" spans="1:14" x14ac:dyDescent="0.3">
      <c r="A497" s="69"/>
      <c r="B497" s="69"/>
      <c r="C497" s="68"/>
      <c r="D497" s="69"/>
      <c r="E497" s="69"/>
      <c r="F497" s="69"/>
      <c r="G497" s="79"/>
      <c r="H497" s="69"/>
      <c r="I497" s="69"/>
      <c r="J497" s="68"/>
      <c r="K497" s="80" t="str">
        <f t="shared" si="7"/>
        <v/>
      </c>
      <c r="L497" s="69"/>
      <c r="M497" s="68"/>
      <c r="N497" s="69"/>
    </row>
    <row r="498" spans="1:14" x14ac:dyDescent="0.3">
      <c r="A498" s="69"/>
      <c r="B498" s="69"/>
      <c r="C498" s="68"/>
      <c r="D498" s="69"/>
      <c r="E498" s="69"/>
      <c r="F498" s="69"/>
      <c r="G498" s="79"/>
      <c r="H498" s="69"/>
      <c r="I498" s="69"/>
      <c r="J498" s="68"/>
      <c r="K498" s="80" t="str">
        <f t="shared" si="7"/>
        <v/>
      </c>
      <c r="L498" s="69"/>
      <c r="M498" s="68"/>
      <c r="N498" s="69"/>
    </row>
    <row r="499" spans="1:14" x14ac:dyDescent="0.3">
      <c r="A499" s="69"/>
      <c r="B499" s="69"/>
      <c r="C499" s="68"/>
      <c r="D499" s="69"/>
      <c r="E499" s="69"/>
      <c r="F499" s="69"/>
      <c r="G499" s="79"/>
      <c r="H499" s="69"/>
      <c r="I499" s="69"/>
      <c r="J499" s="68"/>
      <c r="K499" s="80" t="str">
        <f t="shared" si="7"/>
        <v/>
      </c>
      <c r="L499" s="69"/>
      <c r="M499" s="68"/>
      <c r="N499" s="69"/>
    </row>
    <row r="500" spans="1:14" x14ac:dyDescent="0.3">
      <c r="A500" s="69"/>
      <c r="B500" s="69"/>
      <c r="C500" s="68"/>
      <c r="D500" s="69"/>
      <c r="E500" s="69"/>
      <c r="F500" s="69"/>
      <c r="G500" s="79"/>
      <c r="H500" s="69"/>
      <c r="I500" s="69"/>
      <c r="J500" s="68"/>
      <c r="K500" s="80" t="str">
        <f t="shared" si="7"/>
        <v/>
      </c>
      <c r="L500" s="69"/>
      <c r="M500" s="68"/>
      <c r="N500" s="69"/>
    </row>
    <row r="501" spans="1:14" x14ac:dyDescent="0.3">
      <c r="A501" s="69"/>
      <c r="B501" s="69"/>
      <c r="C501" s="68"/>
      <c r="D501" s="69"/>
      <c r="E501" s="69"/>
      <c r="F501" s="69"/>
      <c r="G501" s="79"/>
      <c r="H501" s="69"/>
      <c r="I501" s="69"/>
      <c r="J501" s="68"/>
      <c r="K501" s="80" t="str">
        <f t="shared" si="7"/>
        <v/>
      </c>
      <c r="L501" s="69"/>
      <c r="M501" s="68"/>
      <c r="N501" s="69"/>
    </row>
    <row r="502" spans="1:14" x14ac:dyDescent="0.3">
      <c r="A502" s="69"/>
      <c r="B502" s="69"/>
      <c r="C502" s="68"/>
      <c r="D502" s="69"/>
      <c r="E502" s="69"/>
      <c r="F502" s="69"/>
      <c r="G502" s="79"/>
      <c r="H502" s="69"/>
      <c r="I502" s="69"/>
      <c r="J502" s="68"/>
      <c r="K502" s="80" t="str">
        <f t="shared" si="7"/>
        <v/>
      </c>
      <c r="L502" s="69"/>
      <c r="M502" s="68"/>
      <c r="N502" s="69"/>
    </row>
    <row r="503" spans="1:14" x14ac:dyDescent="0.3">
      <c r="A503" s="69"/>
      <c r="B503" s="69"/>
      <c r="C503" s="68"/>
      <c r="D503" s="69"/>
      <c r="E503" s="69"/>
      <c r="F503" s="69"/>
      <c r="G503" s="79"/>
      <c r="H503" s="69"/>
      <c r="I503" s="69"/>
      <c r="J503" s="68"/>
      <c r="K503" s="80" t="str">
        <f t="shared" si="7"/>
        <v/>
      </c>
      <c r="L503" s="69"/>
      <c r="M503" s="68"/>
      <c r="N503" s="69"/>
    </row>
    <row r="504" spans="1:14" x14ac:dyDescent="0.3">
      <c r="A504" s="69"/>
      <c r="B504" s="69"/>
      <c r="C504" s="68"/>
      <c r="D504" s="69"/>
      <c r="E504" s="69"/>
      <c r="F504" s="69"/>
      <c r="G504" s="79"/>
      <c r="H504" s="69"/>
      <c r="I504" s="69"/>
      <c r="J504" s="68"/>
      <c r="K504" s="80" t="str">
        <f t="shared" si="7"/>
        <v/>
      </c>
      <c r="L504" s="69"/>
      <c r="M504" s="68"/>
      <c r="N504" s="69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Invalid entry" error="Pick a value from the list" xr:uid="{00000000-0002-0000-0900-000000000000}">
          <x14:formula1>
            <xm:f>Projects!$A$5:$A$104</xm:f>
          </x14:formula1>
          <x14:formula2>
            <xm:f>0</xm:f>
          </x14:formula2>
          <xm:sqref>B5:B504</xm:sqref>
        </x14:dataValidation>
        <x14:dataValidation type="list" allowBlank="1" errorTitle="Invalid entry" error="Pick a value from the list" xr:uid="{00000000-0002-0000-0900-000001000000}">
          <x14:formula1>
            <xm:f>Settings!$H$4:$H$8</xm:f>
          </x14:formula1>
          <x14:formula2>
            <xm:f>0</xm:f>
          </x14:formula2>
          <xm:sqref>E5:E504</xm:sqref>
        </x14:dataValidation>
        <x14:dataValidation type="list" allowBlank="1" errorTitle="Invalid entry" error="Pick a value from the list" xr:uid="{00000000-0002-0000-0900-000002000000}">
          <x14:formula1>
            <xm:f>Settings!$I$4:$I$6</xm:f>
          </x14:formula1>
          <x14:formula2>
            <xm:f>0</xm:f>
          </x14:formula2>
          <xm:sqref>I5:I504</xm:sqref>
        </x14:dataValidation>
        <x14:dataValidation type="list" allowBlank="1" errorTitle="Invalid entry" error="Pick a value from the list" xr:uid="{00000000-0002-0000-0900-000003000000}">
          <x14:formula1>
            <xm:f>Settings!$E$4:$E$5</xm:f>
          </x14:formula1>
          <x14:formula2>
            <xm:f>0</xm:f>
          </x14:formula2>
          <xm:sqref>L5:L504</xm:sqref>
        </x14:dataValidation>
        <x14:dataValidation type="list" allowBlank="1" errorTitle="Invalid entry" error="Pick a value from the list" xr:uid="{00000000-0002-0000-0900-000004000000}">
          <x14:formula1>
            <xm:f>Settings!$P$4:$P$30</xm:f>
          </x14:formula1>
          <x14:formula2>
            <xm:f>0</xm:f>
          </x14:formula2>
          <xm:sqref>F5:F504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48235"/>
  </sheetPr>
  <dimension ref="A1:R5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9" customWidth="1"/>
    <col min="2" max="2" width="10" customWidth="1"/>
    <col min="3" max="3" width="12" customWidth="1"/>
    <col min="4" max="4" width="36" customWidth="1"/>
    <col min="5" max="5" width="13" customWidth="1"/>
    <col min="6" max="7" width="10" customWidth="1"/>
    <col min="8" max="9" width="9" customWidth="1"/>
    <col min="10" max="10" width="36" customWidth="1"/>
    <col min="11" max="11" width="12" customWidth="1"/>
    <col min="12" max="12" width="11" customWidth="1"/>
    <col min="13" max="13" width="12" customWidth="1"/>
    <col min="14" max="14" width="11" customWidth="1"/>
    <col min="15" max="16" width="10" customWidth="1"/>
    <col min="17" max="17" width="9" customWidth="1"/>
    <col min="18" max="18" width="10" customWidth="1"/>
  </cols>
  <sheetData>
    <row r="1" spans="1:18" ht="21" x14ac:dyDescent="0.4">
      <c r="A1" s="40" t="s">
        <v>418</v>
      </c>
    </row>
    <row r="2" spans="1:18" x14ac:dyDescent="0.3">
      <c r="A2" s="41" t="s">
        <v>419</v>
      </c>
    </row>
    <row r="4" spans="1:18" ht="31.5" customHeight="1" x14ac:dyDescent="0.3">
      <c r="A4" s="42" t="s">
        <v>420</v>
      </c>
      <c r="B4" s="42" t="s">
        <v>308</v>
      </c>
      <c r="C4" s="42" t="s">
        <v>421</v>
      </c>
      <c r="D4" s="42" t="s">
        <v>422</v>
      </c>
      <c r="E4" s="42" t="s">
        <v>423</v>
      </c>
      <c r="F4" s="42" t="s">
        <v>424</v>
      </c>
      <c r="G4" s="42" t="s">
        <v>425</v>
      </c>
      <c r="H4" s="42" t="s">
        <v>426</v>
      </c>
      <c r="I4" s="42" t="s">
        <v>427</v>
      </c>
      <c r="J4" s="42" t="s">
        <v>428</v>
      </c>
      <c r="K4" s="42" t="s">
        <v>150</v>
      </c>
      <c r="L4" s="42" t="s">
        <v>99</v>
      </c>
      <c r="M4" s="42" t="s">
        <v>429</v>
      </c>
      <c r="N4" s="42" t="s">
        <v>430</v>
      </c>
      <c r="O4" s="42" t="s">
        <v>431</v>
      </c>
      <c r="P4" s="42" t="s">
        <v>432</v>
      </c>
      <c r="Q4" s="42" t="s">
        <v>433</v>
      </c>
      <c r="R4" s="42" t="s">
        <v>434</v>
      </c>
    </row>
    <row r="5" spans="1:18" x14ac:dyDescent="0.3">
      <c r="A5" s="69" t="s">
        <v>435</v>
      </c>
      <c r="B5" s="69" t="s">
        <v>271</v>
      </c>
      <c r="C5" s="68">
        <v>46149</v>
      </c>
      <c r="D5" s="69" t="s">
        <v>436</v>
      </c>
      <c r="E5" s="69" t="s">
        <v>437</v>
      </c>
      <c r="F5" s="69">
        <v>3</v>
      </c>
      <c r="G5" s="69">
        <v>2</v>
      </c>
      <c r="H5" s="67">
        <f t="shared" ref="H5:H68" si="0">IF(OR(F5="",G5=""),"",F5*G5)</f>
        <v>6</v>
      </c>
      <c r="I5" s="67" t="str">
        <f t="shared" ref="I5:I68" si="1">IF(H5="","",IF(H5&gt;=15,"High",IF(H5&gt;=8,"Medium","Low")))</f>
        <v>Low</v>
      </c>
      <c r="J5" s="69" t="s">
        <v>438</v>
      </c>
      <c r="K5" s="69" t="s">
        <v>164</v>
      </c>
      <c r="L5" s="69" t="s">
        <v>439</v>
      </c>
      <c r="M5" s="68">
        <v>46169</v>
      </c>
      <c r="N5" s="69" t="s">
        <v>338</v>
      </c>
      <c r="O5" s="69">
        <v>2</v>
      </c>
      <c r="P5" s="69">
        <v>1</v>
      </c>
      <c r="Q5" s="67">
        <f t="shared" ref="Q5:Q68" si="2">IF(OR(O5="",P5=""),"",O5*P5)</f>
        <v>2</v>
      </c>
      <c r="R5" s="81">
        <f t="shared" ref="R5:R68" si="3">IF(OR(H5="",Q5=""),"",1-Q5/H5)</f>
        <v>0.66666666666666674</v>
      </c>
    </row>
    <row r="6" spans="1:18" x14ac:dyDescent="0.3">
      <c r="A6" s="69" t="s">
        <v>440</v>
      </c>
      <c r="B6" s="69" t="s">
        <v>332</v>
      </c>
      <c r="C6" s="68">
        <v>46145</v>
      </c>
      <c r="D6" s="69" t="s">
        <v>441</v>
      </c>
      <c r="E6" s="69" t="s">
        <v>442</v>
      </c>
      <c r="F6" s="69">
        <v>5</v>
      </c>
      <c r="G6" s="69">
        <v>2</v>
      </c>
      <c r="H6" s="67">
        <f t="shared" si="0"/>
        <v>10</v>
      </c>
      <c r="I6" s="67" t="str">
        <f t="shared" si="1"/>
        <v>Medium</v>
      </c>
      <c r="J6" s="69" t="s">
        <v>443</v>
      </c>
      <c r="K6" s="69" t="s">
        <v>194</v>
      </c>
      <c r="L6" s="69" t="s">
        <v>439</v>
      </c>
      <c r="M6" s="68">
        <v>46179</v>
      </c>
      <c r="N6" s="69" t="s">
        <v>338</v>
      </c>
      <c r="O6" s="69">
        <v>4</v>
      </c>
      <c r="P6" s="69">
        <v>1</v>
      </c>
      <c r="Q6" s="67">
        <f t="shared" si="2"/>
        <v>4</v>
      </c>
      <c r="R6" s="81">
        <f t="shared" si="3"/>
        <v>0.6</v>
      </c>
    </row>
    <row r="7" spans="1:18" x14ac:dyDescent="0.3">
      <c r="A7" s="69" t="s">
        <v>444</v>
      </c>
      <c r="B7" s="69" t="s">
        <v>271</v>
      </c>
      <c r="C7" s="68">
        <v>46197</v>
      </c>
      <c r="D7" s="69" t="s">
        <v>445</v>
      </c>
      <c r="E7" s="69" t="s">
        <v>446</v>
      </c>
      <c r="F7" s="69">
        <v>3</v>
      </c>
      <c r="G7" s="69">
        <v>4</v>
      </c>
      <c r="H7" s="67">
        <f t="shared" si="0"/>
        <v>12</v>
      </c>
      <c r="I7" s="67" t="str">
        <f t="shared" si="1"/>
        <v>Medium</v>
      </c>
      <c r="J7" s="69" t="s">
        <v>447</v>
      </c>
      <c r="K7" s="69" t="s">
        <v>194</v>
      </c>
      <c r="L7" s="69" t="s">
        <v>302</v>
      </c>
      <c r="M7" s="68"/>
      <c r="N7" s="69"/>
      <c r="O7" s="69">
        <v>1</v>
      </c>
      <c r="P7" s="69">
        <v>4</v>
      </c>
      <c r="Q7" s="67">
        <f t="shared" si="2"/>
        <v>4</v>
      </c>
      <c r="R7" s="81">
        <f t="shared" si="3"/>
        <v>0.66666666666666674</v>
      </c>
    </row>
    <row r="8" spans="1:18" x14ac:dyDescent="0.3">
      <c r="A8" s="69" t="s">
        <v>448</v>
      </c>
      <c r="B8" s="69" t="s">
        <v>271</v>
      </c>
      <c r="C8" s="68">
        <v>46270</v>
      </c>
      <c r="D8" s="69" t="s">
        <v>449</v>
      </c>
      <c r="E8" s="69" t="s">
        <v>446</v>
      </c>
      <c r="F8" s="69">
        <v>3</v>
      </c>
      <c r="G8" s="69">
        <v>2</v>
      </c>
      <c r="H8" s="67">
        <f t="shared" si="0"/>
        <v>6</v>
      </c>
      <c r="I8" s="67" t="str">
        <f t="shared" si="1"/>
        <v>Low</v>
      </c>
      <c r="J8" s="69" t="s">
        <v>450</v>
      </c>
      <c r="K8" s="69" t="s">
        <v>159</v>
      </c>
      <c r="L8" s="69" t="s">
        <v>439</v>
      </c>
      <c r="M8" s="68">
        <v>46293</v>
      </c>
      <c r="N8" s="69" t="s">
        <v>338</v>
      </c>
      <c r="O8" s="69">
        <v>1</v>
      </c>
      <c r="P8" s="69">
        <v>1</v>
      </c>
      <c r="Q8" s="67">
        <f t="shared" si="2"/>
        <v>1</v>
      </c>
      <c r="R8" s="81">
        <f t="shared" si="3"/>
        <v>0.83333333333333337</v>
      </c>
    </row>
    <row r="9" spans="1:18" x14ac:dyDescent="0.3">
      <c r="A9" s="69" t="s">
        <v>451</v>
      </c>
      <c r="B9" s="69" t="s">
        <v>329</v>
      </c>
      <c r="C9" s="68">
        <v>46287</v>
      </c>
      <c r="D9" s="69" t="s">
        <v>452</v>
      </c>
      <c r="E9" s="69" t="s">
        <v>453</v>
      </c>
      <c r="F9" s="69">
        <v>5</v>
      </c>
      <c r="G9" s="69">
        <v>4</v>
      </c>
      <c r="H9" s="67">
        <f t="shared" si="0"/>
        <v>20</v>
      </c>
      <c r="I9" s="67" t="str">
        <f t="shared" si="1"/>
        <v>High</v>
      </c>
      <c r="J9" s="69" t="s">
        <v>454</v>
      </c>
      <c r="K9" s="69" t="s">
        <v>201</v>
      </c>
      <c r="L9" s="69" t="s">
        <v>439</v>
      </c>
      <c r="M9" s="68">
        <v>46315</v>
      </c>
      <c r="N9" s="69" t="s">
        <v>338</v>
      </c>
      <c r="O9" s="69">
        <v>2</v>
      </c>
      <c r="P9" s="69">
        <v>2</v>
      </c>
      <c r="Q9" s="67">
        <f t="shared" si="2"/>
        <v>4</v>
      </c>
      <c r="R9" s="81">
        <f t="shared" si="3"/>
        <v>0.8</v>
      </c>
    </row>
    <row r="10" spans="1:18" x14ac:dyDescent="0.3">
      <c r="A10" s="69" t="s">
        <v>455</v>
      </c>
      <c r="B10" s="69" t="s">
        <v>329</v>
      </c>
      <c r="C10" s="68">
        <v>46145</v>
      </c>
      <c r="D10" s="69" t="s">
        <v>456</v>
      </c>
      <c r="E10" s="69" t="s">
        <v>457</v>
      </c>
      <c r="F10" s="69">
        <v>3</v>
      </c>
      <c r="G10" s="69">
        <v>3</v>
      </c>
      <c r="H10" s="67">
        <f t="shared" si="0"/>
        <v>9</v>
      </c>
      <c r="I10" s="67" t="str">
        <f t="shared" si="1"/>
        <v>Medium</v>
      </c>
      <c r="J10" s="69" t="s">
        <v>458</v>
      </c>
      <c r="K10" s="69" t="s">
        <v>201</v>
      </c>
      <c r="L10" s="69" t="s">
        <v>459</v>
      </c>
      <c r="M10" s="68">
        <v>46201</v>
      </c>
      <c r="N10" s="69" t="s">
        <v>328</v>
      </c>
      <c r="O10" s="69">
        <v>1</v>
      </c>
      <c r="P10" s="69">
        <v>2</v>
      </c>
      <c r="Q10" s="67">
        <f t="shared" si="2"/>
        <v>2</v>
      </c>
      <c r="R10" s="81">
        <f t="shared" si="3"/>
        <v>0.77777777777777779</v>
      </c>
    </row>
    <row r="11" spans="1:18" x14ac:dyDescent="0.3">
      <c r="A11" s="69" t="s">
        <v>460</v>
      </c>
      <c r="B11" s="69" t="s">
        <v>332</v>
      </c>
      <c r="C11" s="68">
        <v>46167</v>
      </c>
      <c r="D11" s="69" t="s">
        <v>449</v>
      </c>
      <c r="E11" s="69" t="s">
        <v>446</v>
      </c>
      <c r="F11" s="69">
        <v>3</v>
      </c>
      <c r="G11" s="69">
        <v>2</v>
      </c>
      <c r="H11" s="67">
        <f t="shared" si="0"/>
        <v>6</v>
      </c>
      <c r="I11" s="67" t="str">
        <f t="shared" si="1"/>
        <v>Low</v>
      </c>
      <c r="J11" s="69" t="s">
        <v>450</v>
      </c>
      <c r="K11" s="69" t="s">
        <v>159</v>
      </c>
      <c r="L11" s="69" t="s">
        <v>461</v>
      </c>
      <c r="M11" s="68">
        <v>46203</v>
      </c>
      <c r="N11" s="69" t="s">
        <v>338</v>
      </c>
      <c r="O11" s="69">
        <v>1</v>
      </c>
      <c r="P11" s="69">
        <v>1</v>
      </c>
      <c r="Q11" s="67">
        <f t="shared" si="2"/>
        <v>1</v>
      </c>
      <c r="R11" s="81">
        <f t="shared" si="3"/>
        <v>0.83333333333333337</v>
      </c>
    </row>
    <row r="12" spans="1:18" x14ac:dyDescent="0.3">
      <c r="A12" s="69" t="s">
        <v>462</v>
      </c>
      <c r="B12" s="69" t="s">
        <v>282</v>
      </c>
      <c r="C12" s="68">
        <v>46236</v>
      </c>
      <c r="D12" s="69" t="s">
        <v>445</v>
      </c>
      <c r="E12" s="69" t="s">
        <v>446</v>
      </c>
      <c r="F12" s="69">
        <v>4</v>
      </c>
      <c r="G12" s="69">
        <v>2</v>
      </c>
      <c r="H12" s="67">
        <f t="shared" si="0"/>
        <v>8</v>
      </c>
      <c r="I12" s="67" t="str">
        <f t="shared" si="1"/>
        <v>Medium</v>
      </c>
      <c r="J12" s="69" t="s">
        <v>447</v>
      </c>
      <c r="K12" s="69" t="s">
        <v>183</v>
      </c>
      <c r="L12" s="69" t="s">
        <v>302</v>
      </c>
      <c r="M12" s="68"/>
      <c r="N12" s="69"/>
      <c r="O12" s="69">
        <v>1</v>
      </c>
      <c r="P12" s="69">
        <v>1</v>
      </c>
      <c r="Q12" s="67">
        <f t="shared" si="2"/>
        <v>1</v>
      </c>
      <c r="R12" s="81">
        <f t="shared" si="3"/>
        <v>0.875</v>
      </c>
    </row>
    <row r="13" spans="1:18" x14ac:dyDescent="0.3">
      <c r="A13" s="69" t="s">
        <v>463</v>
      </c>
      <c r="B13" s="69" t="s">
        <v>345</v>
      </c>
      <c r="C13" s="68">
        <v>46249</v>
      </c>
      <c r="D13" s="69" t="s">
        <v>445</v>
      </c>
      <c r="E13" s="69" t="s">
        <v>446</v>
      </c>
      <c r="F13" s="69">
        <v>2</v>
      </c>
      <c r="G13" s="69">
        <v>3</v>
      </c>
      <c r="H13" s="67">
        <f t="shared" si="0"/>
        <v>6</v>
      </c>
      <c r="I13" s="67" t="str">
        <f t="shared" si="1"/>
        <v>Low</v>
      </c>
      <c r="J13" s="69" t="s">
        <v>447</v>
      </c>
      <c r="K13" s="69" t="s">
        <v>164</v>
      </c>
      <c r="L13" s="69" t="s">
        <v>459</v>
      </c>
      <c r="M13" s="68">
        <v>46269</v>
      </c>
      <c r="N13" s="69" t="s">
        <v>328</v>
      </c>
      <c r="O13" s="69">
        <v>1</v>
      </c>
      <c r="P13" s="69">
        <v>2</v>
      </c>
      <c r="Q13" s="67">
        <f t="shared" si="2"/>
        <v>2</v>
      </c>
      <c r="R13" s="81">
        <f t="shared" si="3"/>
        <v>0.66666666666666674</v>
      </c>
    </row>
    <row r="14" spans="1:18" x14ac:dyDescent="0.3">
      <c r="A14" s="69" t="s">
        <v>464</v>
      </c>
      <c r="B14" s="69" t="s">
        <v>329</v>
      </c>
      <c r="C14" s="68">
        <v>46280</v>
      </c>
      <c r="D14" s="69" t="s">
        <v>456</v>
      </c>
      <c r="E14" s="69" t="s">
        <v>457</v>
      </c>
      <c r="F14" s="69">
        <v>5</v>
      </c>
      <c r="G14" s="69">
        <v>3</v>
      </c>
      <c r="H14" s="67">
        <f t="shared" si="0"/>
        <v>15</v>
      </c>
      <c r="I14" s="67" t="str">
        <f t="shared" si="1"/>
        <v>High</v>
      </c>
      <c r="J14" s="69" t="s">
        <v>458</v>
      </c>
      <c r="K14" s="69" t="s">
        <v>170</v>
      </c>
      <c r="L14" s="69" t="s">
        <v>302</v>
      </c>
      <c r="M14" s="68"/>
      <c r="N14" s="69"/>
      <c r="O14" s="69">
        <v>4</v>
      </c>
      <c r="P14" s="69">
        <v>3</v>
      </c>
      <c r="Q14" s="67">
        <f t="shared" si="2"/>
        <v>12</v>
      </c>
      <c r="R14" s="81">
        <f t="shared" si="3"/>
        <v>0.19999999999999996</v>
      </c>
    </row>
    <row r="15" spans="1:18" x14ac:dyDescent="0.3">
      <c r="A15" s="69" t="s">
        <v>465</v>
      </c>
      <c r="B15" s="69" t="s">
        <v>335</v>
      </c>
      <c r="C15" s="68">
        <v>46274</v>
      </c>
      <c r="D15" s="69" t="s">
        <v>436</v>
      </c>
      <c r="E15" s="69" t="s">
        <v>437</v>
      </c>
      <c r="F15" s="69">
        <v>3</v>
      </c>
      <c r="G15" s="69">
        <v>4</v>
      </c>
      <c r="H15" s="67">
        <f t="shared" si="0"/>
        <v>12</v>
      </c>
      <c r="I15" s="67" t="str">
        <f t="shared" si="1"/>
        <v>Medium</v>
      </c>
      <c r="J15" s="69" t="s">
        <v>438</v>
      </c>
      <c r="K15" s="69" t="s">
        <v>201</v>
      </c>
      <c r="L15" s="69" t="s">
        <v>302</v>
      </c>
      <c r="M15" s="68"/>
      <c r="N15" s="69"/>
      <c r="O15" s="69">
        <v>1</v>
      </c>
      <c r="P15" s="69">
        <v>3</v>
      </c>
      <c r="Q15" s="67">
        <f t="shared" si="2"/>
        <v>3</v>
      </c>
      <c r="R15" s="81">
        <f t="shared" si="3"/>
        <v>0.75</v>
      </c>
    </row>
    <row r="16" spans="1:18" x14ac:dyDescent="0.3">
      <c r="A16" s="69" t="s">
        <v>466</v>
      </c>
      <c r="B16" s="69" t="s">
        <v>292</v>
      </c>
      <c r="C16" s="68">
        <v>46247</v>
      </c>
      <c r="D16" s="69" t="s">
        <v>449</v>
      </c>
      <c r="E16" s="69" t="s">
        <v>446</v>
      </c>
      <c r="F16" s="69">
        <v>3</v>
      </c>
      <c r="G16" s="69">
        <v>2</v>
      </c>
      <c r="H16" s="67">
        <f t="shared" si="0"/>
        <v>6</v>
      </c>
      <c r="I16" s="67" t="str">
        <f t="shared" si="1"/>
        <v>Low</v>
      </c>
      <c r="J16" s="69" t="s">
        <v>450</v>
      </c>
      <c r="K16" s="69" t="s">
        <v>183</v>
      </c>
      <c r="L16" s="69" t="s">
        <v>302</v>
      </c>
      <c r="M16" s="68"/>
      <c r="N16" s="69"/>
      <c r="O16" s="69">
        <v>1</v>
      </c>
      <c r="P16" s="69">
        <v>1</v>
      </c>
      <c r="Q16" s="67">
        <f t="shared" si="2"/>
        <v>1</v>
      </c>
      <c r="R16" s="81">
        <f t="shared" si="3"/>
        <v>0.83333333333333337</v>
      </c>
    </row>
    <row r="17" spans="1:18" x14ac:dyDescent="0.3">
      <c r="A17" s="69" t="s">
        <v>467</v>
      </c>
      <c r="B17" s="69" t="s">
        <v>335</v>
      </c>
      <c r="C17" s="68">
        <v>46095</v>
      </c>
      <c r="D17" s="69" t="s">
        <v>436</v>
      </c>
      <c r="E17" s="69" t="s">
        <v>437</v>
      </c>
      <c r="F17" s="69">
        <v>5</v>
      </c>
      <c r="G17" s="69">
        <v>4</v>
      </c>
      <c r="H17" s="67">
        <f t="shared" si="0"/>
        <v>20</v>
      </c>
      <c r="I17" s="67" t="str">
        <f t="shared" si="1"/>
        <v>High</v>
      </c>
      <c r="J17" s="69" t="s">
        <v>438</v>
      </c>
      <c r="K17" s="69" t="s">
        <v>159</v>
      </c>
      <c r="L17" s="69" t="s">
        <v>461</v>
      </c>
      <c r="M17" s="68">
        <v>46131</v>
      </c>
      <c r="N17" s="69" t="s">
        <v>338</v>
      </c>
      <c r="O17" s="69">
        <v>3</v>
      </c>
      <c r="P17" s="69">
        <v>4</v>
      </c>
      <c r="Q17" s="67">
        <f t="shared" si="2"/>
        <v>12</v>
      </c>
      <c r="R17" s="81">
        <f t="shared" si="3"/>
        <v>0.4</v>
      </c>
    </row>
    <row r="18" spans="1:18" x14ac:dyDescent="0.3">
      <c r="A18" s="69" t="s">
        <v>468</v>
      </c>
      <c r="B18" s="69" t="s">
        <v>271</v>
      </c>
      <c r="C18" s="68">
        <v>46151</v>
      </c>
      <c r="D18" s="69" t="s">
        <v>436</v>
      </c>
      <c r="E18" s="69" t="s">
        <v>437</v>
      </c>
      <c r="F18" s="69">
        <v>2</v>
      </c>
      <c r="G18" s="69">
        <v>5</v>
      </c>
      <c r="H18" s="67">
        <f t="shared" si="0"/>
        <v>10</v>
      </c>
      <c r="I18" s="67" t="str">
        <f t="shared" si="1"/>
        <v>Medium</v>
      </c>
      <c r="J18" s="69" t="s">
        <v>438</v>
      </c>
      <c r="K18" s="69" t="s">
        <v>183</v>
      </c>
      <c r="L18" s="69" t="s">
        <v>461</v>
      </c>
      <c r="M18" s="68">
        <v>46221</v>
      </c>
      <c r="N18" s="69" t="s">
        <v>338</v>
      </c>
      <c r="O18" s="69">
        <v>1</v>
      </c>
      <c r="P18" s="69">
        <v>4</v>
      </c>
      <c r="Q18" s="67">
        <f t="shared" si="2"/>
        <v>4</v>
      </c>
      <c r="R18" s="81">
        <f t="shared" si="3"/>
        <v>0.6</v>
      </c>
    </row>
    <row r="19" spans="1:18" x14ac:dyDescent="0.3">
      <c r="A19" s="69" t="s">
        <v>469</v>
      </c>
      <c r="B19" s="69" t="s">
        <v>341</v>
      </c>
      <c r="C19" s="68">
        <v>46055</v>
      </c>
      <c r="D19" s="69" t="s">
        <v>456</v>
      </c>
      <c r="E19" s="69" t="s">
        <v>457</v>
      </c>
      <c r="F19" s="69">
        <v>3</v>
      </c>
      <c r="G19" s="69">
        <v>3</v>
      </c>
      <c r="H19" s="67">
        <f t="shared" si="0"/>
        <v>9</v>
      </c>
      <c r="I19" s="67" t="str">
        <f t="shared" si="1"/>
        <v>Medium</v>
      </c>
      <c r="J19" s="69" t="s">
        <v>458</v>
      </c>
      <c r="K19" s="69" t="s">
        <v>176</v>
      </c>
      <c r="L19" s="69" t="s">
        <v>302</v>
      </c>
      <c r="M19" s="68"/>
      <c r="N19" s="69"/>
      <c r="O19" s="69">
        <v>1</v>
      </c>
      <c r="P19" s="69">
        <v>1</v>
      </c>
      <c r="Q19" s="67">
        <f t="shared" si="2"/>
        <v>1</v>
      </c>
      <c r="R19" s="81">
        <f t="shared" si="3"/>
        <v>0.88888888888888884</v>
      </c>
    </row>
    <row r="20" spans="1:18" x14ac:dyDescent="0.3">
      <c r="A20" s="69" t="s">
        <v>470</v>
      </c>
      <c r="B20" s="69" t="s">
        <v>292</v>
      </c>
      <c r="C20" s="68">
        <v>46187</v>
      </c>
      <c r="D20" s="69" t="s">
        <v>449</v>
      </c>
      <c r="E20" s="69" t="s">
        <v>446</v>
      </c>
      <c r="F20" s="69">
        <v>5</v>
      </c>
      <c r="G20" s="69">
        <v>3</v>
      </c>
      <c r="H20" s="67">
        <f t="shared" si="0"/>
        <v>15</v>
      </c>
      <c r="I20" s="67" t="str">
        <f t="shared" si="1"/>
        <v>High</v>
      </c>
      <c r="J20" s="69" t="s">
        <v>450</v>
      </c>
      <c r="K20" s="69" t="s">
        <v>201</v>
      </c>
      <c r="L20" s="69" t="s">
        <v>302</v>
      </c>
      <c r="M20" s="68"/>
      <c r="N20" s="69"/>
      <c r="O20" s="69">
        <v>4</v>
      </c>
      <c r="P20" s="69">
        <v>1</v>
      </c>
      <c r="Q20" s="67">
        <f t="shared" si="2"/>
        <v>4</v>
      </c>
      <c r="R20" s="81">
        <f t="shared" si="3"/>
        <v>0.73333333333333339</v>
      </c>
    </row>
    <row r="21" spans="1:18" x14ac:dyDescent="0.3">
      <c r="A21" s="69" t="s">
        <v>471</v>
      </c>
      <c r="B21" s="69" t="s">
        <v>332</v>
      </c>
      <c r="C21" s="68">
        <v>46320</v>
      </c>
      <c r="D21" s="69" t="s">
        <v>441</v>
      </c>
      <c r="E21" s="69" t="s">
        <v>442</v>
      </c>
      <c r="F21" s="69">
        <v>4</v>
      </c>
      <c r="G21" s="69">
        <v>5</v>
      </c>
      <c r="H21" s="67">
        <f t="shared" si="0"/>
        <v>20</v>
      </c>
      <c r="I21" s="67" t="str">
        <f t="shared" si="1"/>
        <v>High</v>
      </c>
      <c r="J21" s="69" t="s">
        <v>443</v>
      </c>
      <c r="K21" s="69" t="s">
        <v>201</v>
      </c>
      <c r="L21" s="69" t="s">
        <v>302</v>
      </c>
      <c r="M21" s="68"/>
      <c r="N21" s="69"/>
      <c r="O21" s="69">
        <v>1</v>
      </c>
      <c r="P21" s="69">
        <v>5</v>
      </c>
      <c r="Q21" s="67">
        <f t="shared" si="2"/>
        <v>5</v>
      </c>
      <c r="R21" s="81">
        <f t="shared" si="3"/>
        <v>0.75</v>
      </c>
    </row>
    <row r="22" spans="1:18" x14ac:dyDescent="0.3">
      <c r="A22" s="69" t="s">
        <v>472</v>
      </c>
      <c r="B22" s="69" t="s">
        <v>292</v>
      </c>
      <c r="C22" s="68">
        <v>46214</v>
      </c>
      <c r="D22" s="69" t="s">
        <v>456</v>
      </c>
      <c r="E22" s="69" t="s">
        <v>457</v>
      </c>
      <c r="F22" s="69">
        <v>4</v>
      </c>
      <c r="G22" s="69">
        <v>4</v>
      </c>
      <c r="H22" s="67">
        <f t="shared" si="0"/>
        <v>16</v>
      </c>
      <c r="I22" s="67" t="str">
        <f t="shared" si="1"/>
        <v>High</v>
      </c>
      <c r="J22" s="69" t="s">
        <v>458</v>
      </c>
      <c r="K22" s="69" t="s">
        <v>176</v>
      </c>
      <c r="L22" s="69" t="s">
        <v>302</v>
      </c>
      <c r="M22" s="68"/>
      <c r="N22" s="69"/>
      <c r="O22" s="69">
        <v>1</v>
      </c>
      <c r="P22" s="69">
        <v>3</v>
      </c>
      <c r="Q22" s="67">
        <f t="shared" si="2"/>
        <v>3</v>
      </c>
      <c r="R22" s="81">
        <f t="shared" si="3"/>
        <v>0.8125</v>
      </c>
    </row>
    <row r="23" spans="1:18" x14ac:dyDescent="0.3">
      <c r="A23" s="69" t="s">
        <v>473</v>
      </c>
      <c r="B23" s="69" t="s">
        <v>345</v>
      </c>
      <c r="C23" s="68">
        <v>46158</v>
      </c>
      <c r="D23" s="69" t="s">
        <v>474</v>
      </c>
      <c r="E23" s="69" t="s">
        <v>391</v>
      </c>
      <c r="F23" s="69">
        <v>2</v>
      </c>
      <c r="G23" s="69">
        <v>3</v>
      </c>
      <c r="H23" s="67">
        <f t="shared" si="0"/>
        <v>6</v>
      </c>
      <c r="I23" s="67" t="str">
        <f t="shared" si="1"/>
        <v>Low</v>
      </c>
      <c r="J23" s="69" t="s">
        <v>475</v>
      </c>
      <c r="K23" s="69" t="s">
        <v>188</v>
      </c>
      <c r="L23" s="69" t="s">
        <v>461</v>
      </c>
      <c r="M23" s="68">
        <v>46177</v>
      </c>
      <c r="N23" s="69" t="s">
        <v>338</v>
      </c>
      <c r="O23" s="69">
        <v>1</v>
      </c>
      <c r="P23" s="69">
        <v>3</v>
      </c>
      <c r="Q23" s="67">
        <f t="shared" si="2"/>
        <v>3</v>
      </c>
      <c r="R23" s="81">
        <f t="shared" si="3"/>
        <v>0.5</v>
      </c>
    </row>
    <row r="24" spans="1:18" x14ac:dyDescent="0.3">
      <c r="A24" s="69" t="s">
        <v>476</v>
      </c>
      <c r="B24" s="69" t="s">
        <v>282</v>
      </c>
      <c r="C24" s="68">
        <v>46248</v>
      </c>
      <c r="D24" s="69" t="s">
        <v>441</v>
      </c>
      <c r="E24" s="69" t="s">
        <v>442</v>
      </c>
      <c r="F24" s="69">
        <v>3</v>
      </c>
      <c r="G24" s="69">
        <v>3</v>
      </c>
      <c r="H24" s="67">
        <f t="shared" si="0"/>
        <v>9</v>
      </c>
      <c r="I24" s="67" t="str">
        <f t="shared" si="1"/>
        <v>Medium</v>
      </c>
      <c r="J24" s="69" t="s">
        <v>443</v>
      </c>
      <c r="K24" s="69" t="s">
        <v>176</v>
      </c>
      <c r="L24" s="69" t="s">
        <v>461</v>
      </c>
      <c r="M24" s="68">
        <v>46284</v>
      </c>
      <c r="N24" s="69" t="s">
        <v>338</v>
      </c>
      <c r="O24" s="69">
        <v>2</v>
      </c>
      <c r="P24" s="69">
        <v>2</v>
      </c>
      <c r="Q24" s="67">
        <f t="shared" si="2"/>
        <v>4</v>
      </c>
      <c r="R24" s="81">
        <f t="shared" si="3"/>
        <v>0.55555555555555558</v>
      </c>
    </row>
    <row r="25" spans="1:18" x14ac:dyDescent="0.3">
      <c r="A25" s="69" t="s">
        <v>477</v>
      </c>
      <c r="B25" s="69" t="s">
        <v>282</v>
      </c>
      <c r="C25" s="68">
        <v>46046</v>
      </c>
      <c r="D25" s="69" t="s">
        <v>474</v>
      </c>
      <c r="E25" s="69" t="s">
        <v>391</v>
      </c>
      <c r="F25" s="69">
        <v>5</v>
      </c>
      <c r="G25" s="69">
        <v>5</v>
      </c>
      <c r="H25" s="67">
        <f t="shared" si="0"/>
        <v>25</v>
      </c>
      <c r="I25" s="67" t="str">
        <f t="shared" si="1"/>
        <v>High</v>
      </c>
      <c r="J25" s="69" t="s">
        <v>475</v>
      </c>
      <c r="K25" s="69" t="s">
        <v>188</v>
      </c>
      <c r="L25" s="69" t="s">
        <v>302</v>
      </c>
      <c r="M25" s="68"/>
      <c r="N25" s="69"/>
      <c r="O25" s="69">
        <v>4</v>
      </c>
      <c r="P25" s="69">
        <v>4</v>
      </c>
      <c r="Q25" s="67">
        <f t="shared" si="2"/>
        <v>16</v>
      </c>
      <c r="R25" s="81">
        <f t="shared" si="3"/>
        <v>0.36</v>
      </c>
    </row>
    <row r="26" spans="1:18" x14ac:dyDescent="0.3">
      <c r="A26" s="69" t="s">
        <v>478</v>
      </c>
      <c r="B26" s="69" t="s">
        <v>335</v>
      </c>
      <c r="C26" s="68">
        <v>46038</v>
      </c>
      <c r="D26" s="69" t="s">
        <v>456</v>
      </c>
      <c r="E26" s="69" t="s">
        <v>457</v>
      </c>
      <c r="F26" s="69">
        <v>4</v>
      </c>
      <c r="G26" s="69">
        <v>3</v>
      </c>
      <c r="H26" s="67">
        <f t="shared" si="0"/>
        <v>12</v>
      </c>
      <c r="I26" s="67" t="str">
        <f t="shared" si="1"/>
        <v>Medium</v>
      </c>
      <c r="J26" s="69" t="s">
        <v>458</v>
      </c>
      <c r="K26" s="69" t="s">
        <v>164</v>
      </c>
      <c r="L26" s="69" t="s">
        <v>302</v>
      </c>
      <c r="M26" s="68"/>
      <c r="N26" s="69"/>
      <c r="O26" s="69">
        <v>1</v>
      </c>
      <c r="P26" s="69">
        <v>1</v>
      </c>
      <c r="Q26" s="67">
        <f t="shared" si="2"/>
        <v>1</v>
      </c>
      <c r="R26" s="81">
        <f t="shared" si="3"/>
        <v>0.91666666666666663</v>
      </c>
    </row>
    <row r="27" spans="1:18" x14ac:dyDescent="0.3">
      <c r="A27" s="69" t="s">
        <v>479</v>
      </c>
      <c r="B27" s="69" t="s">
        <v>271</v>
      </c>
      <c r="C27" s="68">
        <v>46150</v>
      </c>
      <c r="D27" s="69" t="s">
        <v>474</v>
      </c>
      <c r="E27" s="69" t="s">
        <v>391</v>
      </c>
      <c r="F27" s="69">
        <v>5</v>
      </c>
      <c r="G27" s="69">
        <v>5</v>
      </c>
      <c r="H27" s="67">
        <f t="shared" si="0"/>
        <v>25</v>
      </c>
      <c r="I27" s="67" t="str">
        <f t="shared" si="1"/>
        <v>High</v>
      </c>
      <c r="J27" s="69" t="s">
        <v>475</v>
      </c>
      <c r="K27" s="69" t="s">
        <v>194</v>
      </c>
      <c r="L27" s="69" t="s">
        <v>459</v>
      </c>
      <c r="M27" s="68">
        <v>46184</v>
      </c>
      <c r="N27" s="69" t="s">
        <v>328</v>
      </c>
      <c r="O27" s="69">
        <v>4</v>
      </c>
      <c r="P27" s="69">
        <v>5</v>
      </c>
      <c r="Q27" s="67">
        <f t="shared" si="2"/>
        <v>20</v>
      </c>
      <c r="R27" s="81">
        <f t="shared" si="3"/>
        <v>0.19999999999999996</v>
      </c>
    </row>
    <row r="28" spans="1:18" x14ac:dyDescent="0.3">
      <c r="A28" s="69" t="s">
        <v>480</v>
      </c>
      <c r="B28" s="69" t="s">
        <v>329</v>
      </c>
      <c r="C28" s="68">
        <v>46253</v>
      </c>
      <c r="D28" s="69" t="s">
        <v>445</v>
      </c>
      <c r="E28" s="69" t="s">
        <v>446</v>
      </c>
      <c r="F28" s="69">
        <v>2</v>
      </c>
      <c r="G28" s="69">
        <v>2</v>
      </c>
      <c r="H28" s="67">
        <f t="shared" si="0"/>
        <v>4</v>
      </c>
      <c r="I28" s="67" t="str">
        <f t="shared" si="1"/>
        <v>Low</v>
      </c>
      <c r="J28" s="69" t="s">
        <v>447</v>
      </c>
      <c r="K28" s="69" t="s">
        <v>176</v>
      </c>
      <c r="L28" s="69" t="s">
        <v>461</v>
      </c>
      <c r="M28" s="68">
        <v>46320</v>
      </c>
      <c r="N28" s="69" t="s">
        <v>338</v>
      </c>
      <c r="O28" s="69">
        <v>1</v>
      </c>
      <c r="P28" s="69">
        <v>2</v>
      </c>
      <c r="Q28" s="67">
        <f t="shared" si="2"/>
        <v>2</v>
      </c>
      <c r="R28" s="81">
        <f t="shared" si="3"/>
        <v>0.5</v>
      </c>
    </row>
    <row r="29" spans="1:18" x14ac:dyDescent="0.3">
      <c r="A29" s="69" t="s">
        <v>481</v>
      </c>
      <c r="B29" s="69" t="s">
        <v>271</v>
      </c>
      <c r="C29" s="68">
        <v>46086</v>
      </c>
      <c r="D29" s="69" t="s">
        <v>482</v>
      </c>
      <c r="E29" s="69" t="s">
        <v>483</v>
      </c>
      <c r="F29" s="69">
        <v>5</v>
      </c>
      <c r="G29" s="69">
        <v>2</v>
      </c>
      <c r="H29" s="67">
        <f t="shared" si="0"/>
        <v>10</v>
      </c>
      <c r="I29" s="67" t="str">
        <f t="shared" si="1"/>
        <v>Medium</v>
      </c>
      <c r="J29" s="69" t="s">
        <v>484</v>
      </c>
      <c r="K29" s="69" t="s">
        <v>183</v>
      </c>
      <c r="L29" s="69" t="s">
        <v>439</v>
      </c>
      <c r="M29" s="68">
        <v>46103</v>
      </c>
      <c r="N29" s="69" t="s">
        <v>338</v>
      </c>
      <c r="O29" s="69">
        <v>4</v>
      </c>
      <c r="P29" s="69">
        <v>1</v>
      </c>
      <c r="Q29" s="67">
        <f t="shared" si="2"/>
        <v>4</v>
      </c>
      <c r="R29" s="81">
        <f t="shared" si="3"/>
        <v>0.6</v>
      </c>
    </row>
    <row r="30" spans="1:18" x14ac:dyDescent="0.3">
      <c r="A30" s="69" t="s">
        <v>485</v>
      </c>
      <c r="B30" s="69" t="s">
        <v>335</v>
      </c>
      <c r="C30" s="68">
        <v>46102</v>
      </c>
      <c r="D30" s="69" t="s">
        <v>456</v>
      </c>
      <c r="E30" s="69" t="s">
        <v>457</v>
      </c>
      <c r="F30" s="69">
        <v>5</v>
      </c>
      <c r="G30" s="69">
        <v>2</v>
      </c>
      <c r="H30" s="67">
        <f t="shared" si="0"/>
        <v>10</v>
      </c>
      <c r="I30" s="67" t="str">
        <f t="shared" si="1"/>
        <v>Medium</v>
      </c>
      <c r="J30" s="69" t="s">
        <v>458</v>
      </c>
      <c r="K30" s="69" t="s">
        <v>159</v>
      </c>
      <c r="L30" s="69" t="s">
        <v>439</v>
      </c>
      <c r="M30" s="68">
        <v>46136</v>
      </c>
      <c r="N30" s="69" t="s">
        <v>338</v>
      </c>
      <c r="O30" s="69">
        <v>3</v>
      </c>
      <c r="P30" s="69">
        <v>1</v>
      </c>
      <c r="Q30" s="67">
        <f t="shared" si="2"/>
        <v>3</v>
      </c>
      <c r="R30" s="81">
        <f t="shared" si="3"/>
        <v>0.7</v>
      </c>
    </row>
    <row r="31" spans="1:18" x14ac:dyDescent="0.3">
      <c r="A31" s="69" t="s">
        <v>486</v>
      </c>
      <c r="B31" s="69" t="s">
        <v>345</v>
      </c>
      <c r="C31" s="68">
        <v>46040</v>
      </c>
      <c r="D31" s="69" t="s">
        <v>456</v>
      </c>
      <c r="E31" s="69" t="s">
        <v>457</v>
      </c>
      <c r="F31" s="69">
        <v>5</v>
      </c>
      <c r="G31" s="69">
        <v>4</v>
      </c>
      <c r="H31" s="67">
        <f t="shared" si="0"/>
        <v>20</v>
      </c>
      <c r="I31" s="67" t="str">
        <f t="shared" si="1"/>
        <v>High</v>
      </c>
      <c r="J31" s="69" t="s">
        <v>458</v>
      </c>
      <c r="K31" s="69" t="s">
        <v>176</v>
      </c>
      <c r="L31" s="69" t="s">
        <v>302</v>
      </c>
      <c r="M31" s="68"/>
      <c r="N31" s="69"/>
      <c r="O31" s="69">
        <v>2</v>
      </c>
      <c r="P31" s="69">
        <v>4</v>
      </c>
      <c r="Q31" s="67">
        <f t="shared" si="2"/>
        <v>8</v>
      </c>
      <c r="R31" s="81">
        <f t="shared" si="3"/>
        <v>0.6</v>
      </c>
    </row>
    <row r="32" spans="1:18" x14ac:dyDescent="0.3">
      <c r="A32" s="69" t="s">
        <v>487</v>
      </c>
      <c r="B32" s="69" t="s">
        <v>335</v>
      </c>
      <c r="C32" s="68">
        <v>46273</v>
      </c>
      <c r="D32" s="69" t="s">
        <v>449</v>
      </c>
      <c r="E32" s="69" t="s">
        <v>446</v>
      </c>
      <c r="F32" s="69">
        <v>5</v>
      </c>
      <c r="G32" s="69">
        <v>4</v>
      </c>
      <c r="H32" s="67">
        <f t="shared" si="0"/>
        <v>20</v>
      </c>
      <c r="I32" s="67" t="str">
        <f t="shared" si="1"/>
        <v>High</v>
      </c>
      <c r="J32" s="69" t="s">
        <v>450</v>
      </c>
      <c r="K32" s="69" t="s">
        <v>194</v>
      </c>
      <c r="L32" s="69" t="s">
        <v>461</v>
      </c>
      <c r="M32" s="68">
        <v>46300</v>
      </c>
      <c r="N32" s="69" t="s">
        <v>338</v>
      </c>
      <c r="O32" s="69">
        <v>4</v>
      </c>
      <c r="P32" s="69">
        <v>3</v>
      </c>
      <c r="Q32" s="67">
        <f t="shared" si="2"/>
        <v>12</v>
      </c>
      <c r="R32" s="81">
        <f t="shared" si="3"/>
        <v>0.4</v>
      </c>
    </row>
    <row r="33" spans="1:18" x14ac:dyDescent="0.3">
      <c r="A33" s="69"/>
      <c r="B33" s="69"/>
      <c r="C33" s="68"/>
      <c r="D33" s="69"/>
      <c r="E33" s="69"/>
      <c r="F33" s="69"/>
      <c r="G33" s="69"/>
      <c r="H33" s="67" t="str">
        <f t="shared" si="0"/>
        <v/>
      </c>
      <c r="I33" s="67" t="str">
        <f t="shared" si="1"/>
        <v/>
      </c>
      <c r="J33" s="69"/>
      <c r="K33" s="69"/>
      <c r="L33" s="69"/>
      <c r="M33" s="68"/>
      <c r="N33" s="69"/>
      <c r="O33" s="69"/>
      <c r="P33" s="69"/>
      <c r="Q33" s="67" t="str">
        <f t="shared" si="2"/>
        <v/>
      </c>
      <c r="R33" s="81" t="str">
        <f t="shared" si="3"/>
        <v/>
      </c>
    </row>
    <row r="34" spans="1:18" x14ac:dyDescent="0.3">
      <c r="A34" s="69"/>
      <c r="B34" s="69"/>
      <c r="C34" s="68"/>
      <c r="D34" s="69"/>
      <c r="E34" s="69"/>
      <c r="F34" s="69"/>
      <c r="G34" s="69"/>
      <c r="H34" s="67" t="str">
        <f t="shared" si="0"/>
        <v/>
      </c>
      <c r="I34" s="67" t="str">
        <f t="shared" si="1"/>
        <v/>
      </c>
      <c r="J34" s="69"/>
      <c r="K34" s="69"/>
      <c r="L34" s="69"/>
      <c r="M34" s="68"/>
      <c r="N34" s="69"/>
      <c r="O34" s="69"/>
      <c r="P34" s="69"/>
      <c r="Q34" s="67" t="str">
        <f t="shared" si="2"/>
        <v/>
      </c>
      <c r="R34" s="81" t="str">
        <f t="shared" si="3"/>
        <v/>
      </c>
    </row>
    <row r="35" spans="1:18" x14ac:dyDescent="0.3">
      <c r="A35" s="69"/>
      <c r="B35" s="69"/>
      <c r="C35" s="68"/>
      <c r="D35" s="69"/>
      <c r="E35" s="69"/>
      <c r="F35" s="69"/>
      <c r="G35" s="69"/>
      <c r="H35" s="67" t="str">
        <f t="shared" si="0"/>
        <v/>
      </c>
      <c r="I35" s="67" t="str">
        <f t="shared" si="1"/>
        <v/>
      </c>
      <c r="J35" s="69"/>
      <c r="K35" s="69"/>
      <c r="L35" s="69"/>
      <c r="M35" s="68"/>
      <c r="N35" s="69"/>
      <c r="O35" s="69"/>
      <c r="P35" s="69"/>
      <c r="Q35" s="67" t="str">
        <f t="shared" si="2"/>
        <v/>
      </c>
      <c r="R35" s="81" t="str">
        <f t="shared" si="3"/>
        <v/>
      </c>
    </row>
    <row r="36" spans="1:18" x14ac:dyDescent="0.3">
      <c r="A36" s="69"/>
      <c r="B36" s="69"/>
      <c r="C36" s="68"/>
      <c r="D36" s="69"/>
      <c r="E36" s="69"/>
      <c r="F36" s="69"/>
      <c r="G36" s="69"/>
      <c r="H36" s="67" t="str">
        <f t="shared" si="0"/>
        <v/>
      </c>
      <c r="I36" s="67" t="str">
        <f t="shared" si="1"/>
        <v/>
      </c>
      <c r="J36" s="69"/>
      <c r="K36" s="69"/>
      <c r="L36" s="69"/>
      <c r="M36" s="68"/>
      <c r="N36" s="69"/>
      <c r="O36" s="69"/>
      <c r="P36" s="69"/>
      <c r="Q36" s="67" t="str">
        <f t="shared" si="2"/>
        <v/>
      </c>
      <c r="R36" s="81" t="str">
        <f t="shared" si="3"/>
        <v/>
      </c>
    </row>
    <row r="37" spans="1:18" x14ac:dyDescent="0.3">
      <c r="A37" s="69"/>
      <c r="B37" s="69"/>
      <c r="C37" s="68"/>
      <c r="D37" s="69"/>
      <c r="E37" s="69"/>
      <c r="F37" s="69"/>
      <c r="G37" s="69"/>
      <c r="H37" s="67" t="str">
        <f t="shared" si="0"/>
        <v/>
      </c>
      <c r="I37" s="67" t="str">
        <f t="shared" si="1"/>
        <v/>
      </c>
      <c r="J37" s="69"/>
      <c r="K37" s="69"/>
      <c r="L37" s="69"/>
      <c r="M37" s="68"/>
      <c r="N37" s="69"/>
      <c r="O37" s="69"/>
      <c r="P37" s="69"/>
      <c r="Q37" s="67" t="str">
        <f t="shared" si="2"/>
        <v/>
      </c>
      <c r="R37" s="81" t="str">
        <f t="shared" si="3"/>
        <v/>
      </c>
    </row>
    <row r="38" spans="1:18" x14ac:dyDescent="0.3">
      <c r="A38" s="69"/>
      <c r="B38" s="69"/>
      <c r="C38" s="68"/>
      <c r="D38" s="69"/>
      <c r="E38" s="69"/>
      <c r="F38" s="69"/>
      <c r="G38" s="69"/>
      <c r="H38" s="67" t="str">
        <f t="shared" si="0"/>
        <v/>
      </c>
      <c r="I38" s="67" t="str">
        <f t="shared" si="1"/>
        <v/>
      </c>
      <c r="J38" s="69"/>
      <c r="K38" s="69"/>
      <c r="L38" s="69"/>
      <c r="M38" s="68"/>
      <c r="N38" s="69"/>
      <c r="O38" s="69"/>
      <c r="P38" s="69"/>
      <c r="Q38" s="67" t="str">
        <f t="shared" si="2"/>
        <v/>
      </c>
      <c r="R38" s="81" t="str">
        <f t="shared" si="3"/>
        <v/>
      </c>
    </row>
    <row r="39" spans="1:18" x14ac:dyDescent="0.3">
      <c r="A39" s="69"/>
      <c r="B39" s="69"/>
      <c r="C39" s="68"/>
      <c r="D39" s="69"/>
      <c r="E39" s="69"/>
      <c r="F39" s="69"/>
      <c r="G39" s="69"/>
      <c r="H39" s="67" t="str">
        <f t="shared" si="0"/>
        <v/>
      </c>
      <c r="I39" s="67" t="str">
        <f t="shared" si="1"/>
        <v/>
      </c>
      <c r="J39" s="69"/>
      <c r="K39" s="69"/>
      <c r="L39" s="69"/>
      <c r="M39" s="68"/>
      <c r="N39" s="69"/>
      <c r="O39" s="69"/>
      <c r="P39" s="69"/>
      <c r="Q39" s="67" t="str">
        <f t="shared" si="2"/>
        <v/>
      </c>
      <c r="R39" s="81" t="str">
        <f t="shared" si="3"/>
        <v/>
      </c>
    </row>
    <row r="40" spans="1:18" x14ac:dyDescent="0.3">
      <c r="A40" s="69"/>
      <c r="B40" s="69"/>
      <c r="C40" s="68"/>
      <c r="D40" s="69"/>
      <c r="E40" s="69"/>
      <c r="F40" s="69"/>
      <c r="G40" s="69"/>
      <c r="H40" s="67" t="str">
        <f t="shared" si="0"/>
        <v/>
      </c>
      <c r="I40" s="67" t="str">
        <f t="shared" si="1"/>
        <v/>
      </c>
      <c r="J40" s="69"/>
      <c r="K40" s="69"/>
      <c r="L40" s="69"/>
      <c r="M40" s="68"/>
      <c r="N40" s="69"/>
      <c r="O40" s="69"/>
      <c r="P40" s="69"/>
      <c r="Q40" s="67" t="str">
        <f t="shared" si="2"/>
        <v/>
      </c>
      <c r="R40" s="81" t="str">
        <f t="shared" si="3"/>
        <v/>
      </c>
    </row>
    <row r="41" spans="1:18" x14ac:dyDescent="0.3">
      <c r="A41" s="69"/>
      <c r="B41" s="69"/>
      <c r="C41" s="68"/>
      <c r="D41" s="69"/>
      <c r="E41" s="69"/>
      <c r="F41" s="69"/>
      <c r="G41" s="69"/>
      <c r="H41" s="67" t="str">
        <f t="shared" si="0"/>
        <v/>
      </c>
      <c r="I41" s="67" t="str">
        <f t="shared" si="1"/>
        <v/>
      </c>
      <c r="J41" s="69"/>
      <c r="K41" s="69"/>
      <c r="L41" s="69"/>
      <c r="M41" s="68"/>
      <c r="N41" s="69"/>
      <c r="O41" s="69"/>
      <c r="P41" s="69"/>
      <c r="Q41" s="67" t="str">
        <f t="shared" si="2"/>
        <v/>
      </c>
      <c r="R41" s="81" t="str">
        <f t="shared" si="3"/>
        <v/>
      </c>
    </row>
    <row r="42" spans="1:18" x14ac:dyDescent="0.3">
      <c r="A42" s="69"/>
      <c r="B42" s="69"/>
      <c r="C42" s="68"/>
      <c r="D42" s="69"/>
      <c r="E42" s="69"/>
      <c r="F42" s="69"/>
      <c r="G42" s="69"/>
      <c r="H42" s="67" t="str">
        <f t="shared" si="0"/>
        <v/>
      </c>
      <c r="I42" s="67" t="str">
        <f t="shared" si="1"/>
        <v/>
      </c>
      <c r="J42" s="69"/>
      <c r="K42" s="69"/>
      <c r="L42" s="69"/>
      <c r="M42" s="68"/>
      <c r="N42" s="69"/>
      <c r="O42" s="69"/>
      <c r="P42" s="69"/>
      <c r="Q42" s="67" t="str">
        <f t="shared" si="2"/>
        <v/>
      </c>
      <c r="R42" s="81" t="str">
        <f t="shared" si="3"/>
        <v/>
      </c>
    </row>
    <row r="43" spans="1:18" x14ac:dyDescent="0.3">
      <c r="A43" s="69"/>
      <c r="B43" s="69"/>
      <c r="C43" s="68"/>
      <c r="D43" s="69"/>
      <c r="E43" s="69"/>
      <c r="F43" s="69"/>
      <c r="G43" s="69"/>
      <c r="H43" s="67" t="str">
        <f t="shared" si="0"/>
        <v/>
      </c>
      <c r="I43" s="67" t="str">
        <f t="shared" si="1"/>
        <v/>
      </c>
      <c r="J43" s="69"/>
      <c r="K43" s="69"/>
      <c r="L43" s="69"/>
      <c r="M43" s="68"/>
      <c r="N43" s="69"/>
      <c r="O43" s="69"/>
      <c r="P43" s="69"/>
      <c r="Q43" s="67" t="str">
        <f t="shared" si="2"/>
        <v/>
      </c>
      <c r="R43" s="81" t="str">
        <f t="shared" si="3"/>
        <v/>
      </c>
    </row>
    <row r="44" spans="1:18" x14ac:dyDescent="0.3">
      <c r="A44" s="69"/>
      <c r="B44" s="69"/>
      <c r="C44" s="68"/>
      <c r="D44" s="69"/>
      <c r="E44" s="69"/>
      <c r="F44" s="69"/>
      <c r="G44" s="69"/>
      <c r="H44" s="67" t="str">
        <f t="shared" si="0"/>
        <v/>
      </c>
      <c r="I44" s="67" t="str">
        <f t="shared" si="1"/>
        <v/>
      </c>
      <c r="J44" s="69"/>
      <c r="K44" s="69"/>
      <c r="L44" s="69"/>
      <c r="M44" s="68"/>
      <c r="N44" s="69"/>
      <c r="O44" s="69"/>
      <c r="P44" s="69"/>
      <c r="Q44" s="67" t="str">
        <f t="shared" si="2"/>
        <v/>
      </c>
      <c r="R44" s="81" t="str">
        <f t="shared" si="3"/>
        <v/>
      </c>
    </row>
    <row r="45" spans="1:18" x14ac:dyDescent="0.3">
      <c r="A45" s="69"/>
      <c r="B45" s="69"/>
      <c r="C45" s="68"/>
      <c r="D45" s="69"/>
      <c r="E45" s="69"/>
      <c r="F45" s="69"/>
      <c r="G45" s="69"/>
      <c r="H45" s="67" t="str">
        <f t="shared" si="0"/>
        <v/>
      </c>
      <c r="I45" s="67" t="str">
        <f t="shared" si="1"/>
        <v/>
      </c>
      <c r="J45" s="69"/>
      <c r="K45" s="69"/>
      <c r="L45" s="69"/>
      <c r="M45" s="68"/>
      <c r="N45" s="69"/>
      <c r="O45" s="69"/>
      <c r="P45" s="69"/>
      <c r="Q45" s="67" t="str">
        <f t="shared" si="2"/>
        <v/>
      </c>
      <c r="R45" s="81" t="str">
        <f t="shared" si="3"/>
        <v/>
      </c>
    </row>
    <row r="46" spans="1:18" x14ac:dyDescent="0.3">
      <c r="A46" s="69"/>
      <c r="B46" s="69"/>
      <c r="C46" s="68"/>
      <c r="D46" s="69"/>
      <c r="E46" s="69"/>
      <c r="F46" s="69"/>
      <c r="G46" s="69"/>
      <c r="H46" s="67" t="str">
        <f t="shared" si="0"/>
        <v/>
      </c>
      <c r="I46" s="67" t="str">
        <f t="shared" si="1"/>
        <v/>
      </c>
      <c r="J46" s="69"/>
      <c r="K46" s="69"/>
      <c r="L46" s="69"/>
      <c r="M46" s="68"/>
      <c r="N46" s="69"/>
      <c r="O46" s="69"/>
      <c r="P46" s="69"/>
      <c r="Q46" s="67" t="str">
        <f t="shared" si="2"/>
        <v/>
      </c>
      <c r="R46" s="81" t="str">
        <f t="shared" si="3"/>
        <v/>
      </c>
    </row>
    <row r="47" spans="1:18" x14ac:dyDescent="0.3">
      <c r="A47" s="69"/>
      <c r="B47" s="69"/>
      <c r="C47" s="68"/>
      <c r="D47" s="69"/>
      <c r="E47" s="69"/>
      <c r="F47" s="69"/>
      <c r="G47" s="69"/>
      <c r="H47" s="67" t="str">
        <f t="shared" si="0"/>
        <v/>
      </c>
      <c r="I47" s="67" t="str">
        <f t="shared" si="1"/>
        <v/>
      </c>
      <c r="J47" s="69"/>
      <c r="K47" s="69"/>
      <c r="L47" s="69"/>
      <c r="M47" s="68"/>
      <c r="N47" s="69"/>
      <c r="O47" s="69"/>
      <c r="P47" s="69"/>
      <c r="Q47" s="67" t="str">
        <f t="shared" si="2"/>
        <v/>
      </c>
      <c r="R47" s="81" t="str">
        <f t="shared" si="3"/>
        <v/>
      </c>
    </row>
    <row r="48" spans="1:18" x14ac:dyDescent="0.3">
      <c r="A48" s="69"/>
      <c r="B48" s="69"/>
      <c r="C48" s="68"/>
      <c r="D48" s="69"/>
      <c r="E48" s="69"/>
      <c r="F48" s="69"/>
      <c r="G48" s="69"/>
      <c r="H48" s="67" t="str">
        <f t="shared" si="0"/>
        <v/>
      </c>
      <c r="I48" s="67" t="str">
        <f t="shared" si="1"/>
        <v/>
      </c>
      <c r="J48" s="69"/>
      <c r="K48" s="69"/>
      <c r="L48" s="69"/>
      <c r="M48" s="68"/>
      <c r="N48" s="69"/>
      <c r="O48" s="69"/>
      <c r="P48" s="69"/>
      <c r="Q48" s="67" t="str">
        <f t="shared" si="2"/>
        <v/>
      </c>
      <c r="R48" s="81" t="str">
        <f t="shared" si="3"/>
        <v/>
      </c>
    </row>
    <row r="49" spans="1:18" x14ac:dyDescent="0.3">
      <c r="A49" s="69"/>
      <c r="B49" s="69"/>
      <c r="C49" s="68"/>
      <c r="D49" s="69"/>
      <c r="E49" s="69"/>
      <c r="F49" s="69"/>
      <c r="G49" s="69"/>
      <c r="H49" s="67" t="str">
        <f t="shared" si="0"/>
        <v/>
      </c>
      <c r="I49" s="67" t="str">
        <f t="shared" si="1"/>
        <v/>
      </c>
      <c r="J49" s="69"/>
      <c r="K49" s="69"/>
      <c r="L49" s="69"/>
      <c r="M49" s="68"/>
      <c r="N49" s="69"/>
      <c r="O49" s="69"/>
      <c r="P49" s="69"/>
      <c r="Q49" s="67" t="str">
        <f t="shared" si="2"/>
        <v/>
      </c>
      <c r="R49" s="81" t="str">
        <f t="shared" si="3"/>
        <v/>
      </c>
    </row>
    <row r="50" spans="1:18" x14ac:dyDescent="0.3">
      <c r="A50" s="69"/>
      <c r="B50" s="69"/>
      <c r="C50" s="68"/>
      <c r="D50" s="69"/>
      <c r="E50" s="69"/>
      <c r="F50" s="69"/>
      <c r="G50" s="69"/>
      <c r="H50" s="67" t="str">
        <f t="shared" si="0"/>
        <v/>
      </c>
      <c r="I50" s="67" t="str">
        <f t="shared" si="1"/>
        <v/>
      </c>
      <c r="J50" s="69"/>
      <c r="K50" s="69"/>
      <c r="L50" s="69"/>
      <c r="M50" s="68"/>
      <c r="N50" s="69"/>
      <c r="O50" s="69"/>
      <c r="P50" s="69"/>
      <c r="Q50" s="67" t="str">
        <f t="shared" si="2"/>
        <v/>
      </c>
      <c r="R50" s="81" t="str">
        <f t="shared" si="3"/>
        <v/>
      </c>
    </row>
    <row r="51" spans="1:18" x14ac:dyDescent="0.3">
      <c r="A51" s="69"/>
      <c r="B51" s="69"/>
      <c r="C51" s="68"/>
      <c r="D51" s="69"/>
      <c r="E51" s="69"/>
      <c r="F51" s="69"/>
      <c r="G51" s="69"/>
      <c r="H51" s="67" t="str">
        <f t="shared" si="0"/>
        <v/>
      </c>
      <c r="I51" s="67" t="str">
        <f t="shared" si="1"/>
        <v/>
      </c>
      <c r="J51" s="69"/>
      <c r="K51" s="69"/>
      <c r="L51" s="69"/>
      <c r="M51" s="68"/>
      <c r="N51" s="69"/>
      <c r="O51" s="69"/>
      <c r="P51" s="69"/>
      <c r="Q51" s="67" t="str">
        <f t="shared" si="2"/>
        <v/>
      </c>
      <c r="R51" s="81" t="str">
        <f t="shared" si="3"/>
        <v/>
      </c>
    </row>
    <row r="52" spans="1:18" x14ac:dyDescent="0.3">
      <c r="A52" s="69"/>
      <c r="B52" s="69"/>
      <c r="C52" s="68"/>
      <c r="D52" s="69"/>
      <c r="E52" s="69"/>
      <c r="F52" s="69"/>
      <c r="G52" s="69"/>
      <c r="H52" s="67" t="str">
        <f t="shared" si="0"/>
        <v/>
      </c>
      <c r="I52" s="67" t="str">
        <f t="shared" si="1"/>
        <v/>
      </c>
      <c r="J52" s="69"/>
      <c r="K52" s="69"/>
      <c r="L52" s="69"/>
      <c r="M52" s="68"/>
      <c r="N52" s="69"/>
      <c r="O52" s="69"/>
      <c r="P52" s="69"/>
      <c r="Q52" s="67" t="str">
        <f t="shared" si="2"/>
        <v/>
      </c>
      <c r="R52" s="81" t="str">
        <f t="shared" si="3"/>
        <v/>
      </c>
    </row>
    <row r="53" spans="1:18" x14ac:dyDescent="0.3">
      <c r="A53" s="69"/>
      <c r="B53" s="69"/>
      <c r="C53" s="68"/>
      <c r="D53" s="69"/>
      <c r="E53" s="69"/>
      <c r="F53" s="69"/>
      <c r="G53" s="69"/>
      <c r="H53" s="67" t="str">
        <f t="shared" si="0"/>
        <v/>
      </c>
      <c r="I53" s="67" t="str">
        <f t="shared" si="1"/>
        <v/>
      </c>
      <c r="J53" s="69"/>
      <c r="K53" s="69"/>
      <c r="L53" s="69"/>
      <c r="M53" s="68"/>
      <c r="N53" s="69"/>
      <c r="O53" s="69"/>
      <c r="P53" s="69"/>
      <c r="Q53" s="67" t="str">
        <f t="shared" si="2"/>
        <v/>
      </c>
      <c r="R53" s="81" t="str">
        <f t="shared" si="3"/>
        <v/>
      </c>
    </row>
    <row r="54" spans="1:18" x14ac:dyDescent="0.3">
      <c r="A54" s="69"/>
      <c r="B54" s="69"/>
      <c r="C54" s="68"/>
      <c r="D54" s="69"/>
      <c r="E54" s="69"/>
      <c r="F54" s="69"/>
      <c r="G54" s="69"/>
      <c r="H54" s="67" t="str">
        <f t="shared" si="0"/>
        <v/>
      </c>
      <c r="I54" s="67" t="str">
        <f t="shared" si="1"/>
        <v/>
      </c>
      <c r="J54" s="69"/>
      <c r="K54" s="69"/>
      <c r="L54" s="69"/>
      <c r="M54" s="68"/>
      <c r="N54" s="69"/>
      <c r="O54" s="69"/>
      <c r="P54" s="69"/>
      <c r="Q54" s="67" t="str">
        <f t="shared" si="2"/>
        <v/>
      </c>
      <c r="R54" s="81" t="str">
        <f t="shared" si="3"/>
        <v/>
      </c>
    </row>
    <row r="55" spans="1:18" x14ac:dyDescent="0.3">
      <c r="A55" s="69"/>
      <c r="B55" s="69"/>
      <c r="C55" s="68"/>
      <c r="D55" s="69"/>
      <c r="E55" s="69"/>
      <c r="F55" s="69"/>
      <c r="G55" s="69"/>
      <c r="H55" s="67" t="str">
        <f t="shared" si="0"/>
        <v/>
      </c>
      <c r="I55" s="67" t="str">
        <f t="shared" si="1"/>
        <v/>
      </c>
      <c r="J55" s="69"/>
      <c r="K55" s="69"/>
      <c r="L55" s="69"/>
      <c r="M55" s="68"/>
      <c r="N55" s="69"/>
      <c r="O55" s="69"/>
      <c r="P55" s="69"/>
      <c r="Q55" s="67" t="str">
        <f t="shared" si="2"/>
        <v/>
      </c>
      <c r="R55" s="81" t="str">
        <f t="shared" si="3"/>
        <v/>
      </c>
    </row>
    <row r="56" spans="1:18" x14ac:dyDescent="0.3">
      <c r="A56" s="69"/>
      <c r="B56" s="69"/>
      <c r="C56" s="68"/>
      <c r="D56" s="69"/>
      <c r="E56" s="69"/>
      <c r="F56" s="69"/>
      <c r="G56" s="69"/>
      <c r="H56" s="67" t="str">
        <f t="shared" si="0"/>
        <v/>
      </c>
      <c r="I56" s="67" t="str">
        <f t="shared" si="1"/>
        <v/>
      </c>
      <c r="J56" s="69"/>
      <c r="K56" s="69"/>
      <c r="L56" s="69"/>
      <c r="M56" s="68"/>
      <c r="N56" s="69"/>
      <c r="O56" s="69"/>
      <c r="P56" s="69"/>
      <c r="Q56" s="67" t="str">
        <f t="shared" si="2"/>
        <v/>
      </c>
      <c r="R56" s="81" t="str">
        <f t="shared" si="3"/>
        <v/>
      </c>
    </row>
    <row r="57" spans="1:18" x14ac:dyDescent="0.3">
      <c r="A57" s="69"/>
      <c r="B57" s="69"/>
      <c r="C57" s="68"/>
      <c r="D57" s="69"/>
      <c r="E57" s="69"/>
      <c r="F57" s="69"/>
      <c r="G57" s="69"/>
      <c r="H57" s="67" t="str">
        <f t="shared" si="0"/>
        <v/>
      </c>
      <c r="I57" s="67" t="str">
        <f t="shared" si="1"/>
        <v/>
      </c>
      <c r="J57" s="69"/>
      <c r="K57" s="69"/>
      <c r="L57" s="69"/>
      <c r="M57" s="68"/>
      <c r="N57" s="69"/>
      <c r="O57" s="69"/>
      <c r="P57" s="69"/>
      <c r="Q57" s="67" t="str">
        <f t="shared" si="2"/>
        <v/>
      </c>
      <c r="R57" s="81" t="str">
        <f t="shared" si="3"/>
        <v/>
      </c>
    </row>
    <row r="58" spans="1:18" x14ac:dyDescent="0.3">
      <c r="A58" s="69"/>
      <c r="B58" s="69"/>
      <c r="C58" s="68"/>
      <c r="D58" s="69"/>
      <c r="E58" s="69"/>
      <c r="F58" s="69"/>
      <c r="G58" s="69"/>
      <c r="H58" s="67" t="str">
        <f t="shared" si="0"/>
        <v/>
      </c>
      <c r="I58" s="67" t="str">
        <f t="shared" si="1"/>
        <v/>
      </c>
      <c r="J58" s="69"/>
      <c r="K58" s="69"/>
      <c r="L58" s="69"/>
      <c r="M58" s="68"/>
      <c r="N58" s="69"/>
      <c r="O58" s="69"/>
      <c r="P58" s="69"/>
      <c r="Q58" s="67" t="str">
        <f t="shared" si="2"/>
        <v/>
      </c>
      <c r="R58" s="81" t="str">
        <f t="shared" si="3"/>
        <v/>
      </c>
    </row>
    <row r="59" spans="1:18" x14ac:dyDescent="0.3">
      <c r="A59" s="69"/>
      <c r="B59" s="69"/>
      <c r="C59" s="68"/>
      <c r="D59" s="69"/>
      <c r="E59" s="69"/>
      <c r="F59" s="69"/>
      <c r="G59" s="69"/>
      <c r="H59" s="67" t="str">
        <f t="shared" si="0"/>
        <v/>
      </c>
      <c r="I59" s="67" t="str">
        <f t="shared" si="1"/>
        <v/>
      </c>
      <c r="J59" s="69"/>
      <c r="K59" s="69"/>
      <c r="L59" s="69"/>
      <c r="M59" s="68"/>
      <c r="N59" s="69"/>
      <c r="O59" s="69"/>
      <c r="P59" s="69"/>
      <c r="Q59" s="67" t="str">
        <f t="shared" si="2"/>
        <v/>
      </c>
      <c r="R59" s="81" t="str">
        <f t="shared" si="3"/>
        <v/>
      </c>
    </row>
    <row r="60" spans="1:18" x14ac:dyDescent="0.3">
      <c r="A60" s="69"/>
      <c r="B60" s="69"/>
      <c r="C60" s="68"/>
      <c r="D60" s="69"/>
      <c r="E60" s="69"/>
      <c r="F60" s="69"/>
      <c r="G60" s="69"/>
      <c r="H60" s="67" t="str">
        <f t="shared" si="0"/>
        <v/>
      </c>
      <c r="I60" s="67" t="str">
        <f t="shared" si="1"/>
        <v/>
      </c>
      <c r="J60" s="69"/>
      <c r="K60" s="69"/>
      <c r="L60" s="69"/>
      <c r="M60" s="68"/>
      <c r="N60" s="69"/>
      <c r="O60" s="69"/>
      <c r="P60" s="69"/>
      <c r="Q60" s="67" t="str">
        <f t="shared" si="2"/>
        <v/>
      </c>
      <c r="R60" s="81" t="str">
        <f t="shared" si="3"/>
        <v/>
      </c>
    </row>
    <row r="61" spans="1:18" x14ac:dyDescent="0.3">
      <c r="A61" s="69"/>
      <c r="B61" s="69"/>
      <c r="C61" s="68"/>
      <c r="D61" s="69"/>
      <c r="E61" s="69"/>
      <c r="F61" s="69"/>
      <c r="G61" s="69"/>
      <c r="H61" s="67" t="str">
        <f t="shared" si="0"/>
        <v/>
      </c>
      <c r="I61" s="67" t="str">
        <f t="shared" si="1"/>
        <v/>
      </c>
      <c r="J61" s="69"/>
      <c r="K61" s="69"/>
      <c r="L61" s="69"/>
      <c r="M61" s="68"/>
      <c r="N61" s="69"/>
      <c r="O61" s="69"/>
      <c r="P61" s="69"/>
      <c r="Q61" s="67" t="str">
        <f t="shared" si="2"/>
        <v/>
      </c>
      <c r="R61" s="81" t="str">
        <f t="shared" si="3"/>
        <v/>
      </c>
    </row>
    <row r="62" spans="1:18" x14ac:dyDescent="0.3">
      <c r="A62" s="69"/>
      <c r="B62" s="69"/>
      <c r="C62" s="68"/>
      <c r="D62" s="69"/>
      <c r="E62" s="69"/>
      <c r="F62" s="69"/>
      <c r="G62" s="69"/>
      <c r="H62" s="67" t="str">
        <f t="shared" si="0"/>
        <v/>
      </c>
      <c r="I62" s="67" t="str">
        <f t="shared" si="1"/>
        <v/>
      </c>
      <c r="J62" s="69"/>
      <c r="K62" s="69"/>
      <c r="L62" s="69"/>
      <c r="M62" s="68"/>
      <c r="N62" s="69"/>
      <c r="O62" s="69"/>
      <c r="P62" s="69"/>
      <c r="Q62" s="67" t="str">
        <f t="shared" si="2"/>
        <v/>
      </c>
      <c r="R62" s="81" t="str">
        <f t="shared" si="3"/>
        <v/>
      </c>
    </row>
    <row r="63" spans="1:18" x14ac:dyDescent="0.3">
      <c r="A63" s="69"/>
      <c r="B63" s="69"/>
      <c r="C63" s="68"/>
      <c r="D63" s="69"/>
      <c r="E63" s="69"/>
      <c r="F63" s="69"/>
      <c r="G63" s="69"/>
      <c r="H63" s="67" t="str">
        <f t="shared" si="0"/>
        <v/>
      </c>
      <c r="I63" s="67" t="str">
        <f t="shared" si="1"/>
        <v/>
      </c>
      <c r="J63" s="69"/>
      <c r="K63" s="69"/>
      <c r="L63" s="69"/>
      <c r="M63" s="68"/>
      <c r="N63" s="69"/>
      <c r="O63" s="69"/>
      <c r="P63" s="69"/>
      <c r="Q63" s="67" t="str">
        <f t="shared" si="2"/>
        <v/>
      </c>
      <c r="R63" s="81" t="str">
        <f t="shared" si="3"/>
        <v/>
      </c>
    </row>
    <row r="64" spans="1:18" x14ac:dyDescent="0.3">
      <c r="A64" s="69"/>
      <c r="B64" s="69"/>
      <c r="C64" s="68"/>
      <c r="D64" s="69"/>
      <c r="E64" s="69"/>
      <c r="F64" s="69"/>
      <c r="G64" s="69"/>
      <c r="H64" s="67" t="str">
        <f t="shared" si="0"/>
        <v/>
      </c>
      <c r="I64" s="67" t="str">
        <f t="shared" si="1"/>
        <v/>
      </c>
      <c r="J64" s="69"/>
      <c r="K64" s="69"/>
      <c r="L64" s="69"/>
      <c r="M64" s="68"/>
      <c r="N64" s="69"/>
      <c r="O64" s="69"/>
      <c r="P64" s="69"/>
      <c r="Q64" s="67" t="str">
        <f t="shared" si="2"/>
        <v/>
      </c>
      <c r="R64" s="81" t="str">
        <f t="shared" si="3"/>
        <v/>
      </c>
    </row>
    <row r="65" spans="1:18" x14ac:dyDescent="0.3">
      <c r="A65" s="69"/>
      <c r="B65" s="69"/>
      <c r="C65" s="68"/>
      <c r="D65" s="69"/>
      <c r="E65" s="69"/>
      <c r="F65" s="69"/>
      <c r="G65" s="69"/>
      <c r="H65" s="67" t="str">
        <f t="shared" si="0"/>
        <v/>
      </c>
      <c r="I65" s="67" t="str">
        <f t="shared" si="1"/>
        <v/>
      </c>
      <c r="J65" s="69"/>
      <c r="K65" s="69"/>
      <c r="L65" s="69"/>
      <c r="M65" s="68"/>
      <c r="N65" s="69"/>
      <c r="O65" s="69"/>
      <c r="P65" s="69"/>
      <c r="Q65" s="67" t="str">
        <f t="shared" si="2"/>
        <v/>
      </c>
      <c r="R65" s="81" t="str">
        <f t="shared" si="3"/>
        <v/>
      </c>
    </row>
    <row r="66" spans="1:18" x14ac:dyDescent="0.3">
      <c r="A66" s="69"/>
      <c r="B66" s="69"/>
      <c r="C66" s="68"/>
      <c r="D66" s="69"/>
      <c r="E66" s="69"/>
      <c r="F66" s="69"/>
      <c r="G66" s="69"/>
      <c r="H66" s="67" t="str">
        <f t="shared" si="0"/>
        <v/>
      </c>
      <c r="I66" s="67" t="str">
        <f t="shared" si="1"/>
        <v/>
      </c>
      <c r="J66" s="69"/>
      <c r="K66" s="69"/>
      <c r="L66" s="69"/>
      <c r="M66" s="68"/>
      <c r="N66" s="69"/>
      <c r="O66" s="69"/>
      <c r="P66" s="69"/>
      <c r="Q66" s="67" t="str">
        <f t="shared" si="2"/>
        <v/>
      </c>
      <c r="R66" s="81" t="str">
        <f t="shared" si="3"/>
        <v/>
      </c>
    </row>
    <row r="67" spans="1:18" x14ac:dyDescent="0.3">
      <c r="A67" s="69"/>
      <c r="B67" s="69"/>
      <c r="C67" s="68"/>
      <c r="D67" s="69"/>
      <c r="E67" s="69"/>
      <c r="F67" s="69"/>
      <c r="G67" s="69"/>
      <c r="H67" s="67" t="str">
        <f t="shared" si="0"/>
        <v/>
      </c>
      <c r="I67" s="67" t="str">
        <f t="shared" si="1"/>
        <v/>
      </c>
      <c r="J67" s="69"/>
      <c r="K67" s="69"/>
      <c r="L67" s="69"/>
      <c r="M67" s="68"/>
      <c r="N67" s="69"/>
      <c r="O67" s="69"/>
      <c r="P67" s="69"/>
      <c r="Q67" s="67" t="str">
        <f t="shared" si="2"/>
        <v/>
      </c>
      <c r="R67" s="81" t="str">
        <f t="shared" si="3"/>
        <v/>
      </c>
    </row>
    <row r="68" spans="1:18" x14ac:dyDescent="0.3">
      <c r="A68" s="69"/>
      <c r="B68" s="69"/>
      <c r="C68" s="68"/>
      <c r="D68" s="69"/>
      <c r="E68" s="69"/>
      <c r="F68" s="69"/>
      <c r="G68" s="69"/>
      <c r="H68" s="67" t="str">
        <f t="shared" si="0"/>
        <v/>
      </c>
      <c r="I68" s="67" t="str">
        <f t="shared" si="1"/>
        <v/>
      </c>
      <c r="J68" s="69"/>
      <c r="K68" s="69"/>
      <c r="L68" s="69"/>
      <c r="M68" s="68"/>
      <c r="N68" s="69"/>
      <c r="O68" s="69"/>
      <c r="P68" s="69"/>
      <c r="Q68" s="67" t="str">
        <f t="shared" si="2"/>
        <v/>
      </c>
      <c r="R68" s="81" t="str">
        <f t="shared" si="3"/>
        <v/>
      </c>
    </row>
    <row r="69" spans="1:18" x14ac:dyDescent="0.3">
      <c r="A69" s="69"/>
      <c r="B69" s="69"/>
      <c r="C69" s="68"/>
      <c r="D69" s="69"/>
      <c r="E69" s="69"/>
      <c r="F69" s="69"/>
      <c r="G69" s="69"/>
      <c r="H69" s="67" t="str">
        <f t="shared" ref="H69:H132" si="4">IF(OR(F69="",G69=""),"",F69*G69)</f>
        <v/>
      </c>
      <c r="I69" s="67" t="str">
        <f t="shared" ref="I69:I132" si="5">IF(H69="","",IF(H69&gt;=15,"High",IF(H69&gt;=8,"Medium","Low")))</f>
        <v/>
      </c>
      <c r="J69" s="69"/>
      <c r="K69" s="69"/>
      <c r="L69" s="69"/>
      <c r="M69" s="68"/>
      <c r="N69" s="69"/>
      <c r="O69" s="69"/>
      <c r="P69" s="69"/>
      <c r="Q69" s="67" t="str">
        <f t="shared" ref="Q69:Q132" si="6">IF(OR(O69="",P69=""),"",O69*P69)</f>
        <v/>
      </c>
      <c r="R69" s="81" t="str">
        <f t="shared" ref="R69:R132" si="7">IF(OR(H69="",Q69=""),"",1-Q69/H69)</f>
        <v/>
      </c>
    </row>
    <row r="70" spans="1:18" x14ac:dyDescent="0.3">
      <c r="A70" s="69"/>
      <c r="B70" s="69"/>
      <c r="C70" s="68"/>
      <c r="D70" s="69"/>
      <c r="E70" s="69"/>
      <c r="F70" s="69"/>
      <c r="G70" s="69"/>
      <c r="H70" s="67" t="str">
        <f t="shared" si="4"/>
        <v/>
      </c>
      <c r="I70" s="67" t="str">
        <f t="shared" si="5"/>
        <v/>
      </c>
      <c r="J70" s="69"/>
      <c r="K70" s="69"/>
      <c r="L70" s="69"/>
      <c r="M70" s="68"/>
      <c r="N70" s="69"/>
      <c r="O70" s="69"/>
      <c r="P70" s="69"/>
      <c r="Q70" s="67" t="str">
        <f t="shared" si="6"/>
        <v/>
      </c>
      <c r="R70" s="81" t="str">
        <f t="shared" si="7"/>
        <v/>
      </c>
    </row>
    <row r="71" spans="1:18" x14ac:dyDescent="0.3">
      <c r="A71" s="69"/>
      <c r="B71" s="69"/>
      <c r="C71" s="68"/>
      <c r="D71" s="69"/>
      <c r="E71" s="69"/>
      <c r="F71" s="69"/>
      <c r="G71" s="69"/>
      <c r="H71" s="67" t="str">
        <f t="shared" si="4"/>
        <v/>
      </c>
      <c r="I71" s="67" t="str">
        <f t="shared" si="5"/>
        <v/>
      </c>
      <c r="J71" s="69"/>
      <c r="K71" s="69"/>
      <c r="L71" s="69"/>
      <c r="M71" s="68"/>
      <c r="N71" s="69"/>
      <c r="O71" s="69"/>
      <c r="P71" s="69"/>
      <c r="Q71" s="67" t="str">
        <f t="shared" si="6"/>
        <v/>
      </c>
      <c r="R71" s="81" t="str">
        <f t="shared" si="7"/>
        <v/>
      </c>
    </row>
    <row r="72" spans="1:18" x14ac:dyDescent="0.3">
      <c r="A72" s="69"/>
      <c r="B72" s="69"/>
      <c r="C72" s="68"/>
      <c r="D72" s="69"/>
      <c r="E72" s="69"/>
      <c r="F72" s="69"/>
      <c r="G72" s="69"/>
      <c r="H72" s="67" t="str">
        <f t="shared" si="4"/>
        <v/>
      </c>
      <c r="I72" s="67" t="str">
        <f t="shared" si="5"/>
        <v/>
      </c>
      <c r="J72" s="69"/>
      <c r="K72" s="69"/>
      <c r="L72" s="69"/>
      <c r="M72" s="68"/>
      <c r="N72" s="69"/>
      <c r="O72" s="69"/>
      <c r="P72" s="69"/>
      <c r="Q72" s="67" t="str">
        <f t="shared" si="6"/>
        <v/>
      </c>
      <c r="R72" s="81" t="str">
        <f t="shared" si="7"/>
        <v/>
      </c>
    </row>
    <row r="73" spans="1:18" x14ac:dyDescent="0.3">
      <c r="A73" s="69"/>
      <c r="B73" s="69"/>
      <c r="C73" s="68"/>
      <c r="D73" s="69"/>
      <c r="E73" s="69"/>
      <c r="F73" s="69"/>
      <c r="G73" s="69"/>
      <c r="H73" s="67" t="str">
        <f t="shared" si="4"/>
        <v/>
      </c>
      <c r="I73" s="67" t="str">
        <f t="shared" si="5"/>
        <v/>
      </c>
      <c r="J73" s="69"/>
      <c r="K73" s="69"/>
      <c r="L73" s="69"/>
      <c r="M73" s="68"/>
      <c r="N73" s="69"/>
      <c r="O73" s="69"/>
      <c r="P73" s="69"/>
      <c r="Q73" s="67" t="str">
        <f t="shared" si="6"/>
        <v/>
      </c>
      <c r="R73" s="81" t="str">
        <f t="shared" si="7"/>
        <v/>
      </c>
    </row>
    <row r="74" spans="1:18" x14ac:dyDescent="0.3">
      <c r="A74" s="69"/>
      <c r="B74" s="69"/>
      <c r="C74" s="68"/>
      <c r="D74" s="69"/>
      <c r="E74" s="69"/>
      <c r="F74" s="69"/>
      <c r="G74" s="69"/>
      <c r="H74" s="67" t="str">
        <f t="shared" si="4"/>
        <v/>
      </c>
      <c r="I74" s="67" t="str">
        <f t="shared" si="5"/>
        <v/>
      </c>
      <c r="J74" s="69"/>
      <c r="K74" s="69"/>
      <c r="L74" s="69"/>
      <c r="M74" s="68"/>
      <c r="N74" s="69"/>
      <c r="O74" s="69"/>
      <c r="P74" s="69"/>
      <c r="Q74" s="67" t="str">
        <f t="shared" si="6"/>
        <v/>
      </c>
      <c r="R74" s="81" t="str">
        <f t="shared" si="7"/>
        <v/>
      </c>
    </row>
    <row r="75" spans="1:18" x14ac:dyDescent="0.3">
      <c r="A75" s="69"/>
      <c r="B75" s="69"/>
      <c r="C75" s="68"/>
      <c r="D75" s="69"/>
      <c r="E75" s="69"/>
      <c r="F75" s="69"/>
      <c r="G75" s="69"/>
      <c r="H75" s="67" t="str">
        <f t="shared" si="4"/>
        <v/>
      </c>
      <c r="I75" s="67" t="str">
        <f t="shared" si="5"/>
        <v/>
      </c>
      <c r="J75" s="69"/>
      <c r="K75" s="69"/>
      <c r="L75" s="69"/>
      <c r="M75" s="68"/>
      <c r="N75" s="69"/>
      <c r="O75" s="69"/>
      <c r="P75" s="69"/>
      <c r="Q75" s="67" t="str">
        <f t="shared" si="6"/>
        <v/>
      </c>
      <c r="R75" s="81" t="str">
        <f t="shared" si="7"/>
        <v/>
      </c>
    </row>
    <row r="76" spans="1:18" x14ac:dyDescent="0.3">
      <c r="A76" s="69"/>
      <c r="B76" s="69"/>
      <c r="C76" s="68"/>
      <c r="D76" s="69"/>
      <c r="E76" s="69"/>
      <c r="F76" s="69"/>
      <c r="G76" s="69"/>
      <c r="H76" s="67" t="str">
        <f t="shared" si="4"/>
        <v/>
      </c>
      <c r="I76" s="67" t="str">
        <f t="shared" si="5"/>
        <v/>
      </c>
      <c r="J76" s="69"/>
      <c r="K76" s="69"/>
      <c r="L76" s="69"/>
      <c r="M76" s="68"/>
      <c r="N76" s="69"/>
      <c r="O76" s="69"/>
      <c r="P76" s="69"/>
      <c r="Q76" s="67" t="str">
        <f t="shared" si="6"/>
        <v/>
      </c>
      <c r="R76" s="81" t="str">
        <f t="shared" si="7"/>
        <v/>
      </c>
    </row>
    <row r="77" spans="1:18" x14ac:dyDescent="0.3">
      <c r="A77" s="69"/>
      <c r="B77" s="69"/>
      <c r="C77" s="68"/>
      <c r="D77" s="69"/>
      <c r="E77" s="69"/>
      <c r="F77" s="69"/>
      <c r="G77" s="69"/>
      <c r="H77" s="67" t="str">
        <f t="shared" si="4"/>
        <v/>
      </c>
      <c r="I77" s="67" t="str">
        <f t="shared" si="5"/>
        <v/>
      </c>
      <c r="J77" s="69"/>
      <c r="K77" s="69"/>
      <c r="L77" s="69"/>
      <c r="M77" s="68"/>
      <c r="N77" s="69"/>
      <c r="O77" s="69"/>
      <c r="P77" s="69"/>
      <c r="Q77" s="67" t="str">
        <f t="shared" si="6"/>
        <v/>
      </c>
      <c r="R77" s="81" t="str">
        <f t="shared" si="7"/>
        <v/>
      </c>
    </row>
    <row r="78" spans="1:18" x14ac:dyDescent="0.3">
      <c r="A78" s="69"/>
      <c r="B78" s="69"/>
      <c r="C78" s="68"/>
      <c r="D78" s="69"/>
      <c r="E78" s="69"/>
      <c r="F78" s="69"/>
      <c r="G78" s="69"/>
      <c r="H78" s="67" t="str">
        <f t="shared" si="4"/>
        <v/>
      </c>
      <c r="I78" s="67" t="str">
        <f t="shared" si="5"/>
        <v/>
      </c>
      <c r="J78" s="69"/>
      <c r="K78" s="69"/>
      <c r="L78" s="69"/>
      <c r="M78" s="68"/>
      <c r="N78" s="69"/>
      <c r="O78" s="69"/>
      <c r="P78" s="69"/>
      <c r="Q78" s="67" t="str">
        <f t="shared" si="6"/>
        <v/>
      </c>
      <c r="R78" s="81" t="str">
        <f t="shared" si="7"/>
        <v/>
      </c>
    </row>
    <row r="79" spans="1:18" x14ac:dyDescent="0.3">
      <c r="A79" s="69"/>
      <c r="B79" s="69"/>
      <c r="C79" s="68"/>
      <c r="D79" s="69"/>
      <c r="E79" s="69"/>
      <c r="F79" s="69"/>
      <c r="G79" s="69"/>
      <c r="H79" s="67" t="str">
        <f t="shared" si="4"/>
        <v/>
      </c>
      <c r="I79" s="67" t="str">
        <f t="shared" si="5"/>
        <v/>
      </c>
      <c r="J79" s="69"/>
      <c r="K79" s="69"/>
      <c r="L79" s="69"/>
      <c r="M79" s="68"/>
      <c r="N79" s="69"/>
      <c r="O79" s="69"/>
      <c r="P79" s="69"/>
      <c r="Q79" s="67" t="str">
        <f t="shared" si="6"/>
        <v/>
      </c>
      <c r="R79" s="81" t="str">
        <f t="shared" si="7"/>
        <v/>
      </c>
    </row>
    <row r="80" spans="1:18" x14ac:dyDescent="0.3">
      <c r="A80" s="69"/>
      <c r="B80" s="69"/>
      <c r="C80" s="68"/>
      <c r="D80" s="69"/>
      <c r="E80" s="69"/>
      <c r="F80" s="69"/>
      <c r="G80" s="69"/>
      <c r="H80" s="67" t="str">
        <f t="shared" si="4"/>
        <v/>
      </c>
      <c r="I80" s="67" t="str">
        <f t="shared" si="5"/>
        <v/>
      </c>
      <c r="J80" s="69"/>
      <c r="K80" s="69"/>
      <c r="L80" s="69"/>
      <c r="M80" s="68"/>
      <c r="N80" s="69"/>
      <c r="O80" s="69"/>
      <c r="P80" s="69"/>
      <c r="Q80" s="67" t="str">
        <f t="shared" si="6"/>
        <v/>
      </c>
      <c r="R80" s="81" t="str">
        <f t="shared" si="7"/>
        <v/>
      </c>
    </row>
    <row r="81" spans="1:18" x14ac:dyDescent="0.3">
      <c r="A81" s="69"/>
      <c r="B81" s="69"/>
      <c r="C81" s="68"/>
      <c r="D81" s="69"/>
      <c r="E81" s="69"/>
      <c r="F81" s="69"/>
      <c r="G81" s="69"/>
      <c r="H81" s="67" t="str">
        <f t="shared" si="4"/>
        <v/>
      </c>
      <c r="I81" s="67" t="str">
        <f t="shared" si="5"/>
        <v/>
      </c>
      <c r="J81" s="69"/>
      <c r="K81" s="69"/>
      <c r="L81" s="69"/>
      <c r="M81" s="68"/>
      <c r="N81" s="69"/>
      <c r="O81" s="69"/>
      <c r="P81" s="69"/>
      <c r="Q81" s="67" t="str">
        <f t="shared" si="6"/>
        <v/>
      </c>
      <c r="R81" s="81" t="str">
        <f t="shared" si="7"/>
        <v/>
      </c>
    </row>
    <row r="82" spans="1:18" x14ac:dyDescent="0.3">
      <c r="A82" s="69"/>
      <c r="B82" s="69"/>
      <c r="C82" s="68"/>
      <c r="D82" s="69"/>
      <c r="E82" s="69"/>
      <c r="F82" s="69"/>
      <c r="G82" s="69"/>
      <c r="H82" s="67" t="str">
        <f t="shared" si="4"/>
        <v/>
      </c>
      <c r="I82" s="67" t="str">
        <f t="shared" si="5"/>
        <v/>
      </c>
      <c r="J82" s="69"/>
      <c r="K82" s="69"/>
      <c r="L82" s="69"/>
      <c r="M82" s="68"/>
      <c r="N82" s="69"/>
      <c r="O82" s="69"/>
      <c r="P82" s="69"/>
      <c r="Q82" s="67" t="str">
        <f t="shared" si="6"/>
        <v/>
      </c>
      <c r="R82" s="81" t="str">
        <f t="shared" si="7"/>
        <v/>
      </c>
    </row>
    <row r="83" spans="1:18" x14ac:dyDescent="0.3">
      <c r="A83" s="69"/>
      <c r="B83" s="69"/>
      <c r="C83" s="68"/>
      <c r="D83" s="69"/>
      <c r="E83" s="69"/>
      <c r="F83" s="69"/>
      <c r="G83" s="69"/>
      <c r="H83" s="67" t="str">
        <f t="shared" si="4"/>
        <v/>
      </c>
      <c r="I83" s="67" t="str">
        <f t="shared" si="5"/>
        <v/>
      </c>
      <c r="J83" s="69"/>
      <c r="K83" s="69"/>
      <c r="L83" s="69"/>
      <c r="M83" s="68"/>
      <c r="N83" s="69"/>
      <c r="O83" s="69"/>
      <c r="P83" s="69"/>
      <c r="Q83" s="67" t="str">
        <f t="shared" si="6"/>
        <v/>
      </c>
      <c r="R83" s="81" t="str">
        <f t="shared" si="7"/>
        <v/>
      </c>
    </row>
    <row r="84" spans="1:18" x14ac:dyDescent="0.3">
      <c r="A84" s="69"/>
      <c r="B84" s="69"/>
      <c r="C84" s="68"/>
      <c r="D84" s="69"/>
      <c r="E84" s="69"/>
      <c r="F84" s="69"/>
      <c r="G84" s="69"/>
      <c r="H84" s="67" t="str">
        <f t="shared" si="4"/>
        <v/>
      </c>
      <c r="I84" s="67" t="str">
        <f t="shared" si="5"/>
        <v/>
      </c>
      <c r="J84" s="69"/>
      <c r="K84" s="69"/>
      <c r="L84" s="69"/>
      <c r="M84" s="68"/>
      <c r="N84" s="69"/>
      <c r="O84" s="69"/>
      <c r="P84" s="69"/>
      <c r="Q84" s="67" t="str">
        <f t="shared" si="6"/>
        <v/>
      </c>
      <c r="R84" s="81" t="str">
        <f t="shared" si="7"/>
        <v/>
      </c>
    </row>
    <row r="85" spans="1:18" x14ac:dyDescent="0.3">
      <c r="A85" s="69"/>
      <c r="B85" s="69"/>
      <c r="C85" s="68"/>
      <c r="D85" s="69"/>
      <c r="E85" s="69"/>
      <c r="F85" s="69"/>
      <c r="G85" s="69"/>
      <c r="H85" s="67" t="str">
        <f t="shared" si="4"/>
        <v/>
      </c>
      <c r="I85" s="67" t="str">
        <f t="shared" si="5"/>
        <v/>
      </c>
      <c r="J85" s="69"/>
      <c r="K85" s="69"/>
      <c r="L85" s="69"/>
      <c r="M85" s="68"/>
      <c r="N85" s="69"/>
      <c r="O85" s="69"/>
      <c r="P85" s="69"/>
      <c r="Q85" s="67" t="str">
        <f t="shared" si="6"/>
        <v/>
      </c>
      <c r="R85" s="81" t="str">
        <f t="shared" si="7"/>
        <v/>
      </c>
    </row>
    <row r="86" spans="1:18" x14ac:dyDescent="0.3">
      <c r="A86" s="69"/>
      <c r="B86" s="69"/>
      <c r="C86" s="68"/>
      <c r="D86" s="69"/>
      <c r="E86" s="69"/>
      <c r="F86" s="69"/>
      <c r="G86" s="69"/>
      <c r="H86" s="67" t="str">
        <f t="shared" si="4"/>
        <v/>
      </c>
      <c r="I86" s="67" t="str">
        <f t="shared" si="5"/>
        <v/>
      </c>
      <c r="J86" s="69"/>
      <c r="K86" s="69"/>
      <c r="L86" s="69"/>
      <c r="M86" s="68"/>
      <c r="N86" s="69"/>
      <c r="O86" s="69"/>
      <c r="P86" s="69"/>
      <c r="Q86" s="67" t="str">
        <f t="shared" si="6"/>
        <v/>
      </c>
      <c r="R86" s="81" t="str">
        <f t="shared" si="7"/>
        <v/>
      </c>
    </row>
    <row r="87" spans="1:18" x14ac:dyDescent="0.3">
      <c r="A87" s="69"/>
      <c r="B87" s="69"/>
      <c r="C87" s="68"/>
      <c r="D87" s="69"/>
      <c r="E87" s="69"/>
      <c r="F87" s="69"/>
      <c r="G87" s="69"/>
      <c r="H87" s="67" t="str">
        <f t="shared" si="4"/>
        <v/>
      </c>
      <c r="I87" s="67" t="str">
        <f t="shared" si="5"/>
        <v/>
      </c>
      <c r="J87" s="69"/>
      <c r="K87" s="69"/>
      <c r="L87" s="69"/>
      <c r="M87" s="68"/>
      <c r="N87" s="69"/>
      <c r="O87" s="69"/>
      <c r="P87" s="69"/>
      <c r="Q87" s="67" t="str">
        <f t="shared" si="6"/>
        <v/>
      </c>
      <c r="R87" s="81" t="str">
        <f t="shared" si="7"/>
        <v/>
      </c>
    </row>
    <row r="88" spans="1:18" x14ac:dyDescent="0.3">
      <c r="A88" s="69"/>
      <c r="B88" s="69"/>
      <c r="C88" s="68"/>
      <c r="D88" s="69"/>
      <c r="E88" s="69"/>
      <c r="F88" s="69"/>
      <c r="G88" s="69"/>
      <c r="H88" s="67" t="str">
        <f t="shared" si="4"/>
        <v/>
      </c>
      <c r="I88" s="67" t="str">
        <f t="shared" si="5"/>
        <v/>
      </c>
      <c r="J88" s="69"/>
      <c r="K88" s="69"/>
      <c r="L88" s="69"/>
      <c r="M88" s="68"/>
      <c r="N88" s="69"/>
      <c r="O88" s="69"/>
      <c r="P88" s="69"/>
      <c r="Q88" s="67" t="str">
        <f t="shared" si="6"/>
        <v/>
      </c>
      <c r="R88" s="81" t="str">
        <f t="shared" si="7"/>
        <v/>
      </c>
    </row>
    <row r="89" spans="1:18" x14ac:dyDescent="0.3">
      <c r="A89" s="69"/>
      <c r="B89" s="69"/>
      <c r="C89" s="68"/>
      <c r="D89" s="69"/>
      <c r="E89" s="69"/>
      <c r="F89" s="69"/>
      <c r="G89" s="69"/>
      <c r="H89" s="67" t="str">
        <f t="shared" si="4"/>
        <v/>
      </c>
      <c r="I89" s="67" t="str">
        <f t="shared" si="5"/>
        <v/>
      </c>
      <c r="J89" s="69"/>
      <c r="K89" s="69"/>
      <c r="L89" s="69"/>
      <c r="M89" s="68"/>
      <c r="N89" s="69"/>
      <c r="O89" s="69"/>
      <c r="P89" s="69"/>
      <c r="Q89" s="67" t="str">
        <f t="shared" si="6"/>
        <v/>
      </c>
      <c r="R89" s="81" t="str">
        <f t="shared" si="7"/>
        <v/>
      </c>
    </row>
    <row r="90" spans="1:18" x14ac:dyDescent="0.3">
      <c r="A90" s="69"/>
      <c r="B90" s="69"/>
      <c r="C90" s="68"/>
      <c r="D90" s="69"/>
      <c r="E90" s="69"/>
      <c r="F90" s="69"/>
      <c r="G90" s="69"/>
      <c r="H90" s="67" t="str">
        <f t="shared" si="4"/>
        <v/>
      </c>
      <c r="I90" s="67" t="str">
        <f t="shared" si="5"/>
        <v/>
      </c>
      <c r="J90" s="69"/>
      <c r="K90" s="69"/>
      <c r="L90" s="69"/>
      <c r="M90" s="68"/>
      <c r="N90" s="69"/>
      <c r="O90" s="69"/>
      <c r="P90" s="69"/>
      <c r="Q90" s="67" t="str">
        <f t="shared" si="6"/>
        <v/>
      </c>
      <c r="R90" s="81" t="str">
        <f t="shared" si="7"/>
        <v/>
      </c>
    </row>
    <row r="91" spans="1:18" x14ac:dyDescent="0.3">
      <c r="A91" s="69"/>
      <c r="B91" s="69"/>
      <c r="C91" s="68"/>
      <c r="D91" s="69"/>
      <c r="E91" s="69"/>
      <c r="F91" s="69"/>
      <c r="G91" s="69"/>
      <c r="H91" s="67" t="str">
        <f t="shared" si="4"/>
        <v/>
      </c>
      <c r="I91" s="67" t="str">
        <f t="shared" si="5"/>
        <v/>
      </c>
      <c r="J91" s="69"/>
      <c r="K91" s="69"/>
      <c r="L91" s="69"/>
      <c r="M91" s="68"/>
      <c r="N91" s="69"/>
      <c r="O91" s="69"/>
      <c r="P91" s="69"/>
      <c r="Q91" s="67" t="str">
        <f t="shared" si="6"/>
        <v/>
      </c>
      <c r="R91" s="81" t="str">
        <f t="shared" si="7"/>
        <v/>
      </c>
    </row>
    <row r="92" spans="1:18" x14ac:dyDescent="0.3">
      <c r="A92" s="69"/>
      <c r="B92" s="69"/>
      <c r="C92" s="68"/>
      <c r="D92" s="69"/>
      <c r="E92" s="69"/>
      <c r="F92" s="69"/>
      <c r="G92" s="69"/>
      <c r="H92" s="67" t="str">
        <f t="shared" si="4"/>
        <v/>
      </c>
      <c r="I92" s="67" t="str">
        <f t="shared" si="5"/>
        <v/>
      </c>
      <c r="J92" s="69"/>
      <c r="K92" s="69"/>
      <c r="L92" s="69"/>
      <c r="M92" s="68"/>
      <c r="N92" s="69"/>
      <c r="O92" s="69"/>
      <c r="P92" s="69"/>
      <c r="Q92" s="67" t="str">
        <f t="shared" si="6"/>
        <v/>
      </c>
      <c r="R92" s="81" t="str">
        <f t="shared" si="7"/>
        <v/>
      </c>
    </row>
    <row r="93" spans="1:18" x14ac:dyDescent="0.3">
      <c r="A93" s="69"/>
      <c r="B93" s="69"/>
      <c r="C93" s="68"/>
      <c r="D93" s="69"/>
      <c r="E93" s="69"/>
      <c r="F93" s="69"/>
      <c r="G93" s="69"/>
      <c r="H93" s="67" t="str">
        <f t="shared" si="4"/>
        <v/>
      </c>
      <c r="I93" s="67" t="str">
        <f t="shared" si="5"/>
        <v/>
      </c>
      <c r="J93" s="69"/>
      <c r="K93" s="69"/>
      <c r="L93" s="69"/>
      <c r="M93" s="68"/>
      <c r="N93" s="69"/>
      <c r="O93" s="69"/>
      <c r="P93" s="69"/>
      <c r="Q93" s="67" t="str">
        <f t="shared" si="6"/>
        <v/>
      </c>
      <c r="R93" s="81" t="str">
        <f t="shared" si="7"/>
        <v/>
      </c>
    </row>
    <row r="94" spans="1:18" x14ac:dyDescent="0.3">
      <c r="A94" s="69"/>
      <c r="B94" s="69"/>
      <c r="C94" s="68"/>
      <c r="D94" s="69"/>
      <c r="E94" s="69"/>
      <c r="F94" s="69"/>
      <c r="G94" s="69"/>
      <c r="H94" s="67" t="str">
        <f t="shared" si="4"/>
        <v/>
      </c>
      <c r="I94" s="67" t="str">
        <f t="shared" si="5"/>
        <v/>
      </c>
      <c r="J94" s="69"/>
      <c r="K94" s="69"/>
      <c r="L94" s="69"/>
      <c r="M94" s="68"/>
      <c r="N94" s="69"/>
      <c r="O94" s="69"/>
      <c r="P94" s="69"/>
      <c r="Q94" s="67" t="str">
        <f t="shared" si="6"/>
        <v/>
      </c>
      <c r="R94" s="81" t="str">
        <f t="shared" si="7"/>
        <v/>
      </c>
    </row>
    <row r="95" spans="1:18" x14ac:dyDescent="0.3">
      <c r="A95" s="69"/>
      <c r="B95" s="69"/>
      <c r="C95" s="68"/>
      <c r="D95" s="69"/>
      <c r="E95" s="69"/>
      <c r="F95" s="69"/>
      <c r="G95" s="69"/>
      <c r="H95" s="67" t="str">
        <f t="shared" si="4"/>
        <v/>
      </c>
      <c r="I95" s="67" t="str">
        <f t="shared" si="5"/>
        <v/>
      </c>
      <c r="J95" s="69"/>
      <c r="K95" s="69"/>
      <c r="L95" s="69"/>
      <c r="M95" s="68"/>
      <c r="N95" s="69"/>
      <c r="O95" s="69"/>
      <c r="P95" s="69"/>
      <c r="Q95" s="67" t="str">
        <f t="shared" si="6"/>
        <v/>
      </c>
      <c r="R95" s="81" t="str">
        <f t="shared" si="7"/>
        <v/>
      </c>
    </row>
    <row r="96" spans="1:18" x14ac:dyDescent="0.3">
      <c r="A96" s="69"/>
      <c r="B96" s="69"/>
      <c r="C96" s="68"/>
      <c r="D96" s="69"/>
      <c r="E96" s="69"/>
      <c r="F96" s="69"/>
      <c r="G96" s="69"/>
      <c r="H96" s="67" t="str">
        <f t="shared" si="4"/>
        <v/>
      </c>
      <c r="I96" s="67" t="str">
        <f t="shared" si="5"/>
        <v/>
      </c>
      <c r="J96" s="69"/>
      <c r="K96" s="69"/>
      <c r="L96" s="69"/>
      <c r="M96" s="68"/>
      <c r="N96" s="69"/>
      <c r="O96" s="69"/>
      <c r="P96" s="69"/>
      <c r="Q96" s="67" t="str">
        <f t="shared" si="6"/>
        <v/>
      </c>
      <c r="R96" s="81" t="str">
        <f t="shared" si="7"/>
        <v/>
      </c>
    </row>
    <row r="97" spans="1:18" x14ac:dyDescent="0.3">
      <c r="A97" s="69"/>
      <c r="B97" s="69"/>
      <c r="C97" s="68"/>
      <c r="D97" s="69"/>
      <c r="E97" s="69"/>
      <c r="F97" s="69"/>
      <c r="G97" s="69"/>
      <c r="H97" s="67" t="str">
        <f t="shared" si="4"/>
        <v/>
      </c>
      <c r="I97" s="67" t="str">
        <f t="shared" si="5"/>
        <v/>
      </c>
      <c r="J97" s="69"/>
      <c r="K97" s="69"/>
      <c r="L97" s="69"/>
      <c r="M97" s="68"/>
      <c r="N97" s="69"/>
      <c r="O97" s="69"/>
      <c r="P97" s="69"/>
      <c r="Q97" s="67" t="str">
        <f t="shared" si="6"/>
        <v/>
      </c>
      <c r="R97" s="81" t="str">
        <f t="shared" si="7"/>
        <v/>
      </c>
    </row>
    <row r="98" spans="1:18" x14ac:dyDescent="0.3">
      <c r="A98" s="69"/>
      <c r="B98" s="69"/>
      <c r="C98" s="68"/>
      <c r="D98" s="69"/>
      <c r="E98" s="69"/>
      <c r="F98" s="69"/>
      <c r="G98" s="69"/>
      <c r="H98" s="67" t="str">
        <f t="shared" si="4"/>
        <v/>
      </c>
      <c r="I98" s="67" t="str">
        <f t="shared" si="5"/>
        <v/>
      </c>
      <c r="J98" s="69"/>
      <c r="K98" s="69"/>
      <c r="L98" s="69"/>
      <c r="M98" s="68"/>
      <c r="N98" s="69"/>
      <c r="O98" s="69"/>
      <c r="P98" s="69"/>
      <c r="Q98" s="67" t="str">
        <f t="shared" si="6"/>
        <v/>
      </c>
      <c r="R98" s="81" t="str">
        <f t="shared" si="7"/>
        <v/>
      </c>
    </row>
    <row r="99" spans="1:18" x14ac:dyDescent="0.3">
      <c r="A99" s="69"/>
      <c r="B99" s="69"/>
      <c r="C99" s="68"/>
      <c r="D99" s="69"/>
      <c r="E99" s="69"/>
      <c r="F99" s="69"/>
      <c r="G99" s="69"/>
      <c r="H99" s="67" t="str">
        <f t="shared" si="4"/>
        <v/>
      </c>
      <c r="I99" s="67" t="str">
        <f t="shared" si="5"/>
        <v/>
      </c>
      <c r="J99" s="69"/>
      <c r="K99" s="69"/>
      <c r="L99" s="69"/>
      <c r="M99" s="68"/>
      <c r="N99" s="69"/>
      <c r="O99" s="69"/>
      <c r="P99" s="69"/>
      <c r="Q99" s="67" t="str">
        <f t="shared" si="6"/>
        <v/>
      </c>
      <c r="R99" s="81" t="str">
        <f t="shared" si="7"/>
        <v/>
      </c>
    </row>
    <row r="100" spans="1:18" x14ac:dyDescent="0.3">
      <c r="A100" s="69"/>
      <c r="B100" s="69"/>
      <c r="C100" s="68"/>
      <c r="D100" s="69"/>
      <c r="E100" s="69"/>
      <c r="F100" s="69"/>
      <c r="G100" s="69"/>
      <c r="H100" s="67" t="str">
        <f t="shared" si="4"/>
        <v/>
      </c>
      <c r="I100" s="67" t="str">
        <f t="shared" si="5"/>
        <v/>
      </c>
      <c r="J100" s="69"/>
      <c r="K100" s="69"/>
      <c r="L100" s="69"/>
      <c r="M100" s="68"/>
      <c r="N100" s="69"/>
      <c r="O100" s="69"/>
      <c r="P100" s="69"/>
      <c r="Q100" s="67" t="str">
        <f t="shared" si="6"/>
        <v/>
      </c>
      <c r="R100" s="81" t="str">
        <f t="shared" si="7"/>
        <v/>
      </c>
    </row>
    <row r="101" spans="1:18" x14ac:dyDescent="0.3">
      <c r="A101" s="69"/>
      <c r="B101" s="69"/>
      <c r="C101" s="68"/>
      <c r="D101" s="69"/>
      <c r="E101" s="69"/>
      <c r="F101" s="69"/>
      <c r="G101" s="69"/>
      <c r="H101" s="67" t="str">
        <f t="shared" si="4"/>
        <v/>
      </c>
      <c r="I101" s="67" t="str">
        <f t="shared" si="5"/>
        <v/>
      </c>
      <c r="J101" s="69"/>
      <c r="K101" s="69"/>
      <c r="L101" s="69"/>
      <c r="M101" s="68"/>
      <c r="N101" s="69"/>
      <c r="O101" s="69"/>
      <c r="P101" s="69"/>
      <c r="Q101" s="67" t="str">
        <f t="shared" si="6"/>
        <v/>
      </c>
      <c r="R101" s="81" t="str">
        <f t="shared" si="7"/>
        <v/>
      </c>
    </row>
    <row r="102" spans="1:18" x14ac:dyDescent="0.3">
      <c r="A102" s="69"/>
      <c r="B102" s="69"/>
      <c r="C102" s="68"/>
      <c r="D102" s="69"/>
      <c r="E102" s="69"/>
      <c r="F102" s="69"/>
      <c r="G102" s="69"/>
      <c r="H102" s="67" t="str">
        <f t="shared" si="4"/>
        <v/>
      </c>
      <c r="I102" s="67" t="str">
        <f t="shared" si="5"/>
        <v/>
      </c>
      <c r="J102" s="69"/>
      <c r="K102" s="69"/>
      <c r="L102" s="69"/>
      <c r="M102" s="68"/>
      <c r="N102" s="69"/>
      <c r="O102" s="69"/>
      <c r="P102" s="69"/>
      <c r="Q102" s="67" t="str">
        <f t="shared" si="6"/>
        <v/>
      </c>
      <c r="R102" s="81" t="str">
        <f t="shared" si="7"/>
        <v/>
      </c>
    </row>
    <row r="103" spans="1:18" x14ac:dyDescent="0.3">
      <c r="A103" s="69"/>
      <c r="B103" s="69"/>
      <c r="C103" s="68"/>
      <c r="D103" s="69"/>
      <c r="E103" s="69"/>
      <c r="F103" s="69"/>
      <c r="G103" s="69"/>
      <c r="H103" s="67" t="str">
        <f t="shared" si="4"/>
        <v/>
      </c>
      <c r="I103" s="67" t="str">
        <f t="shared" si="5"/>
        <v/>
      </c>
      <c r="J103" s="69"/>
      <c r="K103" s="69"/>
      <c r="L103" s="69"/>
      <c r="M103" s="68"/>
      <c r="N103" s="69"/>
      <c r="O103" s="69"/>
      <c r="P103" s="69"/>
      <c r="Q103" s="67" t="str">
        <f t="shared" si="6"/>
        <v/>
      </c>
      <c r="R103" s="81" t="str">
        <f t="shared" si="7"/>
        <v/>
      </c>
    </row>
    <row r="104" spans="1:18" x14ac:dyDescent="0.3">
      <c r="A104" s="69"/>
      <c r="B104" s="69"/>
      <c r="C104" s="68"/>
      <c r="D104" s="69"/>
      <c r="E104" s="69"/>
      <c r="F104" s="69"/>
      <c r="G104" s="69"/>
      <c r="H104" s="67" t="str">
        <f t="shared" si="4"/>
        <v/>
      </c>
      <c r="I104" s="67" t="str">
        <f t="shared" si="5"/>
        <v/>
      </c>
      <c r="J104" s="69"/>
      <c r="K104" s="69"/>
      <c r="L104" s="69"/>
      <c r="M104" s="68"/>
      <c r="N104" s="69"/>
      <c r="O104" s="69"/>
      <c r="P104" s="69"/>
      <c r="Q104" s="67" t="str">
        <f t="shared" si="6"/>
        <v/>
      </c>
      <c r="R104" s="81" t="str">
        <f t="shared" si="7"/>
        <v/>
      </c>
    </row>
    <row r="105" spans="1:18" x14ac:dyDescent="0.3">
      <c r="A105" s="69"/>
      <c r="B105" s="69"/>
      <c r="C105" s="68"/>
      <c r="D105" s="69"/>
      <c r="E105" s="69"/>
      <c r="F105" s="69"/>
      <c r="G105" s="69"/>
      <c r="H105" s="67" t="str">
        <f t="shared" si="4"/>
        <v/>
      </c>
      <c r="I105" s="67" t="str">
        <f t="shared" si="5"/>
        <v/>
      </c>
      <c r="J105" s="69"/>
      <c r="K105" s="69"/>
      <c r="L105" s="69"/>
      <c r="M105" s="68"/>
      <c r="N105" s="69"/>
      <c r="O105" s="69"/>
      <c r="P105" s="69"/>
      <c r="Q105" s="67" t="str">
        <f t="shared" si="6"/>
        <v/>
      </c>
      <c r="R105" s="81" t="str">
        <f t="shared" si="7"/>
        <v/>
      </c>
    </row>
    <row r="106" spans="1:18" x14ac:dyDescent="0.3">
      <c r="A106" s="69"/>
      <c r="B106" s="69"/>
      <c r="C106" s="68"/>
      <c r="D106" s="69"/>
      <c r="E106" s="69"/>
      <c r="F106" s="69"/>
      <c r="G106" s="69"/>
      <c r="H106" s="67" t="str">
        <f t="shared" si="4"/>
        <v/>
      </c>
      <c r="I106" s="67" t="str">
        <f t="shared" si="5"/>
        <v/>
      </c>
      <c r="J106" s="69"/>
      <c r="K106" s="69"/>
      <c r="L106" s="69"/>
      <c r="M106" s="68"/>
      <c r="N106" s="69"/>
      <c r="O106" s="69"/>
      <c r="P106" s="69"/>
      <c r="Q106" s="67" t="str">
        <f t="shared" si="6"/>
        <v/>
      </c>
      <c r="R106" s="81" t="str">
        <f t="shared" si="7"/>
        <v/>
      </c>
    </row>
    <row r="107" spans="1:18" x14ac:dyDescent="0.3">
      <c r="A107" s="69"/>
      <c r="B107" s="69"/>
      <c r="C107" s="68"/>
      <c r="D107" s="69"/>
      <c r="E107" s="69"/>
      <c r="F107" s="69"/>
      <c r="G107" s="69"/>
      <c r="H107" s="67" t="str">
        <f t="shared" si="4"/>
        <v/>
      </c>
      <c r="I107" s="67" t="str">
        <f t="shared" si="5"/>
        <v/>
      </c>
      <c r="J107" s="69"/>
      <c r="K107" s="69"/>
      <c r="L107" s="69"/>
      <c r="M107" s="68"/>
      <c r="N107" s="69"/>
      <c r="O107" s="69"/>
      <c r="P107" s="69"/>
      <c r="Q107" s="67" t="str">
        <f t="shared" si="6"/>
        <v/>
      </c>
      <c r="R107" s="81" t="str">
        <f t="shared" si="7"/>
        <v/>
      </c>
    </row>
    <row r="108" spans="1:18" x14ac:dyDescent="0.3">
      <c r="A108" s="69"/>
      <c r="B108" s="69"/>
      <c r="C108" s="68"/>
      <c r="D108" s="69"/>
      <c r="E108" s="69"/>
      <c r="F108" s="69"/>
      <c r="G108" s="69"/>
      <c r="H108" s="67" t="str">
        <f t="shared" si="4"/>
        <v/>
      </c>
      <c r="I108" s="67" t="str">
        <f t="shared" si="5"/>
        <v/>
      </c>
      <c r="J108" s="69"/>
      <c r="K108" s="69"/>
      <c r="L108" s="69"/>
      <c r="M108" s="68"/>
      <c r="N108" s="69"/>
      <c r="O108" s="69"/>
      <c r="P108" s="69"/>
      <c r="Q108" s="67" t="str">
        <f t="shared" si="6"/>
        <v/>
      </c>
      <c r="R108" s="81" t="str">
        <f t="shared" si="7"/>
        <v/>
      </c>
    </row>
    <row r="109" spans="1:18" x14ac:dyDescent="0.3">
      <c r="A109" s="69"/>
      <c r="B109" s="69"/>
      <c r="C109" s="68"/>
      <c r="D109" s="69"/>
      <c r="E109" s="69"/>
      <c r="F109" s="69"/>
      <c r="G109" s="69"/>
      <c r="H109" s="67" t="str">
        <f t="shared" si="4"/>
        <v/>
      </c>
      <c r="I109" s="67" t="str">
        <f t="shared" si="5"/>
        <v/>
      </c>
      <c r="J109" s="69"/>
      <c r="K109" s="69"/>
      <c r="L109" s="69"/>
      <c r="M109" s="68"/>
      <c r="N109" s="69"/>
      <c r="O109" s="69"/>
      <c r="P109" s="69"/>
      <c r="Q109" s="67" t="str">
        <f t="shared" si="6"/>
        <v/>
      </c>
      <c r="R109" s="81" t="str">
        <f t="shared" si="7"/>
        <v/>
      </c>
    </row>
    <row r="110" spans="1:18" x14ac:dyDescent="0.3">
      <c r="A110" s="69"/>
      <c r="B110" s="69"/>
      <c r="C110" s="68"/>
      <c r="D110" s="69"/>
      <c r="E110" s="69"/>
      <c r="F110" s="69"/>
      <c r="G110" s="69"/>
      <c r="H110" s="67" t="str">
        <f t="shared" si="4"/>
        <v/>
      </c>
      <c r="I110" s="67" t="str">
        <f t="shared" si="5"/>
        <v/>
      </c>
      <c r="J110" s="69"/>
      <c r="K110" s="69"/>
      <c r="L110" s="69"/>
      <c r="M110" s="68"/>
      <c r="N110" s="69"/>
      <c r="O110" s="69"/>
      <c r="P110" s="69"/>
      <c r="Q110" s="67" t="str">
        <f t="shared" si="6"/>
        <v/>
      </c>
      <c r="R110" s="81" t="str">
        <f t="shared" si="7"/>
        <v/>
      </c>
    </row>
    <row r="111" spans="1:18" x14ac:dyDescent="0.3">
      <c r="A111" s="69"/>
      <c r="B111" s="69"/>
      <c r="C111" s="68"/>
      <c r="D111" s="69"/>
      <c r="E111" s="69"/>
      <c r="F111" s="69"/>
      <c r="G111" s="69"/>
      <c r="H111" s="67" t="str">
        <f t="shared" si="4"/>
        <v/>
      </c>
      <c r="I111" s="67" t="str">
        <f t="shared" si="5"/>
        <v/>
      </c>
      <c r="J111" s="69"/>
      <c r="K111" s="69"/>
      <c r="L111" s="69"/>
      <c r="M111" s="68"/>
      <c r="N111" s="69"/>
      <c r="O111" s="69"/>
      <c r="P111" s="69"/>
      <c r="Q111" s="67" t="str">
        <f t="shared" si="6"/>
        <v/>
      </c>
      <c r="R111" s="81" t="str">
        <f t="shared" si="7"/>
        <v/>
      </c>
    </row>
    <row r="112" spans="1:18" x14ac:dyDescent="0.3">
      <c r="A112" s="69"/>
      <c r="B112" s="69"/>
      <c r="C112" s="68"/>
      <c r="D112" s="69"/>
      <c r="E112" s="69"/>
      <c r="F112" s="69"/>
      <c r="G112" s="69"/>
      <c r="H112" s="67" t="str">
        <f t="shared" si="4"/>
        <v/>
      </c>
      <c r="I112" s="67" t="str">
        <f t="shared" si="5"/>
        <v/>
      </c>
      <c r="J112" s="69"/>
      <c r="K112" s="69"/>
      <c r="L112" s="69"/>
      <c r="M112" s="68"/>
      <c r="N112" s="69"/>
      <c r="O112" s="69"/>
      <c r="P112" s="69"/>
      <c r="Q112" s="67" t="str">
        <f t="shared" si="6"/>
        <v/>
      </c>
      <c r="R112" s="81" t="str">
        <f t="shared" si="7"/>
        <v/>
      </c>
    </row>
    <row r="113" spans="1:18" x14ac:dyDescent="0.3">
      <c r="A113" s="69"/>
      <c r="B113" s="69"/>
      <c r="C113" s="68"/>
      <c r="D113" s="69"/>
      <c r="E113" s="69"/>
      <c r="F113" s="69"/>
      <c r="G113" s="69"/>
      <c r="H113" s="67" t="str">
        <f t="shared" si="4"/>
        <v/>
      </c>
      <c r="I113" s="67" t="str">
        <f t="shared" si="5"/>
        <v/>
      </c>
      <c r="J113" s="69"/>
      <c r="K113" s="69"/>
      <c r="L113" s="69"/>
      <c r="M113" s="68"/>
      <c r="N113" s="69"/>
      <c r="O113" s="69"/>
      <c r="P113" s="69"/>
      <c r="Q113" s="67" t="str">
        <f t="shared" si="6"/>
        <v/>
      </c>
      <c r="R113" s="81" t="str">
        <f t="shared" si="7"/>
        <v/>
      </c>
    </row>
    <row r="114" spans="1:18" x14ac:dyDescent="0.3">
      <c r="A114" s="69"/>
      <c r="B114" s="69"/>
      <c r="C114" s="68"/>
      <c r="D114" s="69"/>
      <c r="E114" s="69"/>
      <c r="F114" s="69"/>
      <c r="G114" s="69"/>
      <c r="H114" s="67" t="str">
        <f t="shared" si="4"/>
        <v/>
      </c>
      <c r="I114" s="67" t="str">
        <f t="shared" si="5"/>
        <v/>
      </c>
      <c r="J114" s="69"/>
      <c r="K114" s="69"/>
      <c r="L114" s="69"/>
      <c r="M114" s="68"/>
      <c r="N114" s="69"/>
      <c r="O114" s="69"/>
      <c r="P114" s="69"/>
      <c r="Q114" s="67" t="str">
        <f t="shared" si="6"/>
        <v/>
      </c>
      <c r="R114" s="81" t="str">
        <f t="shared" si="7"/>
        <v/>
      </c>
    </row>
    <row r="115" spans="1:18" x14ac:dyDescent="0.3">
      <c r="A115" s="69"/>
      <c r="B115" s="69"/>
      <c r="C115" s="68"/>
      <c r="D115" s="69"/>
      <c r="E115" s="69"/>
      <c r="F115" s="69"/>
      <c r="G115" s="69"/>
      <c r="H115" s="67" t="str">
        <f t="shared" si="4"/>
        <v/>
      </c>
      <c r="I115" s="67" t="str">
        <f t="shared" si="5"/>
        <v/>
      </c>
      <c r="J115" s="69"/>
      <c r="K115" s="69"/>
      <c r="L115" s="69"/>
      <c r="M115" s="68"/>
      <c r="N115" s="69"/>
      <c r="O115" s="69"/>
      <c r="P115" s="69"/>
      <c r="Q115" s="67" t="str">
        <f t="shared" si="6"/>
        <v/>
      </c>
      <c r="R115" s="81" t="str">
        <f t="shared" si="7"/>
        <v/>
      </c>
    </row>
    <row r="116" spans="1:18" x14ac:dyDescent="0.3">
      <c r="A116" s="69"/>
      <c r="B116" s="69"/>
      <c r="C116" s="68"/>
      <c r="D116" s="69"/>
      <c r="E116" s="69"/>
      <c r="F116" s="69"/>
      <c r="G116" s="69"/>
      <c r="H116" s="67" t="str">
        <f t="shared" si="4"/>
        <v/>
      </c>
      <c r="I116" s="67" t="str">
        <f t="shared" si="5"/>
        <v/>
      </c>
      <c r="J116" s="69"/>
      <c r="K116" s="69"/>
      <c r="L116" s="69"/>
      <c r="M116" s="68"/>
      <c r="N116" s="69"/>
      <c r="O116" s="69"/>
      <c r="P116" s="69"/>
      <c r="Q116" s="67" t="str">
        <f t="shared" si="6"/>
        <v/>
      </c>
      <c r="R116" s="81" t="str">
        <f t="shared" si="7"/>
        <v/>
      </c>
    </row>
    <row r="117" spans="1:18" x14ac:dyDescent="0.3">
      <c r="A117" s="69"/>
      <c r="B117" s="69"/>
      <c r="C117" s="68"/>
      <c r="D117" s="69"/>
      <c r="E117" s="69"/>
      <c r="F117" s="69"/>
      <c r="G117" s="69"/>
      <c r="H117" s="67" t="str">
        <f t="shared" si="4"/>
        <v/>
      </c>
      <c r="I117" s="67" t="str">
        <f t="shared" si="5"/>
        <v/>
      </c>
      <c r="J117" s="69"/>
      <c r="K117" s="69"/>
      <c r="L117" s="69"/>
      <c r="M117" s="68"/>
      <c r="N117" s="69"/>
      <c r="O117" s="69"/>
      <c r="P117" s="69"/>
      <c r="Q117" s="67" t="str">
        <f t="shared" si="6"/>
        <v/>
      </c>
      <c r="R117" s="81" t="str">
        <f t="shared" si="7"/>
        <v/>
      </c>
    </row>
    <row r="118" spans="1:18" x14ac:dyDescent="0.3">
      <c r="A118" s="69"/>
      <c r="B118" s="69"/>
      <c r="C118" s="68"/>
      <c r="D118" s="69"/>
      <c r="E118" s="69"/>
      <c r="F118" s="69"/>
      <c r="G118" s="69"/>
      <c r="H118" s="67" t="str">
        <f t="shared" si="4"/>
        <v/>
      </c>
      <c r="I118" s="67" t="str">
        <f t="shared" si="5"/>
        <v/>
      </c>
      <c r="J118" s="69"/>
      <c r="K118" s="69"/>
      <c r="L118" s="69"/>
      <c r="M118" s="68"/>
      <c r="N118" s="69"/>
      <c r="O118" s="69"/>
      <c r="P118" s="69"/>
      <c r="Q118" s="67" t="str">
        <f t="shared" si="6"/>
        <v/>
      </c>
      <c r="R118" s="81" t="str">
        <f t="shared" si="7"/>
        <v/>
      </c>
    </row>
    <row r="119" spans="1:18" x14ac:dyDescent="0.3">
      <c r="A119" s="69"/>
      <c r="B119" s="69"/>
      <c r="C119" s="68"/>
      <c r="D119" s="69"/>
      <c r="E119" s="69"/>
      <c r="F119" s="69"/>
      <c r="G119" s="69"/>
      <c r="H119" s="67" t="str">
        <f t="shared" si="4"/>
        <v/>
      </c>
      <c r="I119" s="67" t="str">
        <f t="shared" si="5"/>
        <v/>
      </c>
      <c r="J119" s="69"/>
      <c r="K119" s="69"/>
      <c r="L119" s="69"/>
      <c r="M119" s="68"/>
      <c r="N119" s="69"/>
      <c r="O119" s="69"/>
      <c r="P119" s="69"/>
      <c r="Q119" s="67" t="str">
        <f t="shared" si="6"/>
        <v/>
      </c>
      <c r="R119" s="81" t="str">
        <f t="shared" si="7"/>
        <v/>
      </c>
    </row>
    <row r="120" spans="1:18" x14ac:dyDescent="0.3">
      <c r="A120" s="69"/>
      <c r="B120" s="69"/>
      <c r="C120" s="68"/>
      <c r="D120" s="69"/>
      <c r="E120" s="69"/>
      <c r="F120" s="69"/>
      <c r="G120" s="69"/>
      <c r="H120" s="67" t="str">
        <f t="shared" si="4"/>
        <v/>
      </c>
      <c r="I120" s="67" t="str">
        <f t="shared" si="5"/>
        <v/>
      </c>
      <c r="J120" s="69"/>
      <c r="K120" s="69"/>
      <c r="L120" s="69"/>
      <c r="M120" s="68"/>
      <c r="N120" s="69"/>
      <c r="O120" s="69"/>
      <c r="P120" s="69"/>
      <c r="Q120" s="67" t="str">
        <f t="shared" si="6"/>
        <v/>
      </c>
      <c r="R120" s="81" t="str">
        <f t="shared" si="7"/>
        <v/>
      </c>
    </row>
    <row r="121" spans="1:18" x14ac:dyDescent="0.3">
      <c r="A121" s="69"/>
      <c r="B121" s="69"/>
      <c r="C121" s="68"/>
      <c r="D121" s="69"/>
      <c r="E121" s="69"/>
      <c r="F121" s="69"/>
      <c r="G121" s="69"/>
      <c r="H121" s="67" t="str">
        <f t="shared" si="4"/>
        <v/>
      </c>
      <c r="I121" s="67" t="str">
        <f t="shared" si="5"/>
        <v/>
      </c>
      <c r="J121" s="69"/>
      <c r="K121" s="69"/>
      <c r="L121" s="69"/>
      <c r="M121" s="68"/>
      <c r="N121" s="69"/>
      <c r="O121" s="69"/>
      <c r="P121" s="69"/>
      <c r="Q121" s="67" t="str">
        <f t="shared" si="6"/>
        <v/>
      </c>
      <c r="R121" s="81" t="str">
        <f t="shared" si="7"/>
        <v/>
      </c>
    </row>
    <row r="122" spans="1:18" x14ac:dyDescent="0.3">
      <c r="A122" s="69"/>
      <c r="B122" s="69"/>
      <c r="C122" s="68"/>
      <c r="D122" s="69"/>
      <c r="E122" s="69"/>
      <c r="F122" s="69"/>
      <c r="G122" s="69"/>
      <c r="H122" s="67" t="str">
        <f t="shared" si="4"/>
        <v/>
      </c>
      <c r="I122" s="67" t="str">
        <f t="shared" si="5"/>
        <v/>
      </c>
      <c r="J122" s="69"/>
      <c r="K122" s="69"/>
      <c r="L122" s="69"/>
      <c r="M122" s="68"/>
      <c r="N122" s="69"/>
      <c r="O122" s="69"/>
      <c r="P122" s="69"/>
      <c r="Q122" s="67" t="str">
        <f t="shared" si="6"/>
        <v/>
      </c>
      <c r="R122" s="81" t="str">
        <f t="shared" si="7"/>
        <v/>
      </c>
    </row>
    <row r="123" spans="1:18" x14ac:dyDescent="0.3">
      <c r="A123" s="69"/>
      <c r="B123" s="69"/>
      <c r="C123" s="68"/>
      <c r="D123" s="69"/>
      <c r="E123" s="69"/>
      <c r="F123" s="69"/>
      <c r="G123" s="69"/>
      <c r="H123" s="67" t="str">
        <f t="shared" si="4"/>
        <v/>
      </c>
      <c r="I123" s="67" t="str">
        <f t="shared" si="5"/>
        <v/>
      </c>
      <c r="J123" s="69"/>
      <c r="K123" s="69"/>
      <c r="L123" s="69"/>
      <c r="M123" s="68"/>
      <c r="N123" s="69"/>
      <c r="O123" s="69"/>
      <c r="P123" s="69"/>
      <c r="Q123" s="67" t="str">
        <f t="shared" si="6"/>
        <v/>
      </c>
      <c r="R123" s="81" t="str">
        <f t="shared" si="7"/>
        <v/>
      </c>
    </row>
    <row r="124" spans="1:18" x14ac:dyDescent="0.3">
      <c r="A124" s="69"/>
      <c r="B124" s="69"/>
      <c r="C124" s="68"/>
      <c r="D124" s="69"/>
      <c r="E124" s="69"/>
      <c r="F124" s="69"/>
      <c r="G124" s="69"/>
      <c r="H124" s="67" t="str">
        <f t="shared" si="4"/>
        <v/>
      </c>
      <c r="I124" s="67" t="str">
        <f t="shared" si="5"/>
        <v/>
      </c>
      <c r="J124" s="69"/>
      <c r="K124" s="69"/>
      <c r="L124" s="69"/>
      <c r="M124" s="68"/>
      <c r="N124" s="69"/>
      <c r="O124" s="69"/>
      <c r="P124" s="69"/>
      <c r="Q124" s="67" t="str">
        <f t="shared" si="6"/>
        <v/>
      </c>
      <c r="R124" s="81" t="str">
        <f t="shared" si="7"/>
        <v/>
      </c>
    </row>
    <row r="125" spans="1:18" x14ac:dyDescent="0.3">
      <c r="A125" s="69"/>
      <c r="B125" s="69"/>
      <c r="C125" s="68"/>
      <c r="D125" s="69"/>
      <c r="E125" s="69"/>
      <c r="F125" s="69"/>
      <c r="G125" s="69"/>
      <c r="H125" s="67" t="str">
        <f t="shared" si="4"/>
        <v/>
      </c>
      <c r="I125" s="67" t="str">
        <f t="shared" si="5"/>
        <v/>
      </c>
      <c r="J125" s="69"/>
      <c r="K125" s="69"/>
      <c r="L125" s="69"/>
      <c r="M125" s="68"/>
      <c r="N125" s="69"/>
      <c r="O125" s="69"/>
      <c r="P125" s="69"/>
      <c r="Q125" s="67" t="str">
        <f t="shared" si="6"/>
        <v/>
      </c>
      <c r="R125" s="81" t="str">
        <f t="shared" si="7"/>
        <v/>
      </c>
    </row>
    <row r="126" spans="1:18" x14ac:dyDescent="0.3">
      <c r="A126" s="69"/>
      <c r="B126" s="69"/>
      <c r="C126" s="68"/>
      <c r="D126" s="69"/>
      <c r="E126" s="69"/>
      <c r="F126" s="69"/>
      <c r="G126" s="69"/>
      <c r="H126" s="67" t="str">
        <f t="shared" si="4"/>
        <v/>
      </c>
      <c r="I126" s="67" t="str">
        <f t="shared" si="5"/>
        <v/>
      </c>
      <c r="J126" s="69"/>
      <c r="K126" s="69"/>
      <c r="L126" s="69"/>
      <c r="M126" s="68"/>
      <c r="N126" s="69"/>
      <c r="O126" s="69"/>
      <c r="P126" s="69"/>
      <c r="Q126" s="67" t="str">
        <f t="shared" si="6"/>
        <v/>
      </c>
      <c r="R126" s="81" t="str">
        <f t="shared" si="7"/>
        <v/>
      </c>
    </row>
    <row r="127" spans="1:18" x14ac:dyDescent="0.3">
      <c r="A127" s="69"/>
      <c r="B127" s="69"/>
      <c r="C127" s="68"/>
      <c r="D127" s="69"/>
      <c r="E127" s="69"/>
      <c r="F127" s="69"/>
      <c r="G127" s="69"/>
      <c r="H127" s="67" t="str">
        <f t="shared" si="4"/>
        <v/>
      </c>
      <c r="I127" s="67" t="str">
        <f t="shared" si="5"/>
        <v/>
      </c>
      <c r="J127" s="69"/>
      <c r="K127" s="69"/>
      <c r="L127" s="69"/>
      <c r="M127" s="68"/>
      <c r="N127" s="69"/>
      <c r="O127" s="69"/>
      <c r="P127" s="69"/>
      <c r="Q127" s="67" t="str">
        <f t="shared" si="6"/>
        <v/>
      </c>
      <c r="R127" s="81" t="str">
        <f t="shared" si="7"/>
        <v/>
      </c>
    </row>
    <row r="128" spans="1:18" x14ac:dyDescent="0.3">
      <c r="A128" s="69"/>
      <c r="B128" s="69"/>
      <c r="C128" s="68"/>
      <c r="D128" s="69"/>
      <c r="E128" s="69"/>
      <c r="F128" s="69"/>
      <c r="G128" s="69"/>
      <c r="H128" s="67" t="str">
        <f t="shared" si="4"/>
        <v/>
      </c>
      <c r="I128" s="67" t="str">
        <f t="shared" si="5"/>
        <v/>
      </c>
      <c r="J128" s="69"/>
      <c r="K128" s="69"/>
      <c r="L128" s="69"/>
      <c r="M128" s="68"/>
      <c r="N128" s="69"/>
      <c r="O128" s="69"/>
      <c r="P128" s="69"/>
      <c r="Q128" s="67" t="str">
        <f t="shared" si="6"/>
        <v/>
      </c>
      <c r="R128" s="81" t="str">
        <f t="shared" si="7"/>
        <v/>
      </c>
    </row>
    <row r="129" spans="1:18" x14ac:dyDescent="0.3">
      <c r="A129" s="69"/>
      <c r="B129" s="69"/>
      <c r="C129" s="68"/>
      <c r="D129" s="69"/>
      <c r="E129" s="69"/>
      <c r="F129" s="69"/>
      <c r="G129" s="69"/>
      <c r="H129" s="67" t="str">
        <f t="shared" si="4"/>
        <v/>
      </c>
      <c r="I129" s="67" t="str">
        <f t="shared" si="5"/>
        <v/>
      </c>
      <c r="J129" s="69"/>
      <c r="K129" s="69"/>
      <c r="L129" s="69"/>
      <c r="M129" s="68"/>
      <c r="N129" s="69"/>
      <c r="O129" s="69"/>
      <c r="P129" s="69"/>
      <c r="Q129" s="67" t="str">
        <f t="shared" si="6"/>
        <v/>
      </c>
      <c r="R129" s="81" t="str">
        <f t="shared" si="7"/>
        <v/>
      </c>
    </row>
    <row r="130" spans="1:18" x14ac:dyDescent="0.3">
      <c r="A130" s="69"/>
      <c r="B130" s="69"/>
      <c r="C130" s="68"/>
      <c r="D130" s="69"/>
      <c r="E130" s="69"/>
      <c r="F130" s="69"/>
      <c r="G130" s="69"/>
      <c r="H130" s="67" t="str">
        <f t="shared" si="4"/>
        <v/>
      </c>
      <c r="I130" s="67" t="str">
        <f t="shared" si="5"/>
        <v/>
      </c>
      <c r="J130" s="69"/>
      <c r="K130" s="69"/>
      <c r="L130" s="69"/>
      <c r="M130" s="68"/>
      <c r="N130" s="69"/>
      <c r="O130" s="69"/>
      <c r="P130" s="69"/>
      <c r="Q130" s="67" t="str">
        <f t="shared" si="6"/>
        <v/>
      </c>
      <c r="R130" s="81" t="str">
        <f t="shared" si="7"/>
        <v/>
      </c>
    </row>
    <row r="131" spans="1:18" x14ac:dyDescent="0.3">
      <c r="A131" s="69"/>
      <c r="B131" s="69"/>
      <c r="C131" s="68"/>
      <c r="D131" s="69"/>
      <c r="E131" s="69"/>
      <c r="F131" s="69"/>
      <c r="G131" s="69"/>
      <c r="H131" s="67" t="str">
        <f t="shared" si="4"/>
        <v/>
      </c>
      <c r="I131" s="67" t="str">
        <f t="shared" si="5"/>
        <v/>
      </c>
      <c r="J131" s="69"/>
      <c r="K131" s="69"/>
      <c r="L131" s="69"/>
      <c r="M131" s="68"/>
      <c r="N131" s="69"/>
      <c r="O131" s="69"/>
      <c r="P131" s="69"/>
      <c r="Q131" s="67" t="str">
        <f t="shared" si="6"/>
        <v/>
      </c>
      <c r="R131" s="81" t="str">
        <f t="shared" si="7"/>
        <v/>
      </c>
    </row>
    <row r="132" spans="1:18" x14ac:dyDescent="0.3">
      <c r="A132" s="69"/>
      <c r="B132" s="69"/>
      <c r="C132" s="68"/>
      <c r="D132" s="69"/>
      <c r="E132" s="69"/>
      <c r="F132" s="69"/>
      <c r="G132" s="69"/>
      <c r="H132" s="67" t="str">
        <f t="shared" si="4"/>
        <v/>
      </c>
      <c r="I132" s="67" t="str">
        <f t="shared" si="5"/>
        <v/>
      </c>
      <c r="J132" s="69"/>
      <c r="K132" s="69"/>
      <c r="L132" s="69"/>
      <c r="M132" s="68"/>
      <c r="N132" s="69"/>
      <c r="O132" s="69"/>
      <c r="P132" s="69"/>
      <c r="Q132" s="67" t="str">
        <f t="shared" si="6"/>
        <v/>
      </c>
      <c r="R132" s="81" t="str">
        <f t="shared" si="7"/>
        <v/>
      </c>
    </row>
    <row r="133" spans="1:18" x14ac:dyDescent="0.3">
      <c r="A133" s="69"/>
      <c r="B133" s="69"/>
      <c r="C133" s="68"/>
      <c r="D133" s="69"/>
      <c r="E133" s="69"/>
      <c r="F133" s="69"/>
      <c r="G133" s="69"/>
      <c r="H133" s="67" t="str">
        <f t="shared" ref="H133:H196" si="8">IF(OR(F133="",G133=""),"",F133*G133)</f>
        <v/>
      </c>
      <c r="I133" s="67" t="str">
        <f t="shared" ref="I133:I196" si="9">IF(H133="","",IF(H133&gt;=15,"High",IF(H133&gt;=8,"Medium","Low")))</f>
        <v/>
      </c>
      <c r="J133" s="69"/>
      <c r="K133" s="69"/>
      <c r="L133" s="69"/>
      <c r="M133" s="68"/>
      <c r="N133" s="69"/>
      <c r="O133" s="69"/>
      <c r="P133" s="69"/>
      <c r="Q133" s="67" t="str">
        <f t="shared" ref="Q133:Q196" si="10">IF(OR(O133="",P133=""),"",O133*P133)</f>
        <v/>
      </c>
      <c r="R133" s="81" t="str">
        <f t="shared" ref="R133:R196" si="11">IF(OR(H133="",Q133=""),"",1-Q133/H133)</f>
        <v/>
      </c>
    </row>
    <row r="134" spans="1:18" x14ac:dyDescent="0.3">
      <c r="A134" s="69"/>
      <c r="B134" s="69"/>
      <c r="C134" s="68"/>
      <c r="D134" s="69"/>
      <c r="E134" s="69"/>
      <c r="F134" s="69"/>
      <c r="G134" s="69"/>
      <c r="H134" s="67" t="str">
        <f t="shared" si="8"/>
        <v/>
      </c>
      <c r="I134" s="67" t="str">
        <f t="shared" si="9"/>
        <v/>
      </c>
      <c r="J134" s="69"/>
      <c r="K134" s="69"/>
      <c r="L134" s="69"/>
      <c r="M134" s="68"/>
      <c r="N134" s="69"/>
      <c r="O134" s="69"/>
      <c r="P134" s="69"/>
      <c r="Q134" s="67" t="str">
        <f t="shared" si="10"/>
        <v/>
      </c>
      <c r="R134" s="81" t="str">
        <f t="shared" si="11"/>
        <v/>
      </c>
    </row>
    <row r="135" spans="1:18" x14ac:dyDescent="0.3">
      <c r="A135" s="69"/>
      <c r="B135" s="69"/>
      <c r="C135" s="68"/>
      <c r="D135" s="69"/>
      <c r="E135" s="69"/>
      <c r="F135" s="69"/>
      <c r="G135" s="69"/>
      <c r="H135" s="67" t="str">
        <f t="shared" si="8"/>
        <v/>
      </c>
      <c r="I135" s="67" t="str">
        <f t="shared" si="9"/>
        <v/>
      </c>
      <c r="J135" s="69"/>
      <c r="K135" s="69"/>
      <c r="L135" s="69"/>
      <c r="M135" s="68"/>
      <c r="N135" s="69"/>
      <c r="O135" s="69"/>
      <c r="P135" s="69"/>
      <c r="Q135" s="67" t="str">
        <f t="shared" si="10"/>
        <v/>
      </c>
      <c r="R135" s="81" t="str">
        <f t="shared" si="11"/>
        <v/>
      </c>
    </row>
    <row r="136" spans="1:18" x14ac:dyDescent="0.3">
      <c r="A136" s="69"/>
      <c r="B136" s="69"/>
      <c r="C136" s="68"/>
      <c r="D136" s="69"/>
      <c r="E136" s="69"/>
      <c r="F136" s="69"/>
      <c r="G136" s="69"/>
      <c r="H136" s="67" t="str">
        <f t="shared" si="8"/>
        <v/>
      </c>
      <c r="I136" s="67" t="str">
        <f t="shared" si="9"/>
        <v/>
      </c>
      <c r="J136" s="69"/>
      <c r="K136" s="69"/>
      <c r="L136" s="69"/>
      <c r="M136" s="68"/>
      <c r="N136" s="69"/>
      <c r="O136" s="69"/>
      <c r="P136" s="69"/>
      <c r="Q136" s="67" t="str">
        <f t="shared" si="10"/>
        <v/>
      </c>
      <c r="R136" s="81" t="str">
        <f t="shared" si="11"/>
        <v/>
      </c>
    </row>
    <row r="137" spans="1:18" x14ac:dyDescent="0.3">
      <c r="A137" s="69"/>
      <c r="B137" s="69"/>
      <c r="C137" s="68"/>
      <c r="D137" s="69"/>
      <c r="E137" s="69"/>
      <c r="F137" s="69"/>
      <c r="G137" s="69"/>
      <c r="H137" s="67" t="str">
        <f t="shared" si="8"/>
        <v/>
      </c>
      <c r="I137" s="67" t="str">
        <f t="shared" si="9"/>
        <v/>
      </c>
      <c r="J137" s="69"/>
      <c r="K137" s="69"/>
      <c r="L137" s="69"/>
      <c r="M137" s="68"/>
      <c r="N137" s="69"/>
      <c r="O137" s="69"/>
      <c r="P137" s="69"/>
      <c r="Q137" s="67" t="str">
        <f t="shared" si="10"/>
        <v/>
      </c>
      <c r="R137" s="81" t="str">
        <f t="shared" si="11"/>
        <v/>
      </c>
    </row>
    <row r="138" spans="1:18" x14ac:dyDescent="0.3">
      <c r="A138" s="69"/>
      <c r="B138" s="69"/>
      <c r="C138" s="68"/>
      <c r="D138" s="69"/>
      <c r="E138" s="69"/>
      <c r="F138" s="69"/>
      <c r="G138" s="69"/>
      <c r="H138" s="67" t="str">
        <f t="shared" si="8"/>
        <v/>
      </c>
      <c r="I138" s="67" t="str">
        <f t="shared" si="9"/>
        <v/>
      </c>
      <c r="J138" s="69"/>
      <c r="K138" s="69"/>
      <c r="L138" s="69"/>
      <c r="M138" s="68"/>
      <c r="N138" s="69"/>
      <c r="O138" s="69"/>
      <c r="P138" s="69"/>
      <c r="Q138" s="67" t="str">
        <f t="shared" si="10"/>
        <v/>
      </c>
      <c r="R138" s="81" t="str">
        <f t="shared" si="11"/>
        <v/>
      </c>
    </row>
    <row r="139" spans="1:18" x14ac:dyDescent="0.3">
      <c r="A139" s="69"/>
      <c r="B139" s="69"/>
      <c r="C139" s="68"/>
      <c r="D139" s="69"/>
      <c r="E139" s="69"/>
      <c r="F139" s="69"/>
      <c r="G139" s="69"/>
      <c r="H139" s="67" t="str">
        <f t="shared" si="8"/>
        <v/>
      </c>
      <c r="I139" s="67" t="str">
        <f t="shared" si="9"/>
        <v/>
      </c>
      <c r="J139" s="69"/>
      <c r="K139" s="69"/>
      <c r="L139" s="69"/>
      <c r="M139" s="68"/>
      <c r="N139" s="69"/>
      <c r="O139" s="69"/>
      <c r="P139" s="69"/>
      <c r="Q139" s="67" t="str">
        <f t="shared" si="10"/>
        <v/>
      </c>
      <c r="R139" s="81" t="str">
        <f t="shared" si="11"/>
        <v/>
      </c>
    </row>
    <row r="140" spans="1:18" x14ac:dyDescent="0.3">
      <c r="A140" s="69"/>
      <c r="B140" s="69"/>
      <c r="C140" s="68"/>
      <c r="D140" s="69"/>
      <c r="E140" s="69"/>
      <c r="F140" s="69"/>
      <c r="G140" s="69"/>
      <c r="H140" s="67" t="str">
        <f t="shared" si="8"/>
        <v/>
      </c>
      <c r="I140" s="67" t="str">
        <f t="shared" si="9"/>
        <v/>
      </c>
      <c r="J140" s="69"/>
      <c r="K140" s="69"/>
      <c r="L140" s="69"/>
      <c r="M140" s="68"/>
      <c r="N140" s="69"/>
      <c r="O140" s="69"/>
      <c r="P140" s="69"/>
      <c r="Q140" s="67" t="str">
        <f t="shared" si="10"/>
        <v/>
      </c>
      <c r="R140" s="81" t="str">
        <f t="shared" si="11"/>
        <v/>
      </c>
    </row>
    <row r="141" spans="1:18" x14ac:dyDescent="0.3">
      <c r="A141" s="69"/>
      <c r="B141" s="69"/>
      <c r="C141" s="68"/>
      <c r="D141" s="69"/>
      <c r="E141" s="69"/>
      <c r="F141" s="69"/>
      <c r="G141" s="69"/>
      <c r="H141" s="67" t="str">
        <f t="shared" si="8"/>
        <v/>
      </c>
      <c r="I141" s="67" t="str">
        <f t="shared" si="9"/>
        <v/>
      </c>
      <c r="J141" s="69"/>
      <c r="K141" s="69"/>
      <c r="L141" s="69"/>
      <c r="M141" s="68"/>
      <c r="N141" s="69"/>
      <c r="O141" s="69"/>
      <c r="P141" s="69"/>
      <c r="Q141" s="67" t="str">
        <f t="shared" si="10"/>
        <v/>
      </c>
      <c r="R141" s="81" t="str">
        <f t="shared" si="11"/>
        <v/>
      </c>
    </row>
    <row r="142" spans="1:18" x14ac:dyDescent="0.3">
      <c r="A142" s="69"/>
      <c r="B142" s="69"/>
      <c r="C142" s="68"/>
      <c r="D142" s="69"/>
      <c r="E142" s="69"/>
      <c r="F142" s="69"/>
      <c r="G142" s="69"/>
      <c r="H142" s="67" t="str">
        <f t="shared" si="8"/>
        <v/>
      </c>
      <c r="I142" s="67" t="str">
        <f t="shared" si="9"/>
        <v/>
      </c>
      <c r="J142" s="69"/>
      <c r="K142" s="69"/>
      <c r="L142" s="69"/>
      <c r="M142" s="68"/>
      <c r="N142" s="69"/>
      <c r="O142" s="69"/>
      <c r="P142" s="69"/>
      <c r="Q142" s="67" t="str">
        <f t="shared" si="10"/>
        <v/>
      </c>
      <c r="R142" s="81" t="str">
        <f t="shared" si="11"/>
        <v/>
      </c>
    </row>
    <row r="143" spans="1:18" x14ac:dyDescent="0.3">
      <c r="A143" s="69"/>
      <c r="B143" s="69"/>
      <c r="C143" s="68"/>
      <c r="D143" s="69"/>
      <c r="E143" s="69"/>
      <c r="F143" s="69"/>
      <c r="G143" s="69"/>
      <c r="H143" s="67" t="str">
        <f t="shared" si="8"/>
        <v/>
      </c>
      <c r="I143" s="67" t="str">
        <f t="shared" si="9"/>
        <v/>
      </c>
      <c r="J143" s="69"/>
      <c r="K143" s="69"/>
      <c r="L143" s="69"/>
      <c r="M143" s="68"/>
      <c r="N143" s="69"/>
      <c r="O143" s="69"/>
      <c r="P143" s="69"/>
      <c r="Q143" s="67" t="str">
        <f t="shared" si="10"/>
        <v/>
      </c>
      <c r="R143" s="81" t="str">
        <f t="shared" si="11"/>
        <v/>
      </c>
    </row>
    <row r="144" spans="1:18" x14ac:dyDescent="0.3">
      <c r="A144" s="69"/>
      <c r="B144" s="69"/>
      <c r="C144" s="68"/>
      <c r="D144" s="69"/>
      <c r="E144" s="69"/>
      <c r="F144" s="69"/>
      <c r="G144" s="69"/>
      <c r="H144" s="67" t="str">
        <f t="shared" si="8"/>
        <v/>
      </c>
      <c r="I144" s="67" t="str">
        <f t="shared" si="9"/>
        <v/>
      </c>
      <c r="J144" s="69"/>
      <c r="K144" s="69"/>
      <c r="L144" s="69"/>
      <c r="M144" s="68"/>
      <c r="N144" s="69"/>
      <c r="O144" s="69"/>
      <c r="P144" s="69"/>
      <c r="Q144" s="67" t="str">
        <f t="shared" si="10"/>
        <v/>
      </c>
      <c r="R144" s="81" t="str">
        <f t="shared" si="11"/>
        <v/>
      </c>
    </row>
    <row r="145" spans="1:18" x14ac:dyDescent="0.3">
      <c r="A145" s="69"/>
      <c r="B145" s="69"/>
      <c r="C145" s="68"/>
      <c r="D145" s="69"/>
      <c r="E145" s="69"/>
      <c r="F145" s="69"/>
      <c r="G145" s="69"/>
      <c r="H145" s="67" t="str">
        <f t="shared" si="8"/>
        <v/>
      </c>
      <c r="I145" s="67" t="str">
        <f t="shared" si="9"/>
        <v/>
      </c>
      <c r="J145" s="69"/>
      <c r="K145" s="69"/>
      <c r="L145" s="69"/>
      <c r="M145" s="68"/>
      <c r="N145" s="69"/>
      <c r="O145" s="69"/>
      <c r="P145" s="69"/>
      <c r="Q145" s="67" t="str">
        <f t="shared" si="10"/>
        <v/>
      </c>
      <c r="R145" s="81" t="str">
        <f t="shared" si="11"/>
        <v/>
      </c>
    </row>
    <row r="146" spans="1:18" x14ac:dyDescent="0.3">
      <c r="A146" s="69"/>
      <c r="B146" s="69"/>
      <c r="C146" s="68"/>
      <c r="D146" s="69"/>
      <c r="E146" s="69"/>
      <c r="F146" s="69"/>
      <c r="G146" s="69"/>
      <c r="H146" s="67" t="str">
        <f t="shared" si="8"/>
        <v/>
      </c>
      <c r="I146" s="67" t="str">
        <f t="shared" si="9"/>
        <v/>
      </c>
      <c r="J146" s="69"/>
      <c r="K146" s="69"/>
      <c r="L146" s="69"/>
      <c r="M146" s="68"/>
      <c r="N146" s="69"/>
      <c r="O146" s="69"/>
      <c r="P146" s="69"/>
      <c r="Q146" s="67" t="str">
        <f t="shared" si="10"/>
        <v/>
      </c>
      <c r="R146" s="81" t="str">
        <f t="shared" si="11"/>
        <v/>
      </c>
    </row>
    <row r="147" spans="1:18" x14ac:dyDescent="0.3">
      <c r="A147" s="69"/>
      <c r="B147" s="69"/>
      <c r="C147" s="68"/>
      <c r="D147" s="69"/>
      <c r="E147" s="69"/>
      <c r="F147" s="69"/>
      <c r="G147" s="69"/>
      <c r="H147" s="67" t="str">
        <f t="shared" si="8"/>
        <v/>
      </c>
      <c r="I147" s="67" t="str">
        <f t="shared" si="9"/>
        <v/>
      </c>
      <c r="J147" s="69"/>
      <c r="K147" s="69"/>
      <c r="L147" s="69"/>
      <c r="M147" s="68"/>
      <c r="N147" s="69"/>
      <c r="O147" s="69"/>
      <c r="P147" s="69"/>
      <c r="Q147" s="67" t="str">
        <f t="shared" si="10"/>
        <v/>
      </c>
      <c r="R147" s="81" t="str">
        <f t="shared" si="11"/>
        <v/>
      </c>
    </row>
    <row r="148" spans="1:18" x14ac:dyDescent="0.3">
      <c r="A148" s="69"/>
      <c r="B148" s="69"/>
      <c r="C148" s="68"/>
      <c r="D148" s="69"/>
      <c r="E148" s="69"/>
      <c r="F148" s="69"/>
      <c r="G148" s="69"/>
      <c r="H148" s="67" t="str">
        <f t="shared" si="8"/>
        <v/>
      </c>
      <c r="I148" s="67" t="str">
        <f t="shared" si="9"/>
        <v/>
      </c>
      <c r="J148" s="69"/>
      <c r="K148" s="69"/>
      <c r="L148" s="69"/>
      <c r="M148" s="68"/>
      <c r="N148" s="69"/>
      <c r="O148" s="69"/>
      <c r="P148" s="69"/>
      <c r="Q148" s="67" t="str">
        <f t="shared" si="10"/>
        <v/>
      </c>
      <c r="R148" s="81" t="str">
        <f t="shared" si="11"/>
        <v/>
      </c>
    </row>
    <row r="149" spans="1:18" x14ac:dyDescent="0.3">
      <c r="A149" s="69"/>
      <c r="B149" s="69"/>
      <c r="C149" s="68"/>
      <c r="D149" s="69"/>
      <c r="E149" s="69"/>
      <c r="F149" s="69"/>
      <c r="G149" s="69"/>
      <c r="H149" s="67" t="str">
        <f t="shared" si="8"/>
        <v/>
      </c>
      <c r="I149" s="67" t="str">
        <f t="shared" si="9"/>
        <v/>
      </c>
      <c r="J149" s="69"/>
      <c r="K149" s="69"/>
      <c r="L149" s="69"/>
      <c r="M149" s="68"/>
      <c r="N149" s="69"/>
      <c r="O149" s="69"/>
      <c r="P149" s="69"/>
      <c r="Q149" s="67" t="str">
        <f t="shared" si="10"/>
        <v/>
      </c>
      <c r="R149" s="81" t="str">
        <f t="shared" si="11"/>
        <v/>
      </c>
    </row>
    <row r="150" spans="1:18" x14ac:dyDescent="0.3">
      <c r="A150" s="69"/>
      <c r="B150" s="69"/>
      <c r="C150" s="68"/>
      <c r="D150" s="69"/>
      <c r="E150" s="69"/>
      <c r="F150" s="69"/>
      <c r="G150" s="69"/>
      <c r="H150" s="67" t="str">
        <f t="shared" si="8"/>
        <v/>
      </c>
      <c r="I150" s="67" t="str">
        <f t="shared" si="9"/>
        <v/>
      </c>
      <c r="J150" s="69"/>
      <c r="K150" s="69"/>
      <c r="L150" s="69"/>
      <c r="M150" s="68"/>
      <c r="N150" s="69"/>
      <c r="O150" s="69"/>
      <c r="P150" s="69"/>
      <c r="Q150" s="67" t="str">
        <f t="shared" si="10"/>
        <v/>
      </c>
      <c r="R150" s="81" t="str">
        <f t="shared" si="11"/>
        <v/>
      </c>
    </row>
    <row r="151" spans="1:18" x14ac:dyDescent="0.3">
      <c r="A151" s="69"/>
      <c r="B151" s="69"/>
      <c r="C151" s="68"/>
      <c r="D151" s="69"/>
      <c r="E151" s="69"/>
      <c r="F151" s="69"/>
      <c r="G151" s="69"/>
      <c r="H151" s="67" t="str">
        <f t="shared" si="8"/>
        <v/>
      </c>
      <c r="I151" s="67" t="str">
        <f t="shared" si="9"/>
        <v/>
      </c>
      <c r="J151" s="69"/>
      <c r="K151" s="69"/>
      <c r="L151" s="69"/>
      <c r="M151" s="68"/>
      <c r="N151" s="69"/>
      <c r="O151" s="69"/>
      <c r="P151" s="69"/>
      <c r="Q151" s="67" t="str">
        <f t="shared" si="10"/>
        <v/>
      </c>
      <c r="R151" s="81" t="str">
        <f t="shared" si="11"/>
        <v/>
      </c>
    </row>
    <row r="152" spans="1:18" x14ac:dyDescent="0.3">
      <c r="A152" s="69"/>
      <c r="B152" s="69"/>
      <c r="C152" s="68"/>
      <c r="D152" s="69"/>
      <c r="E152" s="69"/>
      <c r="F152" s="69"/>
      <c r="G152" s="69"/>
      <c r="H152" s="67" t="str">
        <f t="shared" si="8"/>
        <v/>
      </c>
      <c r="I152" s="67" t="str">
        <f t="shared" si="9"/>
        <v/>
      </c>
      <c r="J152" s="69"/>
      <c r="K152" s="69"/>
      <c r="L152" s="69"/>
      <c r="M152" s="68"/>
      <c r="N152" s="69"/>
      <c r="O152" s="69"/>
      <c r="P152" s="69"/>
      <c r="Q152" s="67" t="str">
        <f t="shared" si="10"/>
        <v/>
      </c>
      <c r="R152" s="81" t="str">
        <f t="shared" si="11"/>
        <v/>
      </c>
    </row>
    <row r="153" spans="1:18" x14ac:dyDescent="0.3">
      <c r="A153" s="69"/>
      <c r="B153" s="69"/>
      <c r="C153" s="68"/>
      <c r="D153" s="69"/>
      <c r="E153" s="69"/>
      <c r="F153" s="69"/>
      <c r="G153" s="69"/>
      <c r="H153" s="67" t="str">
        <f t="shared" si="8"/>
        <v/>
      </c>
      <c r="I153" s="67" t="str">
        <f t="shared" si="9"/>
        <v/>
      </c>
      <c r="J153" s="69"/>
      <c r="K153" s="69"/>
      <c r="L153" s="69"/>
      <c r="M153" s="68"/>
      <c r="N153" s="69"/>
      <c r="O153" s="69"/>
      <c r="P153" s="69"/>
      <c r="Q153" s="67" t="str">
        <f t="shared" si="10"/>
        <v/>
      </c>
      <c r="R153" s="81" t="str">
        <f t="shared" si="11"/>
        <v/>
      </c>
    </row>
    <row r="154" spans="1:18" x14ac:dyDescent="0.3">
      <c r="A154" s="69"/>
      <c r="B154" s="69"/>
      <c r="C154" s="68"/>
      <c r="D154" s="69"/>
      <c r="E154" s="69"/>
      <c r="F154" s="69"/>
      <c r="G154" s="69"/>
      <c r="H154" s="67" t="str">
        <f t="shared" si="8"/>
        <v/>
      </c>
      <c r="I154" s="67" t="str">
        <f t="shared" si="9"/>
        <v/>
      </c>
      <c r="J154" s="69"/>
      <c r="K154" s="69"/>
      <c r="L154" s="69"/>
      <c r="M154" s="68"/>
      <c r="N154" s="69"/>
      <c r="O154" s="69"/>
      <c r="P154" s="69"/>
      <c r="Q154" s="67" t="str">
        <f t="shared" si="10"/>
        <v/>
      </c>
      <c r="R154" s="81" t="str">
        <f t="shared" si="11"/>
        <v/>
      </c>
    </row>
    <row r="155" spans="1:18" x14ac:dyDescent="0.3">
      <c r="A155" s="69"/>
      <c r="B155" s="69"/>
      <c r="C155" s="68"/>
      <c r="D155" s="69"/>
      <c r="E155" s="69"/>
      <c r="F155" s="69"/>
      <c r="G155" s="69"/>
      <c r="H155" s="67" t="str">
        <f t="shared" si="8"/>
        <v/>
      </c>
      <c r="I155" s="67" t="str">
        <f t="shared" si="9"/>
        <v/>
      </c>
      <c r="J155" s="69"/>
      <c r="K155" s="69"/>
      <c r="L155" s="69"/>
      <c r="M155" s="68"/>
      <c r="N155" s="69"/>
      <c r="O155" s="69"/>
      <c r="P155" s="69"/>
      <c r="Q155" s="67" t="str">
        <f t="shared" si="10"/>
        <v/>
      </c>
      <c r="R155" s="81" t="str">
        <f t="shared" si="11"/>
        <v/>
      </c>
    </row>
    <row r="156" spans="1:18" x14ac:dyDescent="0.3">
      <c r="A156" s="69"/>
      <c r="B156" s="69"/>
      <c r="C156" s="68"/>
      <c r="D156" s="69"/>
      <c r="E156" s="69"/>
      <c r="F156" s="69"/>
      <c r="G156" s="69"/>
      <c r="H156" s="67" t="str">
        <f t="shared" si="8"/>
        <v/>
      </c>
      <c r="I156" s="67" t="str">
        <f t="shared" si="9"/>
        <v/>
      </c>
      <c r="J156" s="69"/>
      <c r="K156" s="69"/>
      <c r="L156" s="69"/>
      <c r="M156" s="68"/>
      <c r="N156" s="69"/>
      <c r="O156" s="69"/>
      <c r="P156" s="69"/>
      <c r="Q156" s="67" t="str">
        <f t="shared" si="10"/>
        <v/>
      </c>
      <c r="R156" s="81" t="str">
        <f t="shared" si="11"/>
        <v/>
      </c>
    </row>
    <row r="157" spans="1:18" x14ac:dyDescent="0.3">
      <c r="A157" s="69"/>
      <c r="B157" s="69"/>
      <c r="C157" s="68"/>
      <c r="D157" s="69"/>
      <c r="E157" s="69"/>
      <c r="F157" s="69"/>
      <c r="G157" s="69"/>
      <c r="H157" s="67" t="str">
        <f t="shared" si="8"/>
        <v/>
      </c>
      <c r="I157" s="67" t="str">
        <f t="shared" si="9"/>
        <v/>
      </c>
      <c r="J157" s="69"/>
      <c r="K157" s="69"/>
      <c r="L157" s="69"/>
      <c r="M157" s="68"/>
      <c r="N157" s="69"/>
      <c r="O157" s="69"/>
      <c r="P157" s="69"/>
      <c r="Q157" s="67" t="str">
        <f t="shared" si="10"/>
        <v/>
      </c>
      <c r="R157" s="81" t="str">
        <f t="shared" si="11"/>
        <v/>
      </c>
    </row>
    <row r="158" spans="1:18" x14ac:dyDescent="0.3">
      <c r="A158" s="69"/>
      <c r="B158" s="69"/>
      <c r="C158" s="68"/>
      <c r="D158" s="69"/>
      <c r="E158" s="69"/>
      <c r="F158" s="69"/>
      <c r="G158" s="69"/>
      <c r="H158" s="67" t="str">
        <f t="shared" si="8"/>
        <v/>
      </c>
      <c r="I158" s="67" t="str">
        <f t="shared" si="9"/>
        <v/>
      </c>
      <c r="J158" s="69"/>
      <c r="K158" s="69"/>
      <c r="L158" s="69"/>
      <c r="M158" s="68"/>
      <c r="N158" s="69"/>
      <c r="O158" s="69"/>
      <c r="P158" s="69"/>
      <c r="Q158" s="67" t="str">
        <f t="shared" si="10"/>
        <v/>
      </c>
      <c r="R158" s="81" t="str">
        <f t="shared" si="11"/>
        <v/>
      </c>
    </row>
    <row r="159" spans="1:18" x14ac:dyDescent="0.3">
      <c r="A159" s="69"/>
      <c r="B159" s="69"/>
      <c r="C159" s="68"/>
      <c r="D159" s="69"/>
      <c r="E159" s="69"/>
      <c r="F159" s="69"/>
      <c r="G159" s="69"/>
      <c r="H159" s="67" t="str">
        <f t="shared" si="8"/>
        <v/>
      </c>
      <c r="I159" s="67" t="str">
        <f t="shared" si="9"/>
        <v/>
      </c>
      <c r="J159" s="69"/>
      <c r="K159" s="69"/>
      <c r="L159" s="69"/>
      <c r="M159" s="68"/>
      <c r="N159" s="69"/>
      <c r="O159" s="69"/>
      <c r="P159" s="69"/>
      <c r="Q159" s="67" t="str">
        <f t="shared" si="10"/>
        <v/>
      </c>
      <c r="R159" s="81" t="str">
        <f t="shared" si="11"/>
        <v/>
      </c>
    </row>
    <row r="160" spans="1:18" x14ac:dyDescent="0.3">
      <c r="A160" s="69"/>
      <c r="B160" s="69"/>
      <c r="C160" s="68"/>
      <c r="D160" s="69"/>
      <c r="E160" s="69"/>
      <c r="F160" s="69"/>
      <c r="G160" s="69"/>
      <c r="H160" s="67" t="str">
        <f t="shared" si="8"/>
        <v/>
      </c>
      <c r="I160" s="67" t="str">
        <f t="shared" si="9"/>
        <v/>
      </c>
      <c r="J160" s="69"/>
      <c r="K160" s="69"/>
      <c r="L160" s="69"/>
      <c r="M160" s="68"/>
      <c r="N160" s="69"/>
      <c r="O160" s="69"/>
      <c r="P160" s="69"/>
      <c r="Q160" s="67" t="str">
        <f t="shared" si="10"/>
        <v/>
      </c>
      <c r="R160" s="81" t="str">
        <f t="shared" si="11"/>
        <v/>
      </c>
    </row>
    <row r="161" spans="1:18" x14ac:dyDescent="0.3">
      <c r="A161" s="69"/>
      <c r="B161" s="69"/>
      <c r="C161" s="68"/>
      <c r="D161" s="69"/>
      <c r="E161" s="69"/>
      <c r="F161" s="69"/>
      <c r="G161" s="69"/>
      <c r="H161" s="67" t="str">
        <f t="shared" si="8"/>
        <v/>
      </c>
      <c r="I161" s="67" t="str">
        <f t="shared" si="9"/>
        <v/>
      </c>
      <c r="J161" s="69"/>
      <c r="K161" s="69"/>
      <c r="L161" s="69"/>
      <c r="M161" s="68"/>
      <c r="N161" s="69"/>
      <c r="O161" s="69"/>
      <c r="P161" s="69"/>
      <c r="Q161" s="67" t="str">
        <f t="shared" si="10"/>
        <v/>
      </c>
      <c r="R161" s="81" t="str">
        <f t="shared" si="11"/>
        <v/>
      </c>
    </row>
    <row r="162" spans="1:18" x14ac:dyDescent="0.3">
      <c r="A162" s="69"/>
      <c r="B162" s="69"/>
      <c r="C162" s="68"/>
      <c r="D162" s="69"/>
      <c r="E162" s="69"/>
      <c r="F162" s="69"/>
      <c r="G162" s="69"/>
      <c r="H162" s="67" t="str">
        <f t="shared" si="8"/>
        <v/>
      </c>
      <c r="I162" s="67" t="str">
        <f t="shared" si="9"/>
        <v/>
      </c>
      <c r="J162" s="69"/>
      <c r="K162" s="69"/>
      <c r="L162" s="69"/>
      <c r="M162" s="68"/>
      <c r="N162" s="69"/>
      <c r="O162" s="69"/>
      <c r="P162" s="69"/>
      <c r="Q162" s="67" t="str">
        <f t="shared" si="10"/>
        <v/>
      </c>
      <c r="R162" s="81" t="str">
        <f t="shared" si="11"/>
        <v/>
      </c>
    </row>
    <row r="163" spans="1:18" x14ac:dyDescent="0.3">
      <c r="A163" s="69"/>
      <c r="B163" s="69"/>
      <c r="C163" s="68"/>
      <c r="D163" s="69"/>
      <c r="E163" s="69"/>
      <c r="F163" s="69"/>
      <c r="G163" s="69"/>
      <c r="H163" s="67" t="str">
        <f t="shared" si="8"/>
        <v/>
      </c>
      <c r="I163" s="67" t="str">
        <f t="shared" si="9"/>
        <v/>
      </c>
      <c r="J163" s="69"/>
      <c r="K163" s="69"/>
      <c r="L163" s="69"/>
      <c r="M163" s="68"/>
      <c r="N163" s="69"/>
      <c r="O163" s="69"/>
      <c r="P163" s="69"/>
      <c r="Q163" s="67" t="str">
        <f t="shared" si="10"/>
        <v/>
      </c>
      <c r="R163" s="81" t="str">
        <f t="shared" si="11"/>
        <v/>
      </c>
    </row>
    <row r="164" spans="1:18" x14ac:dyDescent="0.3">
      <c r="A164" s="69"/>
      <c r="B164" s="69"/>
      <c r="C164" s="68"/>
      <c r="D164" s="69"/>
      <c r="E164" s="69"/>
      <c r="F164" s="69"/>
      <c r="G164" s="69"/>
      <c r="H164" s="67" t="str">
        <f t="shared" si="8"/>
        <v/>
      </c>
      <c r="I164" s="67" t="str">
        <f t="shared" si="9"/>
        <v/>
      </c>
      <c r="J164" s="69"/>
      <c r="K164" s="69"/>
      <c r="L164" s="69"/>
      <c r="M164" s="68"/>
      <c r="N164" s="69"/>
      <c r="O164" s="69"/>
      <c r="P164" s="69"/>
      <c r="Q164" s="67" t="str">
        <f t="shared" si="10"/>
        <v/>
      </c>
      <c r="R164" s="81" t="str">
        <f t="shared" si="11"/>
        <v/>
      </c>
    </row>
    <row r="165" spans="1:18" x14ac:dyDescent="0.3">
      <c r="A165" s="69"/>
      <c r="B165" s="69"/>
      <c r="C165" s="68"/>
      <c r="D165" s="69"/>
      <c r="E165" s="69"/>
      <c r="F165" s="69"/>
      <c r="G165" s="69"/>
      <c r="H165" s="67" t="str">
        <f t="shared" si="8"/>
        <v/>
      </c>
      <c r="I165" s="67" t="str">
        <f t="shared" si="9"/>
        <v/>
      </c>
      <c r="J165" s="69"/>
      <c r="K165" s="69"/>
      <c r="L165" s="69"/>
      <c r="M165" s="68"/>
      <c r="N165" s="69"/>
      <c r="O165" s="69"/>
      <c r="P165" s="69"/>
      <c r="Q165" s="67" t="str">
        <f t="shared" si="10"/>
        <v/>
      </c>
      <c r="R165" s="81" t="str">
        <f t="shared" si="11"/>
        <v/>
      </c>
    </row>
    <row r="166" spans="1:18" x14ac:dyDescent="0.3">
      <c r="A166" s="69"/>
      <c r="B166" s="69"/>
      <c r="C166" s="68"/>
      <c r="D166" s="69"/>
      <c r="E166" s="69"/>
      <c r="F166" s="69"/>
      <c r="G166" s="69"/>
      <c r="H166" s="67" t="str">
        <f t="shared" si="8"/>
        <v/>
      </c>
      <c r="I166" s="67" t="str">
        <f t="shared" si="9"/>
        <v/>
      </c>
      <c r="J166" s="69"/>
      <c r="K166" s="69"/>
      <c r="L166" s="69"/>
      <c r="M166" s="68"/>
      <c r="N166" s="69"/>
      <c r="O166" s="69"/>
      <c r="P166" s="69"/>
      <c r="Q166" s="67" t="str">
        <f t="shared" si="10"/>
        <v/>
      </c>
      <c r="R166" s="81" t="str">
        <f t="shared" si="11"/>
        <v/>
      </c>
    </row>
    <row r="167" spans="1:18" x14ac:dyDescent="0.3">
      <c r="A167" s="69"/>
      <c r="B167" s="69"/>
      <c r="C167" s="68"/>
      <c r="D167" s="69"/>
      <c r="E167" s="69"/>
      <c r="F167" s="69"/>
      <c r="G167" s="69"/>
      <c r="H167" s="67" t="str">
        <f t="shared" si="8"/>
        <v/>
      </c>
      <c r="I167" s="67" t="str">
        <f t="shared" si="9"/>
        <v/>
      </c>
      <c r="J167" s="69"/>
      <c r="K167" s="69"/>
      <c r="L167" s="69"/>
      <c r="M167" s="68"/>
      <c r="N167" s="69"/>
      <c r="O167" s="69"/>
      <c r="P167" s="69"/>
      <c r="Q167" s="67" t="str">
        <f t="shared" si="10"/>
        <v/>
      </c>
      <c r="R167" s="81" t="str">
        <f t="shared" si="11"/>
        <v/>
      </c>
    </row>
    <row r="168" spans="1:18" x14ac:dyDescent="0.3">
      <c r="A168" s="69"/>
      <c r="B168" s="69"/>
      <c r="C168" s="68"/>
      <c r="D168" s="69"/>
      <c r="E168" s="69"/>
      <c r="F168" s="69"/>
      <c r="G168" s="69"/>
      <c r="H168" s="67" t="str">
        <f t="shared" si="8"/>
        <v/>
      </c>
      <c r="I168" s="67" t="str">
        <f t="shared" si="9"/>
        <v/>
      </c>
      <c r="J168" s="69"/>
      <c r="K168" s="69"/>
      <c r="L168" s="69"/>
      <c r="M168" s="68"/>
      <c r="N168" s="69"/>
      <c r="O168" s="69"/>
      <c r="P168" s="69"/>
      <c r="Q168" s="67" t="str">
        <f t="shared" si="10"/>
        <v/>
      </c>
      <c r="R168" s="81" t="str">
        <f t="shared" si="11"/>
        <v/>
      </c>
    </row>
    <row r="169" spans="1:18" x14ac:dyDescent="0.3">
      <c r="A169" s="69"/>
      <c r="B169" s="69"/>
      <c r="C169" s="68"/>
      <c r="D169" s="69"/>
      <c r="E169" s="69"/>
      <c r="F169" s="69"/>
      <c r="G169" s="69"/>
      <c r="H169" s="67" t="str">
        <f t="shared" si="8"/>
        <v/>
      </c>
      <c r="I169" s="67" t="str">
        <f t="shared" si="9"/>
        <v/>
      </c>
      <c r="J169" s="69"/>
      <c r="K169" s="69"/>
      <c r="L169" s="69"/>
      <c r="M169" s="68"/>
      <c r="N169" s="69"/>
      <c r="O169" s="69"/>
      <c r="P169" s="69"/>
      <c r="Q169" s="67" t="str">
        <f t="shared" si="10"/>
        <v/>
      </c>
      <c r="R169" s="81" t="str">
        <f t="shared" si="11"/>
        <v/>
      </c>
    </row>
    <row r="170" spans="1:18" x14ac:dyDescent="0.3">
      <c r="A170" s="69"/>
      <c r="B170" s="69"/>
      <c r="C170" s="68"/>
      <c r="D170" s="69"/>
      <c r="E170" s="69"/>
      <c r="F170" s="69"/>
      <c r="G170" s="69"/>
      <c r="H170" s="67" t="str">
        <f t="shared" si="8"/>
        <v/>
      </c>
      <c r="I170" s="67" t="str">
        <f t="shared" si="9"/>
        <v/>
      </c>
      <c r="J170" s="69"/>
      <c r="K170" s="69"/>
      <c r="L170" s="69"/>
      <c r="M170" s="68"/>
      <c r="N170" s="69"/>
      <c r="O170" s="69"/>
      <c r="P170" s="69"/>
      <c r="Q170" s="67" t="str">
        <f t="shared" si="10"/>
        <v/>
      </c>
      <c r="R170" s="81" t="str">
        <f t="shared" si="11"/>
        <v/>
      </c>
    </row>
    <row r="171" spans="1:18" x14ac:dyDescent="0.3">
      <c r="A171" s="69"/>
      <c r="B171" s="69"/>
      <c r="C171" s="68"/>
      <c r="D171" s="69"/>
      <c r="E171" s="69"/>
      <c r="F171" s="69"/>
      <c r="G171" s="69"/>
      <c r="H171" s="67" t="str">
        <f t="shared" si="8"/>
        <v/>
      </c>
      <c r="I171" s="67" t="str">
        <f t="shared" si="9"/>
        <v/>
      </c>
      <c r="J171" s="69"/>
      <c r="K171" s="69"/>
      <c r="L171" s="69"/>
      <c r="M171" s="68"/>
      <c r="N171" s="69"/>
      <c r="O171" s="69"/>
      <c r="P171" s="69"/>
      <c r="Q171" s="67" t="str">
        <f t="shared" si="10"/>
        <v/>
      </c>
      <c r="R171" s="81" t="str">
        <f t="shared" si="11"/>
        <v/>
      </c>
    </row>
    <row r="172" spans="1:18" x14ac:dyDescent="0.3">
      <c r="A172" s="69"/>
      <c r="B172" s="69"/>
      <c r="C172" s="68"/>
      <c r="D172" s="69"/>
      <c r="E172" s="69"/>
      <c r="F172" s="69"/>
      <c r="G172" s="69"/>
      <c r="H172" s="67" t="str">
        <f t="shared" si="8"/>
        <v/>
      </c>
      <c r="I172" s="67" t="str">
        <f t="shared" si="9"/>
        <v/>
      </c>
      <c r="J172" s="69"/>
      <c r="K172" s="69"/>
      <c r="L172" s="69"/>
      <c r="M172" s="68"/>
      <c r="N172" s="69"/>
      <c r="O172" s="69"/>
      <c r="P172" s="69"/>
      <c r="Q172" s="67" t="str">
        <f t="shared" si="10"/>
        <v/>
      </c>
      <c r="R172" s="81" t="str">
        <f t="shared" si="11"/>
        <v/>
      </c>
    </row>
    <row r="173" spans="1:18" x14ac:dyDescent="0.3">
      <c r="A173" s="69"/>
      <c r="B173" s="69"/>
      <c r="C173" s="68"/>
      <c r="D173" s="69"/>
      <c r="E173" s="69"/>
      <c r="F173" s="69"/>
      <c r="G173" s="69"/>
      <c r="H173" s="67" t="str">
        <f t="shared" si="8"/>
        <v/>
      </c>
      <c r="I173" s="67" t="str">
        <f t="shared" si="9"/>
        <v/>
      </c>
      <c r="J173" s="69"/>
      <c r="K173" s="69"/>
      <c r="L173" s="69"/>
      <c r="M173" s="68"/>
      <c r="N173" s="69"/>
      <c r="O173" s="69"/>
      <c r="P173" s="69"/>
      <c r="Q173" s="67" t="str">
        <f t="shared" si="10"/>
        <v/>
      </c>
      <c r="R173" s="81" t="str">
        <f t="shared" si="11"/>
        <v/>
      </c>
    </row>
    <row r="174" spans="1:18" x14ac:dyDescent="0.3">
      <c r="A174" s="69"/>
      <c r="B174" s="69"/>
      <c r="C174" s="68"/>
      <c r="D174" s="69"/>
      <c r="E174" s="69"/>
      <c r="F174" s="69"/>
      <c r="G174" s="69"/>
      <c r="H174" s="67" t="str">
        <f t="shared" si="8"/>
        <v/>
      </c>
      <c r="I174" s="67" t="str">
        <f t="shared" si="9"/>
        <v/>
      </c>
      <c r="J174" s="69"/>
      <c r="K174" s="69"/>
      <c r="L174" s="69"/>
      <c r="M174" s="68"/>
      <c r="N174" s="69"/>
      <c r="O174" s="69"/>
      <c r="P174" s="69"/>
      <c r="Q174" s="67" t="str">
        <f t="shared" si="10"/>
        <v/>
      </c>
      <c r="R174" s="81" t="str">
        <f t="shared" si="11"/>
        <v/>
      </c>
    </row>
    <row r="175" spans="1:18" x14ac:dyDescent="0.3">
      <c r="A175" s="69"/>
      <c r="B175" s="69"/>
      <c r="C175" s="68"/>
      <c r="D175" s="69"/>
      <c r="E175" s="69"/>
      <c r="F175" s="69"/>
      <c r="G175" s="69"/>
      <c r="H175" s="67" t="str">
        <f t="shared" si="8"/>
        <v/>
      </c>
      <c r="I175" s="67" t="str">
        <f t="shared" si="9"/>
        <v/>
      </c>
      <c r="J175" s="69"/>
      <c r="K175" s="69"/>
      <c r="L175" s="69"/>
      <c r="M175" s="68"/>
      <c r="N175" s="69"/>
      <c r="O175" s="69"/>
      <c r="P175" s="69"/>
      <c r="Q175" s="67" t="str">
        <f t="shared" si="10"/>
        <v/>
      </c>
      <c r="R175" s="81" t="str">
        <f t="shared" si="11"/>
        <v/>
      </c>
    </row>
    <row r="176" spans="1:18" x14ac:dyDescent="0.3">
      <c r="A176" s="69"/>
      <c r="B176" s="69"/>
      <c r="C176" s="68"/>
      <c r="D176" s="69"/>
      <c r="E176" s="69"/>
      <c r="F176" s="69"/>
      <c r="G176" s="69"/>
      <c r="H176" s="67" t="str">
        <f t="shared" si="8"/>
        <v/>
      </c>
      <c r="I176" s="67" t="str">
        <f t="shared" si="9"/>
        <v/>
      </c>
      <c r="J176" s="69"/>
      <c r="K176" s="69"/>
      <c r="L176" s="69"/>
      <c r="M176" s="68"/>
      <c r="N176" s="69"/>
      <c r="O176" s="69"/>
      <c r="P176" s="69"/>
      <c r="Q176" s="67" t="str">
        <f t="shared" si="10"/>
        <v/>
      </c>
      <c r="R176" s="81" t="str">
        <f t="shared" si="11"/>
        <v/>
      </c>
    </row>
    <row r="177" spans="1:18" x14ac:dyDescent="0.3">
      <c r="A177" s="69"/>
      <c r="B177" s="69"/>
      <c r="C177" s="68"/>
      <c r="D177" s="69"/>
      <c r="E177" s="69"/>
      <c r="F177" s="69"/>
      <c r="G177" s="69"/>
      <c r="H177" s="67" t="str">
        <f t="shared" si="8"/>
        <v/>
      </c>
      <c r="I177" s="67" t="str">
        <f t="shared" si="9"/>
        <v/>
      </c>
      <c r="J177" s="69"/>
      <c r="K177" s="69"/>
      <c r="L177" s="69"/>
      <c r="M177" s="68"/>
      <c r="N177" s="69"/>
      <c r="O177" s="69"/>
      <c r="P177" s="69"/>
      <c r="Q177" s="67" t="str">
        <f t="shared" si="10"/>
        <v/>
      </c>
      <c r="R177" s="81" t="str">
        <f t="shared" si="11"/>
        <v/>
      </c>
    </row>
    <row r="178" spans="1:18" x14ac:dyDescent="0.3">
      <c r="A178" s="69"/>
      <c r="B178" s="69"/>
      <c r="C178" s="68"/>
      <c r="D178" s="69"/>
      <c r="E178" s="69"/>
      <c r="F178" s="69"/>
      <c r="G178" s="69"/>
      <c r="H178" s="67" t="str">
        <f t="shared" si="8"/>
        <v/>
      </c>
      <c r="I178" s="67" t="str">
        <f t="shared" si="9"/>
        <v/>
      </c>
      <c r="J178" s="69"/>
      <c r="K178" s="69"/>
      <c r="L178" s="69"/>
      <c r="M178" s="68"/>
      <c r="N178" s="69"/>
      <c r="O178" s="69"/>
      <c r="P178" s="69"/>
      <c r="Q178" s="67" t="str">
        <f t="shared" si="10"/>
        <v/>
      </c>
      <c r="R178" s="81" t="str">
        <f t="shared" si="11"/>
        <v/>
      </c>
    </row>
    <row r="179" spans="1:18" x14ac:dyDescent="0.3">
      <c r="A179" s="69"/>
      <c r="B179" s="69"/>
      <c r="C179" s="68"/>
      <c r="D179" s="69"/>
      <c r="E179" s="69"/>
      <c r="F179" s="69"/>
      <c r="G179" s="69"/>
      <c r="H179" s="67" t="str">
        <f t="shared" si="8"/>
        <v/>
      </c>
      <c r="I179" s="67" t="str">
        <f t="shared" si="9"/>
        <v/>
      </c>
      <c r="J179" s="69"/>
      <c r="K179" s="69"/>
      <c r="L179" s="69"/>
      <c r="M179" s="68"/>
      <c r="N179" s="69"/>
      <c r="O179" s="69"/>
      <c r="P179" s="69"/>
      <c r="Q179" s="67" t="str">
        <f t="shared" si="10"/>
        <v/>
      </c>
      <c r="R179" s="81" t="str">
        <f t="shared" si="11"/>
        <v/>
      </c>
    </row>
    <row r="180" spans="1:18" x14ac:dyDescent="0.3">
      <c r="A180" s="69"/>
      <c r="B180" s="69"/>
      <c r="C180" s="68"/>
      <c r="D180" s="69"/>
      <c r="E180" s="69"/>
      <c r="F180" s="69"/>
      <c r="G180" s="69"/>
      <c r="H180" s="67" t="str">
        <f t="shared" si="8"/>
        <v/>
      </c>
      <c r="I180" s="67" t="str">
        <f t="shared" si="9"/>
        <v/>
      </c>
      <c r="J180" s="69"/>
      <c r="K180" s="69"/>
      <c r="L180" s="69"/>
      <c r="M180" s="68"/>
      <c r="N180" s="69"/>
      <c r="O180" s="69"/>
      <c r="P180" s="69"/>
      <c r="Q180" s="67" t="str">
        <f t="shared" si="10"/>
        <v/>
      </c>
      <c r="R180" s="81" t="str">
        <f t="shared" si="11"/>
        <v/>
      </c>
    </row>
    <row r="181" spans="1:18" x14ac:dyDescent="0.3">
      <c r="A181" s="69"/>
      <c r="B181" s="69"/>
      <c r="C181" s="68"/>
      <c r="D181" s="69"/>
      <c r="E181" s="69"/>
      <c r="F181" s="69"/>
      <c r="G181" s="69"/>
      <c r="H181" s="67" t="str">
        <f t="shared" si="8"/>
        <v/>
      </c>
      <c r="I181" s="67" t="str">
        <f t="shared" si="9"/>
        <v/>
      </c>
      <c r="J181" s="69"/>
      <c r="K181" s="69"/>
      <c r="L181" s="69"/>
      <c r="M181" s="68"/>
      <c r="N181" s="69"/>
      <c r="O181" s="69"/>
      <c r="P181" s="69"/>
      <c r="Q181" s="67" t="str">
        <f t="shared" si="10"/>
        <v/>
      </c>
      <c r="R181" s="81" t="str">
        <f t="shared" si="11"/>
        <v/>
      </c>
    </row>
    <row r="182" spans="1:18" x14ac:dyDescent="0.3">
      <c r="A182" s="69"/>
      <c r="B182" s="69"/>
      <c r="C182" s="68"/>
      <c r="D182" s="69"/>
      <c r="E182" s="69"/>
      <c r="F182" s="69"/>
      <c r="G182" s="69"/>
      <c r="H182" s="67" t="str">
        <f t="shared" si="8"/>
        <v/>
      </c>
      <c r="I182" s="67" t="str">
        <f t="shared" si="9"/>
        <v/>
      </c>
      <c r="J182" s="69"/>
      <c r="K182" s="69"/>
      <c r="L182" s="69"/>
      <c r="M182" s="68"/>
      <c r="N182" s="69"/>
      <c r="O182" s="69"/>
      <c r="P182" s="69"/>
      <c r="Q182" s="67" t="str">
        <f t="shared" si="10"/>
        <v/>
      </c>
      <c r="R182" s="81" t="str">
        <f t="shared" si="11"/>
        <v/>
      </c>
    </row>
    <row r="183" spans="1:18" x14ac:dyDescent="0.3">
      <c r="A183" s="69"/>
      <c r="B183" s="69"/>
      <c r="C183" s="68"/>
      <c r="D183" s="69"/>
      <c r="E183" s="69"/>
      <c r="F183" s="69"/>
      <c r="G183" s="69"/>
      <c r="H183" s="67" t="str">
        <f t="shared" si="8"/>
        <v/>
      </c>
      <c r="I183" s="67" t="str">
        <f t="shared" si="9"/>
        <v/>
      </c>
      <c r="J183" s="69"/>
      <c r="K183" s="69"/>
      <c r="L183" s="69"/>
      <c r="M183" s="68"/>
      <c r="N183" s="69"/>
      <c r="O183" s="69"/>
      <c r="P183" s="69"/>
      <c r="Q183" s="67" t="str">
        <f t="shared" si="10"/>
        <v/>
      </c>
      <c r="R183" s="81" t="str">
        <f t="shared" si="11"/>
        <v/>
      </c>
    </row>
    <row r="184" spans="1:18" x14ac:dyDescent="0.3">
      <c r="A184" s="69"/>
      <c r="B184" s="69"/>
      <c r="C184" s="68"/>
      <c r="D184" s="69"/>
      <c r="E184" s="69"/>
      <c r="F184" s="69"/>
      <c r="G184" s="69"/>
      <c r="H184" s="67" t="str">
        <f t="shared" si="8"/>
        <v/>
      </c>
      <c r="I184" s="67" t="str">
        <f t="shared" si="9"/>
        <v/>
      </c>
      <c r="J184" s="69"/>
      <c r="K184" s="69"/>
      <c r="L184" s="69"/>
      <c r="M184" s="68"/>
      <c r="N184" s="69"/>
      <c r="O184" s="69"/>
      <c r="P184" s="69"/>
      <c r="Q184" s="67" t="str">
        <f t="shared" si="10"/>
        <v/>
      </c>
      <c r="R184" s="81" t="str">
        <f t="shared" si="11"/>
        <v/>
      </c>
    </row>
    <row r="185" spans="1:18" x14ac:dyDescent="0.3">
      <c r="A185" s="69"/>
      <c r="B185" s="69"/>
      <c r="C185" s="68"/>
      <c r="D185" s="69"/>
      <c r="E185" s="69"/>
      <c r="F185" s="69"/>
      <c r="G185" s="69"/>
      <c r="H185" s="67" t="str">
        <f t="shared" si="8"/>
        <v/>
      </c>
      <c r="I185" s="67" t="str">
        <f t="shared" si="9"/>
        <v/>
      </c>
      <c r="J185" s="69"/>
      <c r="K185" s="69"/>
      <c r="L185" s="69"/>
      <c r="M185" s="68"/>
      <c r="N185" s="69"/>
      <c r="O185" s="69"/>
      <c r="P185" s="69"/>
      <c r="Q185" s="67" t="str">
        <f t="shared" si="10"/>
        <v/>
      </c>
      <c r="R185" s="81" t="str">
        <f t="shared" si="11"/>
        <v/>
      </c>
    </row>
    <row r="186" spans="1:18" x14ac:dyDescent="0.3">
      <c r="A186" s="69"/>
      <c r="B186" s="69"/>
      <c r="C186" s="68"/>
      <c r="D186" s="69"/>
      <c r="E186" s="69"/>
      <c r="F186" s="69"/>
      <c r="G186" s="69"/>
      <c r="H186" s="67" t="str">
        <f t="shared" si="8"/>
        <v/>
      </c>
      <c r="I186" s="67" t="str">
        <f t="shared" si="9"/>
        <v/>
      </c>
      <c r="J186" s="69"/>
      <c r="K186" s="69"/>
      <c r="L186" s="69"/>
      <c r="M186" s="68"/>
      <c r="N186" s="69"/>
      <c r="O186" s="69"/>
      <c r="P186" s="69"/>
      <c r="Q186" s="67" t="str">
        <f t="shared" si="10"/>
        <v/>
      </c>
      <c r="R186" s="81" t="str">
        <f t="shared" si="11"/>
        <v/>
      </c>
    </row>
    <row r="187" spans="1:18" x14ac:dyDescent="0.3">
      <c r="A187" s="69"/>
      <c r="B187" s="69"/>
      <c r="C187" s="68"/>
      <c r="D187" s="69"/>
      <c r="E187" s="69"/>
      <c r="F187" s="69"/>
      <c r="G187" s="69"/>
      <c r="H187" s="67" t="str">
        <f t="shared" si="8"/>
        <v/>
      </c>
      <c r="I187" s="67" t="str">
        <f t="shared" si="9"/>
        <v/>
      </c>
      <c r="J187" s="69"/>
      <c r="K187" s="69"/>
      <c r="L187" s="69"/>
      <c r="M187" s="68"/>
      <c r="N187" s="69"/>
      <c r="O187" s="69"/>
      <c r="P187" s="69"/>
      <c r="Q187" s="67" t="str">
        <f t="shared" si="10"/>
        <v/>
      </c>
      <c r="R187" s="81" t="str">
        <f t="shared" si="11"/>
        <v/>
      </c>
    </row>
    <row r="188" spans="1:18" x14ac:dyDescent="0.3">
      <c r="A188" s="69"/>
      <c r="B188" s="69"/>
      <c r="C188" s="68"/>
      <c r="D188" s="69"/>
      <c r="E188" s="69"/>
      <c r="F188" s="69"/>
      <c r="G188" s="69"/>
      <c r="H188" s="67" t="str">
        <f t="shared" si="8"/>
        <v/>
      </c>
      <c r="I188" s="67" t="str">
        <f t="shared" si="9"/>
        <v/>
      </c>
      <c r="J188" s="69"/>
      <c r="K188" s="69"/>
      <c r="L188" s="69"/>
      <c r="M188" s="68"/>
      <c r="N188" s="69"/>
      <c r="O188" s="69"/>
      <c r="P188" s="69"/>
      <c r="Q188" s="67" t="str">
        <f t="shared" si="10"/>
        <v/>
      </c>
      <c r="R188" s="81" t="str">
        <f t="shared" si="11"/>
        <v/>
      </c>
    </row>
    <row r="189" spans="1:18" x14ac:dyDescent="0.3">
      <c r="A189" s="69"/>
      <c r="B189" s="69"/>
      <c r="C189" s="68"/>
      <c r="D189" s="69"/>
      <c r="E189" s="69"/>
      <c r="F189" s="69"/>
      <c r="G189" s="69"/>
      <c r="H189" s="67" t="str">
        <f t="shared" si="8"/>
        <v/>
      </c>
      <c r="I189" s="67" t="str">
        <f t="shared" si="9"/>
        <v/>
      </c>
      <c r="J189" s="69"/>
      <c r="K189" s="69"/>
      <c r="L189" s="69"/>
      <c r="M189" s="68"/>
      <c r="N189" s="69"/>
      <c r="O189" s="69"/>
      <c r="P189" s="69"/>
      <c r="Q189" s="67" t="str">
        <f t="shared" si="10"/>
        <v/>
      </c>
      <c r="R189" s="81" t="str">
        <f t="shared" si="11"/>
        <v/>
      </c>
    </row>
    <row r="190" spans="1:18" x14ac:dyDescent="0.3">
      <c r="A190" s="69"/>
      <c r="B190" s="69"/>
      <c r="C190" s="68"/>
      <c r="D190" s="69"/>
      <c r="E190" s="69"/>
      <c r="F190" s="69"/>
      <c r="G190" s="69"/>
      <c r="H190" s="67" t="str">
        <f t="shared" si="8"/>
        <v/>
      </c>
      <c r="I190" s="67" t="str">
        <f t="shared" si="9"/>
        <v/>
      </c>
      <c r="J190" s="69"/>
      <c r="K190" s="69"/>
      <c r="L190" s="69"/>
      <c r="M190" s="68"/>
      <c r="N190" s="69"/>
      <c r="O190" s="69"/>
      <c r="P190" s="69"/>
      <c r="Q190" s="67" t="str">
        <f t="shared" si="10"/>
        <v/>
      </c>
      <c r="R190" s="81" t="str">
        <f t="shared" si="11"/>
        <v/>
      </c>
    </row>
    <row r="191" spans="1:18" x14ac:dyDescent="0.3">
      <c r="A191" s="69"/>
      <c r="B191" s="69"/>
      <c r="C191" s="68"/>
      <c r="D191" s="69"/>
      <c r="E191" s="69"/>
      <c r="F191" s="69"/>
      <c r="G191" s="69"/>
      <c r="H191" s="67" t="str">
        <f t="shared" si="8"/>
        <v/>
      </c>
      <c r="I191" s="67" t="str">
        <f t="shared" si="9"/>
        <v/>
      </c>
      <c r="J191" s="69"/>
      <c r="K191" s="69"/>
      <c r="L191" s="69"/>
      <c r="M191" s="68"/>
      <c r="N191" s="69"/>
      <c r="O191" s="69"/>
      <c r="P191" s="69"/>
      <c r="Q191" s="67" t="str">
        <f t="shared" si="10"/>
        <v/>
      </c>
      <c r="R191" s="81" t="str">
        <f t="shared" si="11"/>
        <v/>
      </c>
    </row>
    <row r="192" spans="1:18" x14ac:dyDescent="0.3">
      <c r="A192" s="69"/>
      <c r="B192" s="69"/>
      <c r="C192" s="68"/>
      <c r="D192" s="69"/>
      <c r="E192" s="69"/>
      <c r="F192" s="69"/>
      <c r="G192" s="69"/>
      <c r="H192" s="67" t="str">
        <f t="shared" si="8"/>
        <v/>
      </c>
      <c r="I192" s="67" t="str">
        <f t="shared" si="9"/>
        <v/>
      </c>
      <c r="J192" s="69"/>
      <c r="K192" s="69"/>
      <c r="L192" s="69"/>
      <c r="M192" s="68"/>
      <c r="N192" s="69"/>
      <c r="O192" s="69"/>
      <c r="P192" s="69"/>
      <c r="Q192" s="67" t="str">
        <f t="shared" si="10"/>
        <v/>
      </c>
      <c r="R192" s="81" t="str">
        <f t="shared" si="11"/>
        <v/>
      </c>
    </row>
    <row r="193" spans="1:18" x14ac:dyDescent="0.3">
      <c r="A193" s="69"/>
      <c r="B193" s="69"/>
      <c r="C193" s="68"/>
      <c r="D193" s="69"/>
      <c r="E193" s="69"/>
      <c r="F193" s="69"/>
      <c r="G193" s="69"/>
      <c r="H193" s="67" t="str">
        <f t="shared" si="8"/>
        <v/>
      </c>
      <c r="I193" s="67" t="str">
        <f t="shared" si="9"/>
        <v/>
      </c>
      <c r="J193" s="69"/>
      <c r="K193" s="69"/>
      <c r="L193" s="69"/>
      <c r="M193" s="68"/>
      <c r="N193" s="69"/>
      <c r="O193" s="69"/>
      <c r="P193" s="69"/>
      <c r="Q193" s="67" t="str">
        <f t="shared" si="10"/>
        <v/>
      </c>
      <c r="R193" s="81" t="str">
        <f t="shared" si="11"/>
        <v/>
      </c>
    </row>
    <row r="194" spans="1:18" x14ac:dyDescent="0.3">
      <c r="A194" s="69"/>
      <c r="B194" s="69"/>
      <c r="C194" s="68"/>
      <c r="D194" s="69"/>
      <c r="E194" s="69"/>
      <c r="F194" s="69"/>
      <c r="G194" s="69"/>
      <c r="H194" s="67" t="str">
        <f t="shared" si="8"/>
        <v/>
      </c>
      <c r="I194" s="67" t="str">
        <f t="shared" si="9"/>
        <v/>
      </c>
      <c r="J194" s="69"/>
      <c r="K194" s="69"/>
      <c r="L194" s="69"/>
      <c r="M194" s="68"/>
      <c r="N194" s="69"/>
      <c r="O194" s="69"/>
      <c r="P194" s="69"/>
      <c r="Q194" s="67" t="str">
        <f t="shared" si="10"/>
        <v/>
      </c>
      <c r="R194" s="81" t="str">
        <f t="shared" si="11"/>
        <v/>
      </c>
    </row>
    <row r="195" spans="1:18" x14ac:dyDescent="0.3">
      <c r="A195" s="69"/>
      <c r="B195" s="69"/>
      <c r="C195" s="68"/>
      <c r="D195" s="69"/>
      <c r="E195" s="69"/>
      <c r="F195" s="69"/>
      <c r="G195" s="69"/>
      <c r="H195" s="67" t="str">
        <f t="shared" si="8"/>
        <v/>
      </c>
      <c r="I195" s="67" t="str">
        <f t="shared" si="9"/>
        <v/>
      </c>
      <c r="J195" s="69"/>
      <c r="K195" s="69"/>
      <c r="L195" s="69"/>
      <c r="M195" s="68"/>
      <c r="N195" s="69"/>
      <c r="O195" s="69"/>
      <c r="P195" s="69"/>
      <c r="Q195" s="67" t="str">
        <f t="shared" si="10"/>
        <v/>
      </c>
      <c r="R195" s="81" t="str">
        <f t="shared" si="11"/>
        <v/>
      </c>
    </row>
    <row r="196" spans="1:18" x14ac:dyDescent="0.3">
      <c r="A196" s="69"/>
      <c r="B196" s="69"/>
      <c r="C196" s="68"/>
      <c r="D196" s="69"/>
      <c r="E196" s="69"/>
      <c r="F196" s="69"/>
      <c r="G196" s="69"/>
      <c r="H196" s="67" t="str">
        <f t="shared" si="8"/>
        <v/>
      </c>
      <c r="I196" s="67" t="str">
        <f t="shared" si="9"/>
        <v/>
      </c>
      <c r="J196" s="69"/>
      <c r="K196" s="69"/>
      <c r="L196" s="69"/>
      <c r="M196" s="68"/>
      <c r="N196" s="69"/>
      <c r="O196" s="69"/>
      <c r="P196" s="69"/>
      <c r="Q196" s="67" t="str">
        <f t="shared" si="10"/>
        <v/>
      </c>
      <c r="R196" s="81" t="str">
        <f t="shared" si="11"/>
        <v/>
      </c>
    </row>
    <row r="197" spans="1:18" x14ac:dyDescent="0.3">
      <c r="A197" s="69"/>
      <c r="B197" s="69"/>
      <c r="C197" s="68"/>
      <c r="D197" s="69"/>
      <c r="E197" s="69"/>
      <c r="F197" s="69"/>
      <c r="G197" s="69"/>
      <c r="H197" s="67" t="str">
        <f t="shared" ref="H197:H260" si="12">IF(OR(F197="",G197=""),"",F197*G197)</f>
        <v/>
      </c>
      <c r="I197" s="67" t="str">
        <f t="shared" ref="I197:I260" si="13">IF(H197="","",IF(H197&gt;=15,"High",IF(H197&gt;=8,"Medium","Low")))</f>
        <v/>
      </c>
      <c r="J197" s="69"/>
      <c r="K197" s="69"/>
      <c r="L197" s="69"/>
      <c r="M197" s="68"/>
      <c r="N197" s="69"/>
      <c r="O197" s="69"/>
      <c r="P197" s="69"/>
      <c r="Q197" s="67" t="str">
        <f t="shared" ref="Q197:Q260" si="14">IF(OR(O197="",P197=""),"",O197*P197)</f>
        <v/>
      </c>
      <c r="R197" s="81" t="str">
        <f t="shared" ref="R197:R260" si="15">IF(OR(H197="",Q197=""),"",1-Q197/H197)</f>
        <v/>
      </c>
    </row>
    <row r="198" spans="1:18" x14ac:dyDescent="0.3">
      <c r="A198" s="69"/>
      <c r="B198" s="69"/>
      <c r="C198" s="68"/>
      <c r="D198" s="69"/>
      <c r="E198" s="69"/>
      <c r="F198" s="69"/>
      <c r="G198" s="69"/>
      <c r="H198" s="67" t="str">
        <f t="shared" si="12"/>
        <v/>
      </c>
      <c r="I198" s="67" t="str">
        <f t="shared" si="13"/>
        <v/>
      </c>
      <c r="J198" s="69"/>
      <c r="K198" s="69"/>
      <c r="L198" s="69"/>
      <c r="M198" s="68"/>
      <c r="N198" s="69"/>
      <c r="O198" s="69"/>
      <c r="P198" s="69"/>
      <c r="Q198" s="67" t="str">
        <f t="shared" si="14"/>
        <v/>
      </c>
      <c r="R198" s="81" t="str">
        <f t="shared" si="15"/>
        <v/>
      </c>
    </row>
    <row r="199" spans="1:18" x14ac:dyDescent="0.3">
      <c r="A199" s="69"/>
      <c r="B199" s="69"/>
      <c r="C199" s="68"/>
      <c r="D199" s="69"/>
      <c r="E199" s="69"/>
      <c r="F199" s="69"/>
      <c r="G199" s="69"/>
      <c r="H199" s="67" t="str">
        <f t="shared" si="12"/>
        <v/>
      </c>
      <c r="I199" s="67" t="str">
        <f t="shared" si="13"/>
        <v/>
      </c>
      <c r="J199" s="69"/>
      <c r="K199" s="69"/>
      <c r="L199" s="69"/>
      <c r="M199" s="68"/>
      <c r="N199" s="69"/>
      <c r="O199" s="69"/>
      <c r="P199" s="69"/>
      <c r="Q199" s="67" t="str">
        <f t="shared" si="14"/>
        <v/>
      </c>
      <c r="R199" s="81" t="str">
        <f t="shared" si="15"/>
        <v/>
      </c>
    </row>
    <row r="200" spans="1:18" x14ac:dyDescent="0.3">
      <c r="A200" s="69"/>
      <c r="B200" s="69"/>
      <c r="C200" s="68"/>
      <c r="D200" s="69"/>
      <c r="E200" s="69"/>
      <c r="F200" s="69"/>
      <c r="G200" s="69"/>
      <c r="H200" s="67" t="str">
        <f t="shared" si="12"/>
        <v/>
      </c>
      <c r="I200" s="67" t="str">
        <f t="shared" si="13"/>
        <v/>
      </c>
      <c r="J200" s="69"/>
      <c r="K200" s="69"/>
      <c r="L200" s="69"/>
      <c r="M200" s="68"/>
      <c r="N200" s="69"/>
      <c r="O200" s="69"/>
      <c r="P200" s="69"/>
      <c r="Q200" s="67" t="str">
        <f t="shared" si="14"/>
        <v/>
      </c>
      <c r="R200" s="81" t="str">
        <f t="shared" si="15"/>
        <v/>
      </c>
    </row>
    <row r="201" spans="1:18" x14ac:dyDescent="0.3">
      <c r="A201" s="69"/>
      <c r="B201" s="69"/>
      <c r="C201" s="68"/>
      <c r="D201" s="69"/>
      <c r="E201" s="69"/>
      <c r="F201" s="69"/>
      <c r="G201" s="69"/>
      <c r="H201" s="67" t="str">
        <f t="shared" si="12"/>
        <v/>
      </c>
      <c r="I201" s="67" t="str">
        <f t="shared" si="13"/>
        <v/>
      </c>
      <c r="J201" s="69"/>
      <c r="K201" s="69"/>
      <c r="L201" s="69"/>
      <c r="M201" s="68"/>
      <c r="N201" s="69"/>
      <c r="O201" s="69"/>
      <c r="P201" s="69"/>
      <c r="Q201" s="67" t="str">
        <f t="shared" si="14"/>
        <v/>
      </c>
      <c r="R201" s="81" t="str">
        <f t="shared" si="15"/>
        <v/>
      </c>
    </row>
    <row r="202" spans="1:18" x14ac:dyDescent="0.3">
      <c r="A202" s="69"/>
      <c r="B202" s="69"/>
      <c r="C202" s="68"/>
      <c r="D202" s="69"/>
      <c r="E202" s="69"/>
      <c r="F202" s="69"/>
      <c r="G202" s="69"/>
      <c r="H202" s="67" t="str">
        <f t="shared" si="12"/>
        <v/>
      </c>
      <c r="I202" s="67" t="str">
        <f t="shared" si="13"/>
        <v/>
      </c>
      <c r="J202" s="69"/>
      <c r="K202" s="69"/>
      <c r="L202" s="69"/>
      <c r="M202" s="68"/>
      <c r="N202" s="69"/>
      <c r="O202" s="69"/>
      <c r="P202" s="69"/>
      <c r="Q202" s="67" t="str">
        <f t="shared" si="14"/>
        <v/>
      </c>
      <c r="R202" s="81" t="str">
        <f t="shared" si="15"/>
        <v/>
      </c>
    </row>
    <row r="203" spans="1:18" x14ac:dyDescent="0.3">
      <c r="A203" s="69"/>
      <c r="B203" s="69"/>
      <c r="C203" s="68"/>
      <c r="D203" s="69"/>
      <c r="E203" s="69"/>
      <c r="F203" s="69"/>
      <c r="G203" s="69"/>
      <c r="H203" s="67" t="str">
        <f t="shared" si="12"/>
        <v/>
      </c>
      <c r="I203" s="67" t="str">
        <f t="shared" si="13"/>
        <v/>
      </c>
      <c r="J203" s="69"/>
      <c r="K203" s="69"/>
      <c r="L203" s="69"/>
      <c r="M203" s="68"/>
      <c r="N203" s="69"/>
      <c r="O203" s="69"/>
      <c r="P203" s="69"/>
      <c r="Q203" s="67" t="str">
        <f t="shared" si="14"/>
        <v/>
      </c>
      <c r="R203" s="81" t="str">
        <f t="shared" si="15"/>
        <v/>
      </c>
    </row>
    <row r="204" spans="1:18" x14ac:dyDescent="0.3">
      <c r="A204" s="69"/>
      <c r="B204" s="69"/>
      <c r="C204" s="68"/>
      <c r="D204" s="69"/>
      <c r="E204" s="69"/>
      <c r="F204" s="69"/>
      <c r="G204" s="69"/>
      <c r="H204" s="67" t="str">
        <f t="shared" si="12"/>
        <v/>
      </c>
      <c r="I204" s="67" t="str">
        <f t="shared" si="13"/>
        <v/>
      </c>
      <c r="J204" s="69"/>
      <c r="K204" s="69"/>
      <c r="L204" s="69"/>
      <c r="M204" s="68"/>
      <c r="N204" s="69"/>
      <c r="O204" s="69"/>
      <c r="P204" s="69"/>
      <c r="Q204" s="67" t="str">
        <f t="shared" si="14"/>
        <v/>
      </c>
      <c r="R204" s="81" t="str">
        <f t="shared" si="15"/>
        <v/>
      </c>
    </row>
    <row r="205" spans="1:18" x14ac:dyDescent="0.3">
      <c r="A205" s="69"/>
      <c r="B205" s="69"/>
      <c r="C205" s="68"/>
      <c r="D205" s="69"/>
      <c r="E205" s="69"/>
      <c r="F205" s="69"/>
      <c r="G205" s="69"/>
      <c r="H205" s="67" t="str">
        <f t="shared" si="12"/>
        <v/>
      </c>
      <c r="I205" s="67" t="str">
        <f t="shared" si="13"/>
        <v/>
      </c>
      <c r="J205" s="69"/>
      <c r="K205" s="69"/>
      <c r="L205" s="69"/>
      <c r="M205" s="68"/>
      <c r="N205" s="69"/>
      <c r="O205" s="69"/>
      <c r="P205" s="69"/>
      <c r="Q205" s="67" t="str">
        <f t="shared" si="14"/>
        <v/>
      </c>
      <c r="R205" s="81" t="str">
        <f t="shared" si="15"/>
        <v/>
      </c>
    </row>
    <row r="206" spans="1:18" x14ac:dyDescent="0.3">
      <c r="A206" s="69"/>
      <c r="B206" s="69"/>
      <c r="C206" s="68"/>
      <c r="D206" s="69"/>
      <c r="E206" s="69"/>
      <c r="F206" s="69"/>
      <c r="G206" s="69"/>
      <c r="H206" s="67" t="str">
        <f t="shared" si="12"/>
        <v/>
      </c>
      <c r="I206" s="67" t="str">
        <f t="shared" si="13"/>
        <v/>
      </c>
      <c r="J206" s="69"/>
      <c r="K206" s="69"/>
      <c r="L206" s="69"/>
      <c r="M206" s="68"/>
      <c r="N206" s="69"/>
      <c r="O206" s="69"/>
      <c r="P206" s="69"/>
      <c r="Q206" s="67" t="str">
        <f t="shared" si="14"/>
        <v/>
      </c>
      <c r="R206" s="81" t="str">
        <f t="shared" si="15"/>
        <v/>
      </c>
    </row>
    <row r="207" spans="1:18" x14ac:dyDescent="0.3">
      <c r="A207" s="69"/>
      <c r="B207" s="69"/>
      <c r="C207" s="68"/>
      <c r="D207" s="69"/>
      <c r="E207" s="69"/>
      <c r="F207" s="69"/>
      <c r="G207" s="69"/>
      <c r="H207" s="67" t="str">
        <f t="shared" si="12"/>
        <v/>
      </c>
      <c r="I207" s="67" t="str">
        <f t="shared" si="13"/>
        <v/>
      </c>
      <c r="J207" s="69"/>
      <c r="K207" s="69"/>
      <c r="L207" s="69"/>
      <c r="M207" s="68"/>
      <c r="N207" s="69"/>
      <c r="O207" s="69"/>
      <c r="P207" s="69"/>
      <c r="Q207" s="67" t="str">
        <f t="shared" si="14"/>
        <v/>
      </c>
      <c r="R207" s="81" t="str">
        <f t="shared" si="15"/>
        <v/>
      </c>
    </row>
    <row r="208" spans="1:18" x14ac:dyDescent="0.3">
      <c r="A208" s="69"/>
      <c r="B208" s="69"/>
      <c r="C208" s="68"/>
      <c r="D208" s="69"/>
      <c r="E208" s="69"/>
      <c r="F208" s="69"/>
      <c r="G208" s="69"/>
      <c r="H208" s="67" t="str">
        <f t="shared" si="12"/>
        <v/>
      </c>
      <c r="I208" s="67" t="str">
        <f t="shared" si="13"/>
        <v/>
      </c>
      <c r="J208" s="69"/>
      <c r="K208" s="69"/>
      <c r="L208" s="69"/>
      <c r="M208" s="68"/>
      <c r="N208" s="69"/>
      <c r="O208" s="69"/>
      <c r="P208" s="69"/>
      <c r="Q208" s="67" t="str">
        <f t="shared" si="14"/>
        <v/>
      </c>
      <c r="R208" s="81" t="str">
        <f t="shared" si="15"/>
        <v/>
      </c>
    </row>
    <row r="209" spans="1:18" x14ac:dyDescent="0.3">
      <c r="A209" s="69"/>
      <c r="B209" s="69"/>
      <c r="C209" s="68"/>
      <c r="D209" s="69"/>
      <c r="E209" s="69"/>
      <c r="F209" s="69"/>
      <c r="G209" s="69"/>
      <c r="H209" s="67" t="str">
        <f t="shared" si="12"/>
        <v/>
      </c>
      <c r="I209" s="67" t="str">
        <f t="shared" si="13"/>
        <v/>
      </c>
      <c r="J209" s="69"/>
      <c r="K209" s="69"/>
      <c r="L209" s="69"/>
      <c r="M209" s="68"/>
      <c r="N209" s="69"/>
      <c r="O209" s="69"/>
      <c r="P209" s="69"/>
      <c r="Q209" s="67" t="str">
        <f t="shared" si="14"/>
        <v/>
      </c>
      <c r="R209" s="81" t="str">
        <f t="shared" si="15"/>
        <v/>
      </c>
    </row>
    <row r="210" spans="1:18" x14ac:dyDescent="0.3">
      <c r="A210" s="69"/>
      <c r="B210" s="69"/>
      <c r="C210" s="68"/>
      <c r="D210" s="69"/>
      <c r="E210" s="69"/>
      <c r="F210" s="69"/>
      <c r="G210" s="69"/>
      <c r="H210" s="67" t="str">
        <f t="shared" si="12"/>
        <v/>
      </c>
      <c r="I210" s="67" t="str">
        <f t="shared" si="13"/>
        <v/>
      </c>
      <c r="J210" s="69"/>
      <c r="K210" s="69"/>
      <c r="L210" s="69"/>
      <c r="M210" s="68"/>
      <c r="N210" s="69"/>
      <c r="O210" s="69"/>
      <c r="P210" s="69"/>
      <c r="Q210" s="67" t="str">
        <f t="shared" si="14"/>
        <v/>
      </c>
      <c r="R210" s="81" t="str">
        <f t="shared" si="15"/>
        <v/>
      </c>
    </row>
    <row r="211" spans="1:18" x14ac:dyDescent="0.3">
      <c r="A211" s="69"/>
      <c r="B211" s="69"/>
      <c r="C211" s="68"/>
      <c r="D211" s="69"/>
      <c r="E211" s="69"/>
      <c r="F211" s="69"/>
      <c r="G211" s="69"/>
      <c r="H211" s="67" t="str">
        <f t="shared" si="12"/>
        <v/>
      </c>
      <c r="I211" s="67" t="str">
        <f t="shared" si="13"/>
        <v/>
      </c>
      <c r="J211" s="69"/>
      <c r="K211" s="69"/>
      <c r="L211" s="69"/>
      <c r="M211" s="68"/>
      <c r="N211" s="69"/>
      <c r="O211" s="69"/>
      <c r="P211" s="69"/>
      <c r="Q211" s="67" t="str">
        <f t="shared" si="14"/>
        <v/>
      </c>
      <c r="R211" s="81" t="str">
        <f t="shared" si="15"/>
        <v/>
      </c>
    </row>
    <row r="212" spans="1:18" x14ac:dyDescent="0.3">
      <c r="A212" s="69"/>
      <c r="B212" s="69"/>
      <c r="C212" s="68"/>
      <c r="D212" s="69"/>
      <c r="E212" s="69"/>
      <c r="F212" s="69"/>
      <c r="G212" s="69"/>
      <c r="H212" s="67" t="str">
        <f t="shared" si="12"/>
        <v/>
      </c>
      <c r="I212" s="67" t="str">
        <f t="shared" si="13"/>
        <v/>
      </c>
      <c r="J212" s="69"/>
      <c r="K212" s="69"/>
      <c r="L212" s="69"/>
      <c r="M212" s="68"/>
      <c r="N212" s="69"/>
      <c r="O212" s="69"/>
      <c r="P212" s="69"/>
      <c r="Q212" s="67" t="str">
        <f t="shared" si="14"/>
        <v/>
      </c>
      <c r="R212" s="81" t="str">
        <f t="shared" si="15"/>
        <v/>
      </c>
    </row>
    <row r="213" spans="1:18" x14ac:dyDescent="0.3">
      <c r="A213" s="69"/>
      <c r="B213" s="69"/>
      <c r="C213" s="68"/>
      <c r="D213" s="69"/>
      <c r="E213" s="69"/>
      <c r="F213" s="69"/>
      <c r="G213" s="69"/>
      <c r="H213" s="67" t="str">
        <f t="shared" si="12"/>
        <v/>
      </c>
      <c r="I213" s="67" t="str">
        <f t="shared" si="13"/>
        <v/>
      </c>
      <c r="J213" s="69"/>
      <c r="K213" s="69"/>
      <c r="L213" s="69"/>
      <c r="M213" s="68"/>
      <c r="N213" s="69"/>
      <c r="O213" s="69"/>
      <c r="P213" s="69"/>
      <c r="Q213" s="67" t="str">
        <f t="shared" si="14"/>
        <v/>
      </c>
      <c r="R213" s="81" t="str">
        <f t="shared" si="15"/>
        <v/>
      </c>
    </row>
    <row r="214" spans="1:18" x14ac:dyDescent="0.3">
      <c r="A214" s="69"/>
      <c r="B214" s="69"/>
      <c r="C214" s="68"/>
      <c r="D214" s="69"/>
      <c r="E214" s="69"/>
      <c r="F214" s="69"/>
      <c r="G214" s="69"/>
      <c r="H214" s="67" t="str">
        <f t="shared" si="12"/>
        <v/>
      </c>
      <c r="I214" s="67" t="str">
        <f t="shared" si="13"/>
        <v/>
      </c>
      <c r="J214" s="69"/>
      <c r="K214" s="69"/>
      <c r="L214" s="69"/>
      <c r="M214" s="68"/>
      <c r="N214" s="69"/>
      <c r="O214" s="69"/>
      <c r="P214" s="69"/>
      <c r="Q214" s="67" t="str">
        <f t="shared" si="14"/>
        <v/>
      </c>
      <c r="R214" s="81" t="str">
        <f t="shared" si="15"/>
        <v/>
      </c>
    </row>
    <row r="215" spans="1:18" x14ac:dyDescent="0.3">
      <c r="A215" s="69"/>
      <c r="B215" s="69"/>
      <c r="C215" s="68"/>
      <c r="D215" s="69"/>
      <c r="E215" s="69"/>
      <c r="F215" s="69"/>
      <c r="G215" s="69"/>
      <c r="H215" s="67" t="str">
        <f t="shared" si="12"/>
        <v/>
      </c>
      <c r="I215" s="67" t="str">
        <f t="shared" si="13"/>
        <v/>
      </c>
      <c r="J215" s="69"/>
      <c r="K215" s="69"/>
      <c r="L215" s="69"/>
      <c r="M215" s="68"/>
      <c r="N215" s="69"/>
      <c r="O215" s="69"/>
      <c r="P215" s="69"/>
      <c r="Q215" s="67" t="str">
        <f t="shared" si="14"/>
        <v/>
      </c>
      <c r="R215" s="81" t="str">
        <f t="shared" si="15"/>
        <v/>
      </c>
    </row>
    <row r="216" spans="1:18" x14ac:dyDescent="0.3">
      <c r="A216" s="69"/>
      <c r="B216" s="69"/>
      <c r="C216" s="68"/>
      <c r="D216" s="69"/>
      <c r="E216" s="69"/>
      <c r="F216" s="69"/>
      <c r="G216" s="69"/>
      <c r="H216" s="67" t="str">
        <f t="shared" si="12"/>
        <v/>
      </c>
      <c r="I216" s="67" t="str">
        <f t="shared" si="13"/>
        <v/>
      </c>
      <c r="J216" s="69"/>
      <c r="K216" s="69"/>
      <c r="L216" s="69"/>
      <c r="M216" s="68"/>
      <c r="N216" s="69"/>
      <c r="O216" s="69"/>
      <c r="P216" s="69"/>
      <c r="Q216" s="67" t="str">
        <f t="shared" si="14"/>
        <v/>
      </c>
      <c r="R216" s="81" t="str">
        <f t="shared" si="15"/>
        <v/>
      </c>
    </row>
    <row r="217" spans="1:18" x14ac:dyDescent="0.3">
      <c r="A217" s="69"/>
      <c r="B217" s="69"/>
      <c r="C217" s="68"/>
      <c r="D217" s="69"/>
      <c r="E217" s="69"/>
      <c r="F217" s="69"/>
      <c r="G217" s="69"/>
      <c r="H217" s="67" t="str">
        <f t="shared" si="12"/>
        <v/>
      </c>
      <c r="I217" s="67" t="str">
        <f t="shared" si="13"/>
        <v/>
      </c>
      <c r="J217" s="69"/>
      <c r="K217" s="69"/>
      <c r="L217" s="69"/>
      <c r="M217" s="68"/>
      <c r="N217" s="69"/>
      <c r="O217" s="69"/>
      <c r="P217" s="69"/>
      <c r="Q217" s="67" t="str">
        <f t="shared" si="14"/>
        <v/>
      </c>
      <c r="R217" s="81" t="str">
        <f t="shared" si="15"/>
        <v/>
      </c>
    </row>
    <row r="218" spans="1:18" x14ac:dyDescent="0.3">
      <c r="A218" s="69"/>
      <c r="B218" s="69"/>
      <c r="C218" s="68"/>
      <c r="D218" s="69"/>
      <c r="E218" s="69"/>
      <c r="F218" s="69"/>
      <c r="G218" s="69"/>
      <c r="H218" s="67" t="str">
        <f t="shared" si="12"/>
        <v/>
      </c>
      <c r="I218" s="67" t="str">
        <f t="shared" si="13"/>
        <v/>
      </c>
      <c r="J218" s="69"/>
      <c r="K218" s="69"/>
      <c r="L218" s="69"/>
      <c r="M218" s="68"/>
      <c r="N218" s="69"/>
      <c r="O218" s="69"/>
      <c r="P218" s="69"/>
      <c r="Q218" s="67" t="str">
        <f t="shared" si="14"/>
        <v/>
      </c>
      <c r="R218" s="81" t="str">
        <f t="shared" si="15"/>
        <v/>
      </c>
    </row>
    <row r="219" spans="1:18" x14ac:dyDescent="0.3">
      <c r="A219" s="69"/>
      <c r="B219" s="69"/>
      <c r="C219" s="68"/>
      <c r="D219" s="69"/>
      <c r="E219" s="69"/>
      <c r="F219" s="69"/>
      <c r="G219" s="69"/>
      <c r="H219" s="67" t="str">
        <f t="shared" si="12"/>
        <v/>
      </c>
      <c r="I219" s="67" t="str">
        <f t="shared" si="13"/>
        <v/>
      </c>
      <c r="J219" s="69"/>
      <c r="K219" s="69"/>
      <c r="L219" s="69"/>
      <c r="M219" s="68"/>
      <c r="N219" s="69"/>
      <c r="O219" s="69"/>
      <c r="P219" s="69"/>
      <c r="Q219" s="67" t="str">
        <f t="shared" si="14"/>
        <v/>
      </c>
      <c r="R219" s="81" t="str">
        <f t="shared" si="15"/>
        <v/>
      </c>
    </row>
    <row r="220" spans="1:18" x14ac:dyDescent="0.3">
      <c r="A220" s="69"/>
      <c r="B220" s="69"/>
      <c r="C220" s="68"/>
      <c r="D220" s="69"/>
      <c r="E220" s="69"/>
      <c r="F220" s="69"/>
      <c r="G220" s="69"/>
      <c r="H220" s="67" t="str">
        <f t="shared" si="12"/>
        <v/>
      </c>
      <c r="I220" s="67" t="str">
        <f t="shared" si="13"/>
        <v/>
      </c>
      <c r="J220" s="69"/>
      <c r="K220" s="69"/>
      <c r="L220" s="69"/>
      <c r="M220" s="68"/>
      <c r="N220" s="69"/>
      <c r="O220" s="69"/>
      <c r="P220" s="69"/>
      <c r="Q220" s="67" t="str">
        <f t="shared" si="14"/>
        <v/>
      </c>
      <c r="R220" s="81" t="str">
        <f t="shared" si="15"/>
        <v/>
      </c>
    </row>
    <row r="221" spans="1:18" x14ac:dyDescent="0.3">
      <c r="A221" s="69"/>
      <c r="B221" s="69"/>
      <c r="C221" s="68"/>
      <c r="D221" s="69"/>
      <c r="E221" s="69"/>
      <c r="F221" s="69"/>
      <c r="G221" s="69"/>
      <c r="H221" s="67" t="str">
        <f t="shared" si="12"/>
        <v/>
      </c>
      <c r="I221" s="67" t="str">
        <f t="shared" si="13"/>
        <v/>
      </c>
      <c r="J221" s="69"/>
      <c r="K221" s="69"/>
      <c r="L221" s="69"/>
      <c r="M221" s="68"/>
      <c r="N221" s="69"/>
      <c r="O221" s="69"/>
      <c r="P221" s="69"/>
      <c r="Q221" s="67" t="str">
        <f t="shared" si="14"/>
        <v/>
      </c>
      <c r="R221" s="81" t="str">
        <f t="shared" si="15"/>
        <v/>
      </c>
    </row>
    <row r="222" spans="1:18" x14ac:dyDescent="0.3">
      <c r="A222" s="69"/>
      <c r="B222" s="69"/>
      <c r="C222" s="68"/>
      <c r="D222" s="69"/>
      <c r="E222" s="69"/>
      <c r="F222" s="69"/>
      <c r="G222" s="69"/>
      <c r="H222" s="67" t="str">
        <f t="shared" si="12"/>
        <v/>
      </c>
      <c r="I222" s="67" t="str">
        <f t="shared" si="13"/>
        <v/>
      </c>
      <c r="J222" s="69"/>
      <c r="K222" s="69"/>
      <c r="L222" s="69"/>
      <c r="M222" s="68"/>
      <c r="N222" s="69"/>
      <c r="O222" s="69"/>
      <c r="P222" s="69"/>
      <c r="Q222" s="67" t="str">
        <f t="shared" si="14"/>
        <v/>
      </c>
      <c r="R222" s="81" t="str">
        <f t="shared" si="15"/>
        <v/>
      </c>
    </row>
    <row r="223" spans="1:18" x14ac:dyDescent="0.3">
      <c r="A223" s="69"/>
      <c r="B223" s="69"/>
      <c r="C223" s="68"/>
      <c r="D223" s="69"/>
      <c r="E223" s="69"/>
      <c r="F223" s="69"/>
      <c r="G223" s="69"/>
      <c r="H223" s="67" t="str">
        <f t="shared" si="12"/>
        <v/>
      </c>
      <c r="I223" s="67" t="str">
        <f t="shared" si="13"/>
        <v/>
      </c>
      <c r="J223" s="69"/>
      <c r="K223" s="69"/>
      <c r="L223" s="69"/>
      <c r="M223" s="68"/>
      <c r="N223" s="69"/>
      <c r="O223" s="69"/>
      <c r="P223" s="69"/>
      <c r="Q223" s="67" t="str">
        <f t="shared" si="14"/>
        <v/>
      </c>
      <c r="R223" s="81" t="str">
        <f t="shared" si="15"/>
        <v/>
      </c>
    </row>
    <row r="224" spans="1:18" x14ac:dyDescent="0.3">
      <c r="A224" s="69"/>
      <c r="B224" s="69"/>
      <c r="C224" s="68"/>
      <c r="D224" s="69"/>
      <c r="E224" s="69"/>
      <c r="F224" s="69"/>
      <c r="G224" s="69"/>
      <c r="H224" s="67" t="str">
        <f t="shared" si="12"/>
        <v/>
      </c>
      <c r="I224" s="67" t="str">
        <f t="shared" si="13"/>
        <v/>
      </c>
      <c r="J224" s="69"/>
      <c r="K224" s="69"/>
      <c r="L224" s="69"/>
      <c r="M224" s="68"/>
      <c r="N224" s="69"/>
      <c r="O224" s="69"/>
      <c r="P224" s="69"/>
      <c r="Q224" s="67" t="str">
        <f t="shared" si="14"/>
        <v/>
      </c>
      <c r="R224" s="81" t="str">
        <f t="shared" si="15"/>
        <v/>
      </c>
    </row>
    <row r="225" spans="1:18" x14ac:dyDescent="0.3">
      <c r="A225" s="69"/>
      <c r="B225" s="69"/>
      <c r="C225" s="68"/>
      <c r="D225" s="69"/>
      <c r="E225" s="69"/>
      <c r="F225" s="69"/>
      <c r="G225" s="69"/>
      <c r="H225" s="67" t="str">
        <f t="shared" si="12"/>
        <v/>
      </c>
      <c r="I225" s="67" t="str">
        <f t="shared" si="13"/>
        <v/>
      </c>
      <c r="J225" s="69"/>
      <c r="K225" s="69"/>
      <c r="L225" s="69"/>
      <c r="M225" s="68"/>
      <c r="N225" s="69"/>
      <c r="O225" s="69"/>
      <c r="P225" s="69"/>
      <c r="Q225" s="67" t="str">
        <f t="shared" si="14"/>
        <v/>
      </c>
      <c r="R225" s="81" t="str">
        <f t="shared" si="15"/>
        <v/>
      </c>
    </row>
    <row r="226" spans="1:18" x14ac:dyDescent="0.3">
      <c r="A226" s="69"/>
      <c r="B226" s="69"/>
      <c r="C226" s="68"/>
      <c r="D226" s="69"/>
      <c r="E226" s="69"/>
      <c r="F226" s="69"/>
      <c r="G226" s="69"/>
      <c r="H226" s="67" t="str">
        <f t="shared" si="12"/>
        <v/>
      </c>
      <c r="I226" s="67" t="str">
        <f t="shared" si="13"/>
        <v/>
      </c>
      <c r="J226" s="69"/>
      <c r="K226" s="69"/>
      <c r="L226" s="69"/>
      <c r="M226" s="68"/>
      <c r="N226" s="69"/>
      <c r="O226" s="69"/>
      <c r="P226" s="69"/>
      <c r="Q226" s="67" t="str">
        <f t="shared" si="14"/>
        <v/>
      </c>
      <c r="R226" s="81" t="str">
        <f t="shared" si="15"/>
        <v/>
      </c>
    </row>
    <row r="227" spans="1:18" x14ac:dyDescent="0.3">
      <c r="A227" s="69"/>
      <c r="B227" s="69"/>
      <c r="C227" s="68"/>
      <c r="D227" s="69"/>
      <c r="E227" s="69"/>
      <c r="F227" s="69"/>
      <c r="G227" s="69"/>
      <c r="H227" s="67" t="str">
        <f t="shared" si="12"/>
        <v/>
      </c>
      <c r="I227" s="67" t="str">
        <f t="shared" si="13"/>
        <v/>
      </c>
      <c r="J227" s="69"/>
      <c r="K227" s="69"/>
      <c r="L227" s="69"/>
      <c r="M227" s="68"/>
      <c r="N227" s="69"/>
      <c r="O227" s="69"/>
      <c r="P227" s="69"/>
      <c r="Q227" s="67" t="str">
        <f t="shared" si="14"/>
        <v/>
      </c>
      <c r="R227" s="81" t="str">
        <f t="shared" si="15"/>
        <v/>
      </c>
    </row>
    <row r="228" spans="1:18" x14ac:dyDescent="0.3">
      <c r="A228" s="69"/>
      <c r="B228" s="69"/>
      <c r="C228" s="68"/>
      <c r="D228" s="69"/>
      <c r="E228" s="69"/>
      <c r="F228" s="69"/>
      <c r="G228" s="69"/>
      <c r="H228" s="67" t="str">
        <f t="shared" si="12"/>
        <v/>
      </c>
      <c r="I228" s="67" t="str">
        <f t="shared" si="13"/>
        <v/>
      </c>
      <c r="J228" s="69"/>
      <c r="K228" s="69"/>
      <c r="L228" s="69"/>
      <c r="M228" s="68"/>
      <c r="N228" s="69"/>
      <c r="O228" s="69"/>
      <c r="P228" s="69"/>
      <c r="Q228" s="67" t="str">
        <f t="shared" si="14"/>
        <v/>
      </c>
      <c r="R228" s="81" t="str">
        <f t="shared" si="15"/>
        <v/>
      </c>
    </row>
    <row r="229" spans="1:18" x14ac:dyDescent="0.3">
      <c r="A229" s="69"/>
      <c r="B229" s="69"/>
      <c r="C229" s="68"/>
      <c r="D229" s="69"/>
      <c r="E229" s="69"/>
      <c r="F229" s="69"/>
      <c r="G229" s="69"/>
      <c r="H229" s="67" t="str">
        <f t="shared" si="12"/>
        <v/>
      </c>
      <c r="I229" s="67" t="str">
        <f t="shared" si="13"/>
        <v/>
      </c>
      <c r="J229" s="69"/>
      <c r="K229" s="69"/>
      <c r="L229" s="69"/>
      <c r="M229" s="68"/>
      <c r="N229" s="69"/>
      <c r="O229" s="69"/>
      <c r="P229" s="69"/>
      <c r="Q229" s="67" t="str">
        <f t="shared" si="14"/>
        <v/>
      </c>
      <c r="R229" s="81" t="str">
        <f t="shared" si="15"/>
        <v/>
      </c>
    </row>
    <row r="230" spans="1:18" x14ac:dyDescent="0.3">
      <c r="A230" s="69"/>
      <c r="B230" s="69"/>
      <c r="C230" s="68"/>
      <c r="D230" s="69"/>
      <c r="E230" s="69"/>
      <c r="F230" s="69"/>
      <c r="G230" s="69"/>
      <c r="H230" s="67" t="str">
        <f t="shared" si="12"/>
        <v/>
      </c>
      <c r="I230" s="67" t="str">
        <f t="shared" si="13"/>
        <v/>
      </c>
      <c r="J230" s="69"/>
      <c r="K230" s="69"/>
      <c r="L230" s="69"/>
      <c r="M230" s="68"/>
      <c r="N230" s="69"/>
      <c r="O230" s="69"/>
      <c r="P230" s="69"/>
      <c r="Q230" s="67" t="str">
        <f t="shared" si="14"/>
        <v/>
      </c>
      <c r="R230" s="81" t="str">
        <f t="shared" si="15"/>
        <v/>
      </c>
    </row>
    <row r="231" spans="1:18" x14ac:dyDescent="0.3">
      <c r="A231" s="69"/>
      <c r="B231" s="69"/>
      <c r="C231" s="68"/>
      <c r="D231" s="69"/>
      <c r="E231" s="69"/>
      <c r="F231" s="69"/>
      <c r="G231" s="69"/>
      <c r="H231" s="67" t="str">
        <f t="shared" si="12"/>
        <v/>
      </c>
      <c r="I231" s="67" t="str">
        <f t="shared" si="13"/>
        <v/>
      </c>
      <c r="J231" s="69"/>
      <c r="K231" s="69"/>
      <c r="L231" s="69"/>
      <c r="M231" s="68"/>
      <c r="N231" s="69"/>
      <c r="O231" s="69"/>
      <c r="P231" s="69"/>
      <c r="Q231" s="67" t="str">
        <f t="shared" si="14"/>
        <v/>
      </c>
      <c r="R231" s="81" t="str">
        <f t="shared" si="15"/>
        <v/>
      </c>
    </row>
    <row r="232" spans="1:18" x14ac:dyDescent="0.3">
      <c r="A232" s="69"/>
      <c r="B232" s="69"/>
      <c r="C232" s="68"/>
      <c r="D232" s="69"/>
      <c r="E232" s="69"/>
      <c r="F232" s="69"/>
      <c r="G232" s="69"/>
      <c r="H232" s="67" t="str">
        <f t="shared" si="12"/>
        <v/>
      </c>
      <c r="I232" s="67" t="str">
        <f t="shared" si="13"/>
        <v/>
      </c>
      <c r="J232" s="69"/>
      <c r="K232" s="69"/>
      <c r="L232" s="69"/>
      <c r="M232" s="68"/>
      <c r="N232" s="69"/>
      <c r="O232" s="69"/>
      <c r="P232" s="69"/>
      <c r="Q232" s="67" t="str">
        <f t="shared" si="14"/>
        <v/>
      </c>
      <c r="R232" s="81" t="str">
        <f t="shared" si="15"/>
        <v/>
      </c>
    </row>
    <row r="233" spans="1:18" x14ac:dyDescent="0.3">
      <c r="A233" s="69"/>
      <c r="B233" s="69"/>
      <c r="C233" s="68"/>
      <c r="D233" s="69"/>
      <c r="E233" s="69"/>
      <c r="F233" s="69"/>
      <c r="G233" s="69"/>
      <c r="H233" s="67" t="str">
        <f t="shared" si="12"/>
        <v/>
      </c>
      <c r="I233" s="67" t="str">
        <f t="shared" si="13"/>
        <v/>
      </c>
      <c r="J233" s="69"/>
      <c r="K233" s="69"/>
      <c r="L233" s="69"/>
      <c r="M233" s="68"/>
      <c r="N233" s="69"/>
      <c r="O233" s="69"/>
      <c r="P233" s="69"/>
      <c r="Q233" s="67" t="str">
        <f t="shared" si="14"/>
        <v/>
      </c>
      <c r="R233" s="81" t="str">
        <f t="shared" si="15"/>
        <v/>
      </c>
    </row>
    <row r="234" spans="1:18" x14ac:dyDescent="0.3">
      <c r="A234" s="69"/>
      <c r="B234" s="69"/>
      <c r="C234" s="68"/>
      <c r="D234" s="69"/>
      <c r="E234" s="69"/>
      <c r="F234" s="69"/>
      <c r="G234" s="69"/>
      <c r="H234" s="67" t="str">
        <f t="shared" si="12"/>
        <v/>
      </c>
      <c r="I234" s="67" t="str">
        <f t="shared" si="13"/>
        <v/>
      </c>
      <c r="J234" s="69"/>
      <c r="K234" s="69"/>
      <c r="L234" s="69"/>
      <c r="M234" s="68"/>
      <c r="N234" s="69"/>
      <c r="O234" s="69"/>
      <c r="P234" s="69"/>
      <c r="Q234" s="67" t="str">
        <f t="shared" si="14"/>
        <v/>
      </c>
      <c r="R234" s="81" t="str">
        <f t="shared" si="15"/>
        <v/>
      </c>
    </row>
    <row r="235" spans="1:18" x14ac:dyDescent="0.3">
      <c r="A235" s="69"/>
      <c r="B235" s="69"/>
      <c r="C235" s="68"/>
      <c r="D235" s="69"/>
      <c r="E235" s="69"/>
      <c r="F235" s="69"/>
      <c r="G235" s="69"/>
      <c r="H235" s="67" t="str">
        <f t="shared" si="12"/>
        <v/>
      </c>
      <c r="I235" s="67" t="str">
        <f t="shared" si="13"/>
        <v/>
      </c>
      <c r="J235" s="69"/>
      <c r="K235" s="69"/>
      <c r="L235" s="69"/>
      <c r="M235" s="68"/>
      <c r="N235" s="69"/>
      <c r="O235" s="69"/>
      <c r="P235" s="69"/>
      <c r="Q235" s="67" t="str">
        <f t="shared" si="14"/>
        <v/>
      </c>
      <c r="R235" s="81" t="str">
        <f t="shared" si="15"/>
        <v/>
      </c>
    </row>
    <row r="236" spans="1:18" x14ac:dyDescent="0.3">
      <c r="A236" s="69"/>
      <c r="B236" s="69"/>
      <c r="C236" s="68"/>
      <c r="D236" s="69"/>
      <c r="E236" s="69"/>
      <c r="F236" s="69"/>
      <c r="G236" s="69"/>
      <c r="H236" s="67" t="str">
        <f t="shared" si="12"/>
        <v/>
      </c>
      <c r="I236" s="67" t="str">
        <f t="shared" si="13"/>
        <v/>
      </c>
      <c r="J236" s="69"/>
      <c r="K236" s="69"/>
      <c r="L236" s="69"/>
      <c r="M236" s="68"/>
      <c r="N236" s="69"/>
      <c r="O236" s="69"/>
      <c r="P236" s="69"/>
      <c r="Q236" s="67" t="str">
        <f t="shared" si="14"/>
        <v/>
      </c>
      <c r="R236" s="81" t="str">
        <f t="shared" si="15"/>
        <v/>
      </c>
    </row>
    <row r="237" spans="1:18" x14ac:dyDescent="0.3">
      <c r="A237" s="69"/>
      <c r="B237" s="69"/>
      <c r="C237" s="68"/>
      <c r="D237" s="69"/>
      <c r="E237" s="69"/>
      <c r="F237" s="69"/>
      <c r="G237" s="69"/>
      <c r="H237" s="67" t="str">
        <f t="shared" si="12"/>
        <v/>
      </c>
      <c r="I237" s="67" t="str">
        <f t="shared" si="13"/>
        <v/>
      </c>
      <c r="J237" s="69"/>
      <c r="K237" s="69"/>
      <c r="L237" s="69"/>
      <c r="M237" s="68"/>
      <c r="N237" s="69"/>
      <c r="O237" s="69"/>
      <c r="P237" s="69"/>
      <c r="Q237" s="67" t="str">
        <f t="shared" si="14"/>
        <v/>
      </c>
      <c r="R237" s="81" t="str">
        <f t="shared" si="15"/>
        <v/>
      </c>
    </row>
    <row r="238" spans="1:18" x14ac:dyDescent="0.3">
      <c r="A238" s="69"/>
      <c r="B238" s="69"/>
      <c r="C238" s="68"/>
      <c r="D238" s="69"/>
      <c r="E238" s="69"/>
      <c r="F238" s="69"/>
      <c r="G238" s="69"/>
      <c r="H238" s="67" t="str">
        <f t="shared" si="12"/>
        <v/>
      </c>
      <c r="I238" s="67" t="str">
        <f t="shared" si="13"/>
        <v/>
      </c>
      <c r="J238" s="69"/>
      <c r="K238" s="69"/>
      <c r="L238" s="69"/>
      <c r="M238" s="68"/>
      <c r="N238" s="69"/>
      <c r="O238" s="69"/>
      <c r="P238" s="69"/>
      <c r="Q238" s="67" t="str">
        <f t="shared" si="14"/>
        <v/>
      </c>
      <c r="R238" s="81" t="str">
        <f t="shared" si="15"/>
        <v/>
      </c>
    </row>
    <row r="239" spans="1:18" x14ac:dyDescent="0.3">
      <c r="A239" s="69"/>
      <c r="B239" s="69"/>
      <c r="C239" s="68"/>
      <c r="D239" s="69"/>
      <c r="E239" s="69"/>
      <c r="F239" s="69"/>
      <c r="G239" s="69"/>
      <c r="H239" s="67" t="str">
        <f t="shared" si="12"/>
        <v/>
      </c>
      <c r="I239" s="67" t="str">
        <f t="shared" si="13"/>
        <v/>
      </c>
      <c r="J239" s="69"/>
      <c r="K239" s="69"/>
      <c r="L239" s="69"/>
      <c r="M239" s="68"/>
      <c r="N239" s="69"/>
      <c r="O239" s="69"/>
      <c r="P239" s="69"/>
      <c r="Q239" s="67" t="str">
        <f t="shared" si="14"/>
        <v/>
      </c>
      <c r="R239" s="81" t="str">
        <f t="shared" si="15"/>
        <v/>
      </c>
    </row>
    <row r="240" spans="1:18" x14ac:dyDescent="0.3">
      <c r="A240" s="69"/>
      <c r="B240" s="69"/>
      <c r="C240" s="68"/>
      <c r="D240" s="69"/>
      <c r="E240" s="69"/>
      <c r="F240" s="69"/>
      <c r="G240" s="69"/>
      <c r="H240" s="67" t="str">
        <f t="shared" si="12"/>
        <v/>
      </c>
      <c r="I240" s="67" t="str">
        <f t="shared" si="13"/>
        <v/>
      </c>
      <c r="J240" s="69"/>
      <c r="K240" s="69"/>
      <c r="L240" s="69"/>
      <c r="M240" s="68"/>
      <c r="N240" s="69"/>
      <c r="O240" s="69"/>
      <c r="P240" s="69"/>
      <c r="Q240" s="67" t="str">
        <f t="shared" si="14"/>
        <v/>
      </c>
      <c r="R240" s="81" t="str">
        <f t="shared" si="15"/>
        <v/>
      </c>
    </row>
    <row r="241" spans="1:18" x14ac:dyDescent="0.3">
      <c r="A241" s="69"/>
      <c r="B241" s="69"/>
      <c r="C241" s="68"/>
      <c r="D241" s="69"/>
      <c r="E241" s="69"/>
      <c r="F241" s="69"/>
      <c r="G241" s="69"/>
      <c r="H241" s="67" t="str">
        <f t="shared" si="12"/>
        <v/>
      </c>
      <c r="I241" s="67" t="str">
        <f t="shared" si="13"/>
        <v/>
      </c>
      <c r="J241" s="69"/>
      <c r="K241" s="69"/>
      <c r="L241" s="69"/>
      <c r="M241" s="68"/>
      <c r="N241" s="69"/>
      <c r="O241" s="69"/>
      <c r="P241" s="69"/>
      <c r="Q241" s="67" t="str">
        <f t="shared" si="14"/>
        <v/>
      </c>
      <c r="R241" s="81" t="str">
        <f t="shared" si="15"/>
        <v/>
      </c>
    </row>
    <row r="242" spans="1:18" x14ac:dyDescent="0.3">
      <c r="A242" s="69"/>
      <c r="B242" s="69"/>
      <c r="C242" s="68"/>
      <c r="D242" s="69"/>
      <c r="E242" s="69"/>
      <c r="F242" s="69"/>
      <c r="G242" s="69"/>
      <c r="H242" s="67" t="str">
        <f t="shared" si="12"/>
        <v/>
      </c>
      <c r="I242" s="67" t="str">
        <f t="shared" si="13"/>
        <v/>
      </c>
      <c r="J242" s="69"/>
      <c r="K242" s="69"/>
      <c r="L242" s="69"/>
      <c r="M242" s="68"/>
      <c r="N242" s="69"/>
      <c r="O242" s="69"/>
      <c r="P242" s="69"/>
      <c r="Q242" s="67" t="str">
        <f t="shared" si="14"/>
        <v/>
      </c>
      <c r="R242" s="81" t="str">
        <f t="shared" si="15"/>
        <v/>
      </c>
    </row>
    <row r="243" spans="1:18" x14ac:dyDescent="0.3">
      <c r="A243" s="69"/>
      <c r="B243" s="69"/>
      <c r="C243" s="68"/>
      <c r="D243" s="69"/>
      <c r="E243" s="69"/>
      <c r="F243" s="69"/>
      <c r="G243" s="69"/>
      <c r="H243" s="67" t="str">
        <f t="shared" si="12"/>
        <v/>
      </c>
      <c r="I243" s="67" t="str">
        <f t="shared" si="13"/>
        <v/>
      </c>
      <c r="J243" s="69"/>
      <c r="K243" s="69"/>
      <c r="L243" s="69"/>
      <c r="M243" s="68"/>
      <c r="N243" s="69"/>
      <c r="O243" s="69"/>
      <c r="P243" s="69"/>
      <c r="Q243" s="67" t="str">
        <f t="shared" si="14"/>
        <v/>
      </c>
      <c r="R243" s="81" t="str">
        <f t="shared" si="15"/>
        <v/>
      </c>
    </row>
    <row r="244" spans="1:18" x14ac:dyDescent="0.3">
      <c r="A244" s="69"/>
      <c r="B244" s="69"/>
      <c r="C244" s="68"/>
      <c r="D244" s="69"/>
      <c r="E244" s="69"/>
      <c r="F244" s="69"/>
      <c r="G244" s="69"/>
      <c r="H244" s="67" t="str">
        <f t="shared" si="12"/>
        <v/>
      </c>
      <c r="I244" s="67" t="str">
        <f t="shared" si="13"/>
        <v/>
      </c>
      <c r="J244" s="69"/>
      <c r="K244" s="69"/>
      <c r="L244" s="69"/>
      <c r="M244" s="68"/>
      <c r="N244" s="69"/>
      <c r="O244" s="69"/>
      <c r="P244" s="69"/>
      <c r="Q244" s="67" t="str">
        <f t="shared" si="14"/>
        <v/>
      </c>
      <c r="R244" s="81" t="str">
        <f t="shared" si="15"/>
        <v/>
      </c>
    </row>
    <row r="245" spans="1:18" x14ac:dyDescent="0.3">
      <c r="A245" s="69"/>
      <c r="B245" s="69"/>
      <c r="C245" s="68"/>
      <c r="D245" s="69"/>
      <c r="E245" s="69"/>
      <c r="F245" s="69"/>
      <c r="G245" s="69"/>
      <c r="H245" s="67" t="str">
        <f t="shared" si="12"/>
        <v/>
      </c>
      <c r="I245" s="67" t="str">
        <f t="shared" si="13"/>
        <v/>
      </c>
      <c r="J245" s="69"/>
      <c r="K245" s="69"/>
      <c r="L245" s="69"/>
      <c r="M245" s="68"/>
      <c r="N245" s="69"/>
      <c r="O245" s="69"/>
      <c r="P245" s="69"/>
      <c r="Q245" s="67" t="str">
        <f t="shared" si="14"/>
        <v/>
      </c>
      <c r="R245" s="81" t="str">
        <f t="shared" si="15"/>
        <v/>
      </c>
    </row>
    <row r="246" spans="1:18" x14ac:dyDescent="0.3">
      <c r="A246" s="69"/>
      <c r="B246" s="69"/>
      <c r="C246" s="68"/>
      <c r="D246" s="69"/>
      <c r="E246" s="69"/>
      <c r="F246" s="69"/>
      <c r="G246" s="69"/>
      <c r="H246" s="67" t="str">
        <f t="shared" si="12"/>
        <v/>
      </c>
      <c r="I246" s="67" t="str">
        <f t="shared" si="13"/>
        <v/>
      </c>
      <c r="J246" s="69"/>
      <c r="K246" s="69"/>
      <c r="L246" s="69"/>
      <c r="M246" s="68"/>
      <c r="N246" s="69"/>
      <c r="O246" s="69"/>
      <c r="P246" s="69"/>
      <c r="Q246" s="67" t="str">
        <f t="shared" si="14"/>
        <v/>
      </c>
      <c r="R246" s="81" t="str">
        <f t="shared" si="15"/>
        <v/>
      </c>
    </row>
    <row r="247" spans="1:18" x14ac:dyDescent="0.3">
      <c r="A247" s="69"/>
      <c r="B247" s="69"/>
      <c r="C247" s="68"/>
      <c r="D247" s="69"/>
      <c r="E247" s="69"/>
      <c r="F247" s="69"/>
      <c r="G247" s="69"/>
      <c r="H247" s="67" t="str">
        <f t="shared" si="12"/>
        <v/>
      </c>
      <c r="I247" s="67" t="str">
        <f t="shared" si="13"/>
        <v/>
      </c>
      <c r="J247" s="69"/>
      <c r="K247" s="69"/>
      <c r="L247" s="69"/>
      <c r="M247" s="68"/>
      <c r="N247" s="69"/>
      <c r="O247" s="69"/>
      <c r="P247" s="69"/>
      <c r="Q247" s="67" t="str">
        <f t="shared" si="14"/>
        <v/>
      </c>
      <c r="R247" s="81" t="str">
        <f t="shared" si="15"/>
        <v/>
      </c>
    </row>
    <row r="248" spans="1:18" x14ac:dyDescent="0.3">
      <c r="A248" s="69"/>
      <c r="B248" s="69"/>
      <c r="C248" s="68"/>
      <c r="D248" s="69"/>
      <c r="E248" s="69"/>
      <c r="F248" s="69"/>
      <c r="G248" s="69"/>
      <c r="H248" s="67" t="str">
        <f t="shared" si="12"/>
        <v/>
      </c>
      <c r="I248" s="67" t="str">
        <f t="shared" si="13"/>
        <v/>
      </c>
      <c r="J248" s="69"/>
      <c r="K248" s="69"/>
      <c r="L248" s="69"/>
      <c r="M248" s="68"/>
      <c r="N248" s="69"/>
      <c r="O248" s="69"/>
      <c r="P248" s="69"/>
      <c r="Q248" s="67" t="str">
        <f t="shared" si="14"/>
        <v/>
      </c>
      <c r="R248" s="81" t="str">
        <f t="shared" si="15"/>
        <v/>
      </c>
    </row>
    <row r="249" spans="1:18" x14ac:dyDescent="0.3">
      <c r="A249" s="69"/>
      <c r="B249" s="69"/>
      <c r="C249" s="68"/>
      <c r="D249" s="69"/>
      <c r="E249" s="69"/>
      <c r="F249" s="69"/>
      <c r="G249" s="69"/>
      <c r="H249" s="67" t="str">
        <f t="shared" si="12"/>
        <v/>
      </c>
      <c r="I249" s="67" t="str">
        <f t="shared" si="13"/>
        <v/>
      </c>
      <c r="J249" s="69"/>
      <c r="K249" s="69"/>
      <c r="L249" s="69"/>
      <c r="M249" s="68"/>
      <c r="N249" s="69"/>
      <c r="O249" s="69"/>
      <c r="P249" s="69"/>
      <c r="Q249" s="67" t="str">
        <f t="shared" si="14"/>
        <v/>
      </c>
      <c r="R249" s="81" t="str">
        <f t="shared" si="15"/>
        <v/>
      </c>
    </row>
    <row r="250" spans="1:18" x14ac:dyDescent="0.3">
      <c r="A250" s="69"/>
      <c r="B250" s="69"/>
      <c r="C250" s="68"/>
      <c r="D250" s="69"/>
      <c r="E250" s="69"/>
      <c r="F250" s="69"/>
      <c r="G250" s="69"/>
      <c r="H250" s="67" t="str">
        <f t="shared" si="12"/>
        <v/>
      </c>
      <c r="I250" s="67" t="str">
        <f t="shared" si="13"/>
        <v/>
      </c>
      <c r="J250" s="69"/>
      <c r="K250" s="69"/>
      <c r="L250" s="69"/>
      <c r="M250" s="68"/>
      <c r="N250" s="69"/>
      <c r="O250" s="69"/>
      <c r="P250" s="69"/>
      <c r="Q250" s="67" t="str">
        <f t="shared" si="14"/>
        <v/>
      </c>
      <c r="R250" s="81" t="str">
        <f t="shared" si="15"/>
        <v/>
      </c>
    </row>
    <row r="251" spans="1:18" x14ac:dyDescent="0.3">
      <c r="A251" s="69"/>
      <c r="B251" s="69"/>
      <c r="C251" s="68"/>
      <c r="D251" s="69"/>
      <c r="E251" s="69"/>
      <c r="F251" s="69"/>
      <c r="G251" s="69"/>
      <c r="H251" s="67" t="str">
        <f t="shared" si="12"/>
        <v/>
      </c>
      <c r="I251" s="67" t="str">
        <f t="shared" si="13"/>
        <v/>
      </c>
      <c r="J251" s="69"/>
      <c r="K251" s="69"/>
      <c r="L251" s="69"/>
      <c r="M251" s="68"/>
      <c r="N251" s="69"/>
      <c r="O251" s="69"/>
      <c r="P251" s="69"/>
      <c r="Q251" s="67" t="str">
        <f t="shared" si="14"/>
        <v/>
      </c>
      <c r="R251" s="81" t="str">
        <f t="shared" si="15"/>
        <v/>
      </c>
    </row>
    <row r="252" spans="1:18" x14ac:dyDescent="0.3">
      <c r="A252" s="69"/>
      <c r="B252" s="69"/>
      <c r="C252" s="68"/>
      <c r="D252" s="69"/>
      <c r="E252" s="69"/>
      <c r="F252" s="69"/>
      <c r="G252" s="69"/>
      <c r="H252" s="67" t="str">
        <f t="shared" si="12"/>
        <v/>
      </c>
      <c r="I252" s="67" t="str">
        <f t="shared" si="13"/>
        <v/>
      </c>
      <c r="J252" s="69"/>
      <c r="K252" s="69"/>
      <c r="L252" s="69"/>
      <c r="M252" s="68"/>
      <c r="N252" s="69"/>
      <c r="O252" s="69"/>
      <c r="P252" s="69"/>
      <c r="Q252" s="67" t="str">
        <f t="shared" si="14"/>
        <v/>
      </c>
      <c r="R252" s="81" t="str">
        <f t="shared" si="15"/>
        <v/>
      </c>
    </row>
    <row r="253" spans="1:18" x14ac:dyDescent="0.3">
      <c r="A253" s="69"/>
      <c r="B253" s="69"/>
      <c r="C253" s="68"/>
      <c r="D253" s="69"/>
      <c r="E253" s="69"/>
      <c r="F253" s="69"/>
      <c r="G253" s="69"/>
      <c r="H253" s="67" t="str">
        <f t="shared" si="12"/>
        <v/>
      </c>
      <c r="I253" s="67" t="str">
        <f t="shared" si="13"/>
        <v/>
      </c>
      <c r="J253" s="69"/>
      <c r="K253" s="69"/>
      <c r="L253" s="69"/>
      <c r="M253" s="68"/>
      <c r="N253" s="69"/>
      <c r="O253" s="69"/>
      <c r="P253" s="69"/>
      <c r="Q253" s="67" t="str">
        <f t="shared" si="14"/>
        <v/>
      </c>
      <c r="R253" s="81" t="str">
        <f t="shared" si="15"/>
        <v/>
      </c>
    </row>
    <row r="254" spans="1:18" x14ac:dyDescent="0.3">
      <c r="A254" s="69"/>
      <c r="B254" s="69"/>
      <c r="C254" s="68"/>
      <c r="D254" s="69"/>
      <c r="E254" s="69"/>
      <c r="F254" s="69"/>
      <c r="G254" s="69"/>
      <c r="H254" s="67" t="str">
        <f t="shared" si="12"/>
        <v/>
      </c>
      <c r="I254" s="67" t="str">
        <f t="shared" si="13"/>
        <v/>
      </c>
      <c r="J254" s="69"/>
      <c r="K254" s="69"/>
      <c r="L254" s="69"/>
      <c r="M254" s="68"/>
      <c r="N254" s="69"/>
      <c r="O254" s="69"/>
      <c r="P254" s="69"/>
      <c r="Q254" s="67" t="str">
        <f t="shared" si="14"/>
        <v/>
      </c>
      <c r="R254" s="81" t="str">
        <f t="shared" si="15"/>
        <v/>
      </c>
    </row>
    <row r="255" spans="1:18" x14ac:dyDescent="0.3">
      <c r="A255" s="69"/>
      <c r="B255" s="69"/>
      <c r="C255" s="68"/>
      <c r="D255" s="69"/>
      <c r="E255" s="69"/>
      <c r="F255" s="69"/>
      <c r="G255" s="69"/>
      <c r="H255" s="67" t="str">
        <f t="shared" si="12"/>
        <v/>
      </c>
      <c r="I255" s="67" t="str">
        <f t="shared" si="13"/>
        <v/>
      </c>
      <c r="J255" s="69"/>
      <c r="K255" s="69"/>
      <c r="L255" s="69"/>
      <c r="M255" s="68"/>
      <c r="N255" s="69"/>
      <c r="O255" s="69"/>
      <c r="P255" s="69"/>
      <c r="Q255" s="67" t="str">
        <f t="shared" si="14"/>
        <v/>
      </c>
      <c r="R255" s="81" t="str">
        <f t="shared" si="15"/>
        <v/>
      </c>
    </row>
    <row r="256" spans="1:18" x14ac:dyDescent="0.3">
      <c r="A256" s="69"/>
      <c r="B256" s="69"/>
      <c r="C256" s="68"/>
      <c r="D256" s="69"/>
      <c r="E256" s="69"/>
      <c r="F256" s="69"/>
      <c r="G256" s="69"/>
      <c r="H256" s="67" t="str">
        <f t="shared" si="12"/>
        <v/>
      </c>
      <c r="I256" s="67" t="str">
        <f t="shared" si="13"/>
        <v/>
      </c>
      <c r="J256" s="69"/>
      <c r="K256" s="69"/>
      <c r="L256" s="69"/>
      <c r="M256" s="68"/>
      <c r="N256" s="69"/>
      <c r="O256" s="69"/>
      <c r="P256" s="69"/>
      <c r="Q256" s="67" t="str">
        <f t="shared" si="14"/>
        <v/>
      </c>
      <c r="R256" s="81" t="str">
        <f t="shared" si="15"/>
        <v/>
      </c>
    </row>
    <row r="257" spans="1:18" x14ac:dyDescent="0.3">
      <c r="A257" s="69"/>
      <c r="B257" s="69"/>
      <c r="C257" s="68"/>
      <c r="D257" s="69"/>
      <c r="E257" s="69"/>
      <c r="F257" s="69"/>
      <c r="G257" s="69"/>
      <c r="H257" s="67" t="str">
        <f t="shared" si="12"/>
        <v/>
      </c>
      <c r="I257" s="67" t="str">
        <f t="shared" si="13"/>
        <v/>
      </c>
      <c r="J257" s="69"/>
      <c r="K257" s="69"/>
      <c r="L257" s="69"/>
      <c r="M257" s="68"/>
      <c r="N257" s="69"/>
      <c r="O257" s="69"/>
      <c r="P257" s="69"/>
      <c r="Q257" s="67" t="str">
        <f t="shared" si="14"/>
        <v/>
      </c>
      <c r="R257" s="81" t="str">
        <f t="shared" si="15"/>
        <v/>
      </c>
    </row>
    <row r="258" spans="1:18" x14ac:dyDescent="0.3">
      <c r="A258" s="69"/>
      <c r="B258" s="69"/>
      <c r="C258" s="68"/>
      <c r="D258" s="69"/>
      <c r="E258" s="69"/>
      <c r="F258" s="69"/>
      <c r="G258" s="69"/>
      <c r="H258" s="67" t="str">
        <f t="shared" si="12"/>
        <v/>
      </c>
      <c r="I258" s="67" t="str">
        <f t="shared" si="13"/>
        <v/>
      </c>
      <c r="J258" s="69"/>
      <c r="K258" s="69"/>
      <c r="L258" s="69"/>
      <c r="M258" s="68"/>
      <c r="N258" s="69"/>
      <c r="O258" s="69"/>
      <c r="P258" s="69"/>
      <c r="Q258" s="67" t="str">
        <f t="shared" si="14"/>
        <v/>
      </c>
      <c r="R258" s="81" t="str">
        <f t="shared" si="15"/>
        <v/>
      </c>
    </row>
    <row r="259" spans="1:18" x14ac:dyDescent="0.3">
      <c r="A259" s="69"/>
      <c r="B259" s="69"/>
      <c r="C259" s="68"/>
      <c r="D259" s="69"/>
      <c r="E259" s="69"/>
      <c r="F259" s="69"/>
      <c r="G259" s="69"/>
      <c r="H259" s="67" t="str">
        <f t="shared" si="12"/>
        <v/>
      </c>
      <c r="I259" s="67" t="str">
        <f t="shared" si="13"/>
        <v/>
      </c>
      <c r="J259" s="69"/>
      <c r="K259" s="69"/>
      <c r="L259" s="69"/>
      <c r="M259" s="68"/>
      <c r="N259" s="69"/>
      <c r="O259" s="69"/>
      <c r="P259" s="69"/>
      <c r="Q259" s="67" t="str">
        <f t="shared" si="14"/>
        <v/>
      </c>
      <c r="R259" s="81" t="str">
        <f t="shared" si="15"/>
        <v/>
      </c>
    </row>
    <row r="260" spans="1:18" x14ac:dyDescent="0.3">
      <c r="A260" s="69"/>
      <c r="B260" s="69"/>
      <c r="C260" s="68"/>
      <c r="D260" s="69"/>
      <c r="E260" s="69"/>
      <c r="F260" s="69"/>
      <c r="G260" s="69"/>
      <c r="H260" s="67" t="str">
        <f t="shared" si="12"/>
        <v/>
      </c>
      <c r="I260" s="67" t="str">
        <f t="shared" si="13"/>
        <v/>
      </c>
      <c r="J260" s="69"/>
      <c r="K260" s="69"/>
      <c r="L260" s="69"/>
      <c r="M260" s="68"/>
      <c r="N260" s="69"/>
      <c r="O260" s="69"/>
      <c r="P260" s="69"/>
      <c r="Q260" s="67" t="str">
        <f t="shared" si="14"/>
        <v/>
      </c>
      <c r="R260" s="81" t="str">
        <f t="shared" si="15"/>
        <v/>
      </c>
    </row>
    <row r="261" spans="1:18" x14ac:dyDescent="0.3">
      <c r="A261" s="69"/>
      <c r="B261" s="69"/>
      <c r="C261" s="68"/>
      <c r="D261" s="69"/>
      <c r="E261" s="69"/>
      <c r="F261" s="69"/>
      <c r="G261" s="69"/>
      <c r="H261" s="67" t="str">
        <f t="shared" ref="H261:H324" si="16">IF(OR(F261="",G261=""),"",F261*G261)</f>
        <v/>
      </c>
      <c r="I261" s="67" t="str">
        <f t="shared" ref="I261:I324" si="17">IF(H261="","",IF(H261&gt;=15,"High",IF(H261&gt;=8,"Medium","Low")))</f>
        <v/>
      </c>
      <c r="J261" s="69"/>
      <c r="K261" s="69"/>
      <c r="L261" s="69"/>
      <c r="M261" s="68"/>
      <c r="N261" s="69"/>
      <c r="O261" s="69"/>
      <c r="P261" s="69"/>
      <c r="Q261" s="67" t="str">
        <f t="shared" ref="Q261:Q324" si="18">IF(OR(O261="",P261=""),"",O261*P261)</f>
        <v/>
      </c>
      <c r="R261" s="81" t="str">
        <f t="shared" ref="R261:R324" si="19">IF(OR(H261="",Q261=""),"",1-Q261/H261)</f>
        <v/>
      </c>
    </row>
    <row r="262" spans="1:18" x14ac:dyDescent="0.3">
      <c r="A262" s="69"/>
      <c r="B262" s="69"/>
      <c r="C262" s="68"/>
      <c r="D262" s="69"/>
      <c r="E262" s="69"/>
      <c r="F262" s="69"/>
      <c r="G262" s="69"/>
      <c r="H262" s="67" t="str">
        <f t="shared" si="16"/>
        <v/>
      </c>
      <c r="I262" s="67" t="str">
        <f t="shared" si="17"/>
        <v/>
      </c>
      <c r="J262" s="69"/>
      <c r="K262" s="69"/>
      <c r="L262" s="69"/>
      <c r="M262" s="68"/>
      <c r="N262" s="69"/>
      <c r="O262" s="69"/>
      <c r="P262" s="69"/>
      <c r="Q262" s="67" t="str">
        <f t="shared" si="18"/>
        <v/>
      </c>
      <c r="R262" s="81" t="str">
        <f t="shared" si="19"/>
        <v/>
      </c>
    </row>
    <row r="263" spans="1:18" x14ac:dyDescent="0.3">
      <c r="A263" s="69"/>
      <c r="B263" s="69"/>
      <c r="C263" s="68"/>
      <c r="D263" s="69"/>
      <c r="E263" s="69"/>
      <c r="F263" s="69"/>
      <c r="G263" s="69"/>
      <c r="H263" s="67" t="str">
        <f t="shared" si="16"/>
        <v/>
      </c>
      <c r="I263" s="67" t="str">
        <f t="shared" si="17"/>
        <v/>
      </c>
      <c r="J263" s="69"/>
      <c r="K263" s="69"/>
      <c r="L263" s="69"/>
      <c r="M263" s="68"/>
      <c r="N263" s="69"/>
      <c r="O263" s="69"/>
      <c r="P263" s="69"/>
      <c r="Q263" s="67" t="str">
        <f t="shared" si="18"/>
        <v/>
      </c>
      <c r="R263" s="81" t="str">
        <f t="shared" si="19"/>
        <v/>
      </c>
    </row>
    <row r="264" spans="1:18" x14ac:dyDescent="0.3">
      <c r="A264" s="69"/>
      <c r="B264" s="69"/>
      <c r="C264" s="68"/>
      <c r="D264" s="69"/>
      <c r="E264" s="69"/>
      <c r="F264" s="69"/>
      <c r="G264" s="69"/>
      <c r="H264" s="67" t="str">
        <f t="shared" si="16"/>
        <v/>
      </c>
      <c r="I264" s="67" t="str">
        <f t="shared" si="17"/>
        <v/>
      </c>
      <c r="J264" s="69"/>
      <c r="K264" s="69"/>
      <c r="L264" s="69"/>
      <c r="M264" s="68"/>
      <c r="N264" s="69"/>
      <c r="O264" s="69"/>
      <c r="P264" s="69"/>
      <c r="Q264" s="67" t="str">
        <f t="shared" si="18"/>
        <v/>
      </c>
      <c r="R264" s="81" t="str">
        <f t="shared" si="19"/>
        <v/>
      </c>
    </row>
    <row r="265" spans="1:18" x14ac:dyDescent="0.3">
      <c r="A265" s="69"/>
      <c r="B265" s="69"/>
      <c r="C265" s="68"/>
      <c r="D265" s="69"/>
      <c r="E265" s="69"/>
      <c r="F265" s="69"/>
      <c r="G265" s="69"/>
      <c r="H265" s="67" t="str">
        <f t="shared" si="16"/>
        <v/>
      </c>
      <c r="I265" s="67" t="str">
        <f t="shared" si="17"/>
        <v/>
      </c>
      <c r="J265" s="69"/>
      <c r="K265" s="69"/>
      <c r="L265" s="69"/>
      <c r="M265" s="68"/>
      <c r="N265" s="69"/>
      <c r="O265" s="69"/>
      <c r="P265" s="69"/>
      <c r="Q265" s="67" t="str">
        <f t="shared" si="18"/>
        <v/>
      </c>
      <c r="R265" s="81" t="str">
        <f t="shared" si="19"/>
        <v/>
      </c>
    </row>
    <row r="266" spans="1:18" x14ac:dyDescent="0.3">
      <c r="A266" s="69"/>
      <c r="B266" s="69"/>
      <c r="C266" s="68"/>
      <c r="D266" s="69"/>
      <c r="E266" s="69"/>
      <c r="F266" s="69"/>
      <c r="G266" s="69"/>
      <c r="H266" s="67" t="str">
        <f t="shared" si="16"/>
        <v/>
      </c>
      <c r="I266" s="67" t="str">
        <f t="shared" si="17"/>
        <v/>
      </c>
      <c r="J266" s="69"/>
      <c r="K266" s="69"/>
      <c r="L266" s="69"/>
      <c r="M266" s="68"/>
      <c r="N266" s="69"/>
      <c r="O266" s="69"/>
      <c r="P266" s="69"/>
      <c r="Q266" s="67" t="str">
        <f t="shared" si="18"/>
        <v/>
      </c>
      <c r="R266" s="81" t="str">
        <f t="shared" si="19"/>
        <v/>
      </c>
    </row>
    <row r="267" spans="1:18" x14ac:dyDescent="0.3">
      <c r="A267" s="69"/>
      <c r="B267" s="69"/>
      <c r="C267" s="68"/>
      <c r="D267" s="69"/>
      <c r="E267" s="69"/>
      <c r="F267" s="69"/>
      <c r="G267" s="69"/>
      <c r="H267" s="67" t="str">
        <f t="shared" si="16"/>
        <v/>
      </c>
      <c r="I267" s="67" t="str">
        <f t="shared" si="17"/>
        <v/>
      </c>
      <c r="J267" s="69"/>
      <c r="K267" s="69"/>
      <c r="L267" s="69"/>
      <c r="M267" s="68"/>
      <c r="N267" s="69"/>
      <c r="O267" s="69"/>
      <c r="P267" s="69"/>
      <c r="Q267" s="67" t="str">
        <f t="shared" si="18"/>
        <v/>
      </c>
      <c r="R267" s="81" t="str">
        <f t="shared" si="19"/>
        <v/>
      </c>
    </row>
    <row r="268" spans="1:18" x14ac:dyDescent="0.3">
      <c r="A268" s="69"/>
      <c r="B268" s="69"/>
      <c r="C268" s="68"/>
      <c r="D268" s="69"/>
      <c r="E268" s="69"/>
      <c r="F268" s="69"/>
      <c r="G268" s="69"/>
      <c r="H268" s="67" t="str">
        <f t="shared" si="16"/>
        <v/>
      </c>
      <c r="I268" s="67" t="str">
        <f t="shared" si="17"/>
        <v/>
      </c>
      <c r="J268" s="69"/>
      <c r="K268" s="69"/>
      <c r="L268" s="69"/>
      <c r="M268" s="68"/>
      <c r="N268" s="69"/>
      <c r="O268" s="69"/>
      <c r="P268" s="69"/>
      <c r="Q268" s="67" t="str">
        <f t="shared" si="18"/>
        <v/>
      </c>
      <c r="R268" s="81" t="str">
        <f t="shared" si="19"/>
        <v/>
      </c>
    </row>
    <row r="269" spans="1:18" x14ac:dyDescent="0.3">
      <c r="A269" s="69"/>
      <c r="B269" s="69"/>
      <c r="C269" s="68"/>
      <c r="D269" s="69"/>
      <c r="E269" s="69"/>
      <c r="F269" s="69"/>
      <c r="G269" s="69"/>
      <c r="H269" s="67" t="str">
        <f t="shared" si="16"/>
        <v/>
      </c>
      <c r="I269" s="67" t="str">
        <f t="shared" si="17"/>
        <v/>
      </c>
      <c r="J269" s="69"/>
      <c r="K269" s="69"/>
      <c r="L269" s="69"/>
      <c r="M269" s="68"/>
      <c r="N269" s="69"/>
      <c r="O269" s="69"/>
      <c r="P269" s="69"/>
      <c r="Q269" s="67" t="str">
        <f t="shared" si="18"/>
        <v/>
      </c>
      <c r="R269" s="81" t="str">
        <f t="shared" si="19"/>
        <v/>
      </c>
    </row>
    <row r="270" spans="1:18" x14ac:dyDescent="0.3">
      <c r="A270" s="69"/>
      <c r="B270" s="69"/>
      <c r="C270" s="68"/>
      <c r="D270" s="69"/>
      <c r="E270" s="69"/>
      <c r="F270" s="69"/>
      <c r="G270" s="69"/>
      <c r="H270" s="67" t="str">
        <f t="shared" si="16"/>
        <v/>
      </c>
      <c r="I270" s="67" t="str">
        <f t="shared" si="17"/>
        <v/>
      </c>
      <c r="J270" s="69"/>
      <c r="K270" s="69"/>
      <c r="L270" s="69"/>
      <c r="M270" s="68"/>
      <c r="N270" s="69"/>
      <c r="O270" s="69"/>
      <c r="P270" s="69"/>
      <c r="Q270" s="67" t="str">
        <f t="shared" si="18"/>
        <v/>
      </c>
      <c r="R270" s="81" t="str">
        <f t="shared" si="19"/>
        <v/>
      </c>
    </row>
    <row r="271" spans="1:18" x14ac:dyDescent="0.3">
      <c r="A271" s="69"/>
      <c r="B271" s="69"/>
      <c r="C271" s="68"/>
      <c r="D271" s="69"/>
      <c r="E271" s="69"/>
      <c r="F271" s="69"/>
      <c r="G271" s="69"/>
      <c r="H271" s="67" t="str">
        <f t="shared" si="16"/>
        <v/>
      </c>
      <c r="I271" s="67" t="str">
        <f t="shared" si="17"/>
        <v/>
      </c>
      <c r="J271" s="69"/>
      <c r="K271" s="69"/>
      <c r="L271" s="69"/>
      <c r="M271" s="68"/>
      <c r="N271" s="69"/>
      <c r="O271" s="69"/>
      <c r="P271" s="69"/>
      <c r="Q271" s="67" t="str">
        <f t="shared" si="18"/>
        <v/>
      </c>
      <c r="R271" s="81" t="str">
        <f t="shared" si="19"/>
        <v/>
      </c>
    </row>
    <row r="272" spans="1:18" x14ac:dyDescent="0.3">
      <c r="A272" s="69"/>
      <c r="B272" s="69"/>
      <c r="C272" s="68"/>
      <c r="D272" s="69"/>
      <c r="E272" s="69"/>
      <c r="F272" s="69"/>
      <c r="G272" s="69"/>
      <c r="H272" s="67" t="str">
        <f t="shared" si="16"/>
        <v/>
      </c>
      <c r="I272" s="67" t="str">
        <f t="shared" si="17"/>
        <v/>
      </c>
      <c r="J272" s="69"/>
      <c r="K272" s="69"/>
      <c r="L272" s="69"/>
      <c r="M272" s="68"/>
      <c r="N272" s="69"/>
      <c r="O272" s="69"/>
      <c r="P272" s="69"/>
      <c r="Q272" s="67" t="str">
        <f t="shared" si="18"/>
        <v/>
      </c>
      <c r="R272" s="81" t="str">
        <f t="shared" si="19"/>
        <v/>
      </c>
    </row>
    <row r="273" spans="1:18" x14ac:dyDescent="0.3">
      <c r="A273" s="69"/>
      <c r="B273" s="69"/>
      <c r="C273" s="68"/>
      <c r="D273" s="69"/>
      <c r="E273" s="69"/>
      <c r="F273" s="69"/>
      <c r="G273" s="69"/>
      <c r="H273" s="67" t="str">
        <f t="shared" si="16"/>
        <v/>
      </c>
      <c r="I273" s="67" t="str">
        <f t="shared" si="17"/>
        <v/>
      </c>
      <c r="J273" s="69"/>
      <c r="K273" s="69"/>
      <c r="L273" s="69"/>
      <c r="M273" s="68"/>
      <c r="N273" s="69"/>
      <c r="O273" s="69"/>
      <c r="P273" s="69"/>
      <c r="Q273" s="67" t="str">
        <f t="shared" si="18"/>
        <v/>
      </c>
      <c r="R273" s="81" t="str">
        <f t="shared" si="19"/>
        <v/>
      </c>
    </row>
    <row r="274" spans="1:18" x14ac:dyDescent="0.3">
      <c r="A274" s="69"/>
      <c r="B274" s="69"/>
      <c r="C274" s="68"/>
      <c r="D274" s="69"/>
      <c r="E274" s="69"/>
      <c r="F274" s="69"/>
      <c r="G274" s="69"/>
      <c r="H274" s="67" t="str">
        <f t="shared" si="16"/>
        <v/>
      </c>
      <c r="I274" s="67" t="str">
        <f t="shared" si="17"/>
        <v/>
      </c>
      <c r="J274" s="69"/>
      <c r="K274" s="69"/>
      <c r="L274" s="69"/>
      <c r="M274" s="68"/>
      <c r="N274" s="69"/>
      <c r="O274" s="69"/>
      <c r="P274" s="69"/>
      <c r="Q274" s="67" t="str">
        <f t="shared" si="18"/>
        <v/>
      </c>
      <c r="R274" s="81" t="str">
        <f t="shared" si="19"/>
        <v/>
      </c>
    </row>
    <row r="275" spans="1:18" x14ac:dyDescent="0.3">
      <c r="A275" s="69"/>
      <c r="B275" s="69"/>
      <c r="C275" s="68"/>
      <c r="D275" s="69"/>
      <c r="E275" s="69"/>
      <c r="F275" s="69"/>
      <c r="G275" s="69"/>
      <c r="H275" s="67" t="str">
        <f t="shared" si="16"/>
        <v/>
      </c>
      <c r="I275" s="67" t="str">
        <f t="shared" si="17"/>
        <v/>
      </c>
      <c r="J275" s="69"/>
      <c r="K275" s="69"/>
      <c r="L275" s="69"/>
      <c r="M275" s="68"/>
      <c r="N275" s="69"/>
      <c r="O275" s="69"/>
      <c r="P275" s="69"/>
      <c r="Q275" s="67" t="str">
        <f t="shared" si="18"/>
        <v/>
      </c>
      <c r="R275" s="81" t="str">
        <f t="shared" si="19"/>
        <v/>
      </c>
    </row>
    <row r="276" spans="1:18" x14ac:dyDescent="0.3">
      <c r="A276" s="69"/>
      <c r="B276" s="69"/>
      <c r="C276" s="68"/>
      <c r="D276" s="69"/>
      <c r="E276" s="69"/>
      <c r="F276" s="69"/>
      <c r="G276" s="69"/>
      <c r="H276" s="67" t="str">
        <f t="shared" si="16"/>
        <v/>
      </c>
      <c r="I276" s="67" t="str">
        <f t="shared" si="17"/>
        <v/>
      </c>
      <c r="J276" s="69"/>
      <c r="K276" s="69"/>
      <c r="L276" s="69"/>
      <c r="M276" s="68"/>
      <c r="N276" s="69"/>
      <c r="O276" s="69"/>
      <c r="P276" s="69"/>
      <c r="Q276" s="67" t="str">
        <f t="shared" si="18"/>
        <v/>
      </c>
      <c r="R276" s="81" t="str">
        <f t="shared" si="19"/>
        <v/>
      </c>
    </row>
    <row r="277" spans="1:18" x14ac:dyDescent="0.3">
      <c r="A277" s="69"/>
      <c r="B277" s="69"/>
      <c r="C277" s="68"/>
      <c r="D277" s="69"/>
      <c r="E277" s="69"/>
      <c r="F277" s="69"/>
      <c r="G277" s="69"/>
      <c r="H277" s="67" t="str">
        <f t="shared" si="16"/>
        <v/>
      </c>
      <c r="I277" s="67" t="str">
        <f t="shared" si="17"/>
        <v/>
      </c>
      <c r="J277" s="69"/>
      <c r="K277" s="69"/>
      <c r="L277" s="69"/>
      <c r="M277" s="68"/>
      <c r="N277" s="69"/>
      <c r="O277" s="69"/>
      <c r="P277" s="69"/>
      <c r="Q277" s="67" t="str">
        <f t="shared" si="18"/>
        <v/>
      </c>
      <c r="R277" s="81" t="str">
        <f t="shared" si="19"/>
        <v/>
      </c>
    </row>
    <row r="278" spans="1:18" x14ac:dyDescent="0.3">
      <c r="A278" s="69"/>
      <c r="B278" s="69"/>
      <c r="C278" s="68"/>
      <c r="D278" s="69"/>
      <c r="E278" s="69"/>
      <c r="F278" s="69"/>
      <c r="G278" s="69"/>
      <c r="H278" s="67" t="str">
        <f t="shared" si="16"/>
        <v/>
      </c>
      <c r="I278" s="67" t="str">
        <f t="shared" si="17"/>
        <v/>
      </c>
      <c r="J278" s="69"/>
      <c r="K278" s="69"/>
      <c r="L278" s="69"/>
      <c r="M278" s="68"/>
      <c r="N278" s="69"/>
      <c r="O278" s="69"/>
      <c r="P278" s="69"/>
      <c r="Q278" s="67" t="str">
        <f t="shared" si="18"/>
        <v/>
      </c>
      <c r="R278" s="81" t="str">
        <f t="shared" si="19"/>
        <v/>
      </c>
    </row>
    <row r="279" spans="1:18" x14ac:dyDescent="0.3">
      <c r="A279" s="69"/>
      <c r="B279" s="69"/>
      <c r="C279" s="68"/>
      <c r="D279" s="69"/>
      <c r="E279" s="69"/>
      <c r="F279" s="69"/>
      <c r="G279" s="69"/>
      <c r="H279" s="67" t="str">
        <f t="shared" si="16"/>
        <v/>
      </c>
      <c r="I279" s="67" t="str">
        <f t="shared" si="17"/>
        <v/>
      </c>
      <c r="J279" s="69"/>
      <c r="K279" s="69"/>
      <c r="L279" s="69"/>
      <c r="M279" s="68"/>
      <c r="N279" s="69"/>
      <c r="O279" s="69"/>
      <c r="P279" s="69"/>
      <c r="Q279" s="67" t="str">
        <f t="shared" si="18"/>
        <v/>
      </c>
      <c r="R279" s="81" t="str">
        <f t="shared" si="19"/>
        <v/>
      </c>
    </row>
    <row r="280" spans="1:18" x14ac:dyDescent="0.3">
      <c r="A280" s="69"/>
      <c r="B280" s="69"/>
      <c r="C280" s="68"/>
      <c r="D280" s="69"/>
      <c r="E280" s="69"/>
      <c r="F280" s="69"/>
      <c r="G280" s="69"/>
      <c r="H280" s="67" t="str">
        <f t="shared" si="16"/>
        <v/>
      </c>
      <c r="I280" s="67" t="str">
        <f t="shared" si="17"/>
        <v/>
      </c>
      <c r="J280" s="69"/>
      <c r="K280" s="69"/>
      <c r="L280" s="69"/>
      <c r="M280" s="68"/>
      <c r="N280" s="69"/>
      <c r="O280" s="69"/>
      <c r="P280" s="69"/>
      <c r="Q280" s="67" t="str">
        <f t="shared" si="18"/>
        <v/>
      </c>
      <c r="R280" s="81" t="str">
        <f t="shared" si="19"/>
        <v/>
      </c>
    </row>
    <row r="281" spans="1:18" x14ac:dyDescent="0.3">
      <c r="A281" s="69"/>
      <c r="B281" s="69"/>
      <c r="C281" s="68"/>
      <c r="D281" s="69"/>
      <c r="E281" s="69"/>
      <c r="F281" s="69"/>
      <c r="G281" s="69"/>
      <c r="H281" s="67" t="str">
        <f t="shared" si="16"/>
        <v/>
      </c>
      <c r="I281" s="67" t="str">
        <f t="shared" si="17"/>
        <v/>
      </c>
      <c r="J281" s="69"/>
      <c r="K281" s="69"/>
      <c r="L281" s="69"/>
      <c r="M281" s="68"/>
      <c r="N281" s="69"/>
      <c r="O281" s="69"/>
      <c r="P281" s="69"/>
      <c r="Q281" s="67" t="str">
        <f t="shared" si="18"/>
        <v/>
      </c>
      <c r="R281" s="81" t="str">
        <f t="shared" si="19"/>
        <v/>
      </c>
    </row>
    <row r="282" spans="1:18" x14ac:dyDescent="0.3">
      <c r="A282" s="69"/>
      <c r="B282" s="69"/>
      <c r="C282" s="68"/>
      <c r="D282" s="69"/>
      <c r="E282" s="69"/>
      <c r="F282" s="69"/>
      <c r="G282" s="69"/>
      <c r="H282" s="67" t="str">
        <f t="shared" si="16"/>
        <v/>
      </c>
      <c r="I282" s="67" t="str">
        <f t="shared" si="17"/>
        <v/>
      </c>
      <c r="J282" s="69"/>
      <c r="K282" s="69"/>
      <c r="L282" s="69"/>
      <c r="M282" s="68"/>
      <c r="N282" s="69"/>
      <c r="O282" s="69"/>
      <c r="P282" s="69"/>
      <c r="Q282" s="67" t="str">
        <f t="shared" si="18"/>
        <v/>
      </c>
      <c r="R282" s="81" t="str">
        <f t="shared" si="19"/>
        <v/>
      </c>
    </row>
    <row r="283" spans="1:18" x14ac:dyDescent="0.3">
      <c r="A283" s="69"/>
      <c r="B283" s="69"/>
      <c r="C283" s="68"/>
      <c r="D283" s="69"/>
      <c r="E283" s="69"/>
      <c r="F283" s="69"/>
      <c r="G283" s="69"/>
      <c r="H283" s="67" t="str">
        <f t="shared" si="16"/>
        <v/>
      </c>
      <c r="I283" s="67" t="str">
        <f t="shared" si="17"/>
        <v/>
      </c>
      <c r="J283" s="69"/>
      <c r="K283" s="69"/>
      <c r="L283" s="69"/>
      <c r="M283" s="68"/>
      <c r="N283" s="69"/>
      <c r="O283" s="69"/>
      <c r="P283" s="69"/>
      <c r="Q283" s="67" t="str">
        <f t="shared" si="18"/>
        <v/>
      </c>
      <c r="R283" s="81" t="str">
        <f t="shared" si="19"/>
        <v/>
      </c>
    </row>
    <row r="284" spans="1:18" x14ac:dyDescent="0.3">
      <c r="A284" s="69"/>
      <c r="B284" s="69"/>
      <c r="C284" s="68"/>
      <c r="D284" s="69"/>
      <c r="E284" s="69"/>
      <c r="F284" s="69"/>
      <c r="G284" s="69"/>
      <c r="H284" s="67" t="str">
        <f t="shared" si="16"/>
        <v/>
      </c>
      <c r="I284" s="67" t="str">
        <f t="shared" si="17"/>
        <v/>
      </c>
      <c r="J284" s="69"/>
      <c r="K284" s="69"/>
      <c r="L284" s="69"/>
      <c r="M284" s="68"/>
      <c r="N284" s="69"/>
      <c r="O284" s="69"/>
      <c r="P284" s="69"/>
      <c r="Q284" s="67" t="str">
        <f t="shared" si="18"/>
        <v/>
      </c>
      <c r="R284" s="81" t="str">
        <f t="shared" si="19"/>
        <v/>
      </c>
    </row>
    <row r="285" spans="1:18" x14ac:dyDescent="0.3">
      <c r="A285" s="69"/>
      <c r="B285" s="69"/>
      <c r="C285" s="68"/>
      <c r="D285" s="69"/>
      <c r="E285" s="69"/>
      <c r="F285" s="69"/>
      <c r="G285" s="69"/>
      <c r="H285" s="67" t="str">
        <f t="shared" si="16"/>
        <v/>
      </c>
      <c r="I285" s="67" t="str">
        <f t="shared" si="17"/>
        <v/>
      </c>
      <c r="J285" s="69"/>
      <c r="K285" s="69"/>
      <c r="L285" s="69"/>
      <c r="M285" s="68"/>
      <c r="N285" s="69"/>
      <c r="O285" s="69"/>
      <c r="P285" s="69"/>
      <c r="Q285" s="67" t="str">
        <f t="shared" si="18"/>
        <v/>
      </c>
      <c r="R285" s="81" t="str">
        <f t="shared" si="19"/>
        <v/>
      </c>
    </row>
    <row r="286" spans="1:18" x14ac:dyDescent="0.3">
      <c r="A286" s="69"/>
      <c r="B286" s="69"/>
      <c r="C286" s="68"/>
      <c r="D286" s="69"/>
      <c r="E286" s="69"/>
      <c r="F286" s="69"/>
      <c r="G286" s="69"/>
      <c r="H286" s="67" t="str">
        <f t="shared" si="16"/>
        <v/>
      </c>
      <c r="I286" s="67" t="str">
        <f t="shared" si="17"/>
        <v/>
      </c>
      <c r="J286" s="69"/>
      <c r="K286" s="69"/>
      <c r="L286" s="69"/>
      <c r="M286" s="68"/>
      <c r="N286" s="69"/>
      <c r="O286" s="69"/>
      <c r="P286" s="69"/>
      <c r="Q286" s="67" t="str">
        <f t="shared" si="18"/>
        <v/>
      </c>
      <c r="R286" s="81" t="str">
        <f t="shared" si="19"/>
        <v/>
      </c>
    </row>
    <row r="287" spans="1:18" x14ac:dyDescent="0.3">
      <c r="A287" s="69"/>
      <c r="B287" s="69"/>
      <c r="C287" s="68"/>
      <c r="D287" s="69"/>
      <c r="E287" s="69"/>
      <c r="F287" s="69"/>
      <c r="G287" s="69"/>
      <c r="H287" s="67" t="str">
        <f t="shared" si="16"/>
        <v/>
      </c>
      <c r="I287" s="67" t="str">
        <f t="shared" si="17"/>
        <v/>
      </c>
      <c r="J287" s="69"/>
      <c r="K287" s="69"/>
      <c r="L287" s="69"/>
      <c r="M287" s="68"/>
      <c r="N287" s="69"/>
      <c r="O287" s="69"/>
      <c r="P287" s="69"/>
      <c r="Q287" s="67" t="str">
        <f t="shared" si="18"/>
        <v/>
      </c>
      <c r="R287" s="81" t="str">
        <f t="shared" si="19"/>
        <v/>
      </c>
    </row>
    <row r="288" spans="1:18" x14ac:dyDescent="0.3">
      <c r="A288" s="69"/>
      <c r="B288" s="69"/>
      <c r="C288" s="68"/>
      <c r="D288" s="69"/>
      <c r="E288" s="69"/>
      <c r="F288" s="69"/>
      <c r="G288" s="69"/>
      <c r="H288" s="67" t="str">
        <f t="shared" si="16"/>
        <v/>
      </c>
      <c r="I288" s="67" t="str">
        <f t="shared" si="17"/>
        <v/>
      </c>
      <c r="J288" s="69"/>
      <c r="K288" s="69"/>
      <c r="L288" s="69"/>
      <c r="M288" s="68"/>
      <c r="N288" s="69"/>
      <c r="O288" s="69"/>
      <c r="P288" s="69"/>
      <c r="Q288" s="67" t="str">
        <f t="shared" si="18"/>
        <v/>
      </c>
      <c r="R288" s="81" t="str">
        <f t="shared" si="19"/>
        <v/>
      </c>
    </row>
    <row r="289" spans="1:18" x14ac:dyDescent="0.3">
      <c r="A289" s="69"/>
      <c r="B289" s="69"/>
      <c r="C289" s="68"/>
      <c r="D289" s="69"/>
      <c r="E289" s="69"/>
      <c r="F289" s="69"/>
      <c r="G289" s="69"/>
      <c r="H289" s="67" t="str">
        <f t="shared" si="16"/>
        <v/>
      </c>
      <c r="I289" s="67" t="str">
        <f t="shared" si="17"/>
        <v/>
      </c>
      <c r="J289" s="69"/>
      <c r="K289" s="69"/>
      <c r="L289" s="69"/>
      <c r="M289" s="68"/>
      <c r="N289" s="69"/>
      <c r="O289" s="69"/>
      <c r="P289" s="69"/>
      <c r="Q289" s="67" t="str">
        <f t="shared" si="18"/>
        <v/>
      </c>
      <c r="R289" s="81" t="str">
        <f t="shared" si="19"/>
        <v/>
      </c>
    </row>
    <row r="290" spans="1:18" x14ac:dyDescent="0.3">
      <c r="A290" s="69"/>
      <c r="B290" s="69"/>
      <c r="C290" s="68"/>
      <c r="D290" s="69"/>
      <c r="E290" s="69"/>
      <c r="F290" s="69"/>
      <c r="G290" s="69"/>
      <c r="H290" s="67" t="str">
        <f t="shared" si="16"/>
        <v/>
      </c>
      <c r="I290" s="67" t="str">
        <f t="shared" si="17"/>
        <v/>
      </c>
      <c r="J290" s="69"/>
      <c r="K290" s="69"/>
      <c r="L290" s="69"/>
      <c r="M290" s="68"/>
      <c r="N290" s="69"/>
      <c r="O290" s="69"/>
      <c r="P290" s="69"/>
      <c r="Q290" s="67" t="str">
        <f t="shared" si="18"/>
        <v/>
      </c>
      <c r="R290" s="81" t="str">
        <f t="shared" si="19"/>
        <v/>
      </c>
    </row>
    <row r="291" spans="1:18" x14ac:dyDescent="0.3">
      <c r="A291" s="69"/>
      <c r="B291" s="69"/>
      <c r="C291" s="68"/>
      <c r="D291" s="69"/>
      <c r="E291" s="69"/>
      <c r="F291" s="69"/>
      <c r="G291" s="69"/>
      <c r="H291" s="67" t="str">
        <f t="shared" si="16"/>
        <v/>
      </c>
      <c r="I291" s="67" t="str">
        <f t="shared" si="17"/>
        <v/>
      </c>
      <c r="J291" s="69"/>
      <c r="K291" s="69"/>
      <c r="L291" s="69"/>
      <c r="M291" s="68"/>
      <c r="N291" s="69"/>
      <c r="O291" s="69"/>
      <c r="P291" s="69"/>
      <c r="Q291" s="67" t="str">
        <f t="shared" si="18"/>
        <v/>
      </c>
      <c r="R291" s="81" t="str">
        <f t="shared" si="19"/>
        <v/>
      </c>
    </row>
    <row r="292" spans="1:18" x14ac:dyDescent="0.3">
      <c r="A292" s="69"/>
      <c r="B292" s="69"/>
      <c r="C292" s="68"/>
      <c r="D292" s="69"/>
      <c r="E292" s="69"/>
      <c r="F292" s="69"/>
      <c r="G292" s="69"/>
      <c r="H292" s="67" t="str">
        <f t="shared" si="16"/>
        <v/>
      </c>
      <c r="I292" s="67" t="str">
        <f t="shared" si="17"/>
        <v/>
      </c>
      <c r="J292" s="69"/>
      <c r="K292" s="69"/>
      <c r="L292" s="69"/>
      <c r="M292" s="68"/>
      <c r="N292" s="69"/>
      <c r="O292" s="69"/>
      <c r="P292" s="69"/>
      <c r="Q292" s="67" t="str">
        <f t="shared" si="18"/>
        <v/>
      </c>
      <c r="R292" s="81" t="str">
        <f t="shared" si="19"/>
        <v/>
      </c>
    </row>
    <row r="293" spans="1:18" x14ac:dyDescent="0.3">
      <c r="A293" s="69"/>
      <c r="B293" s="69"/>
      <c r="C293" s="68"/>
      <c r="D293" s="69"/>
      <c r="E293" s="69"/>
      <c r="F293" s="69"/>
      <c r="G293" s="69"/>
      <c r="H293" s="67" t="str">
        <f t="shared" si="16"/>
        <v/>
      </c>
      <c r="I293" s="67" t="str">
        <f t="shared" si="17"/>
        <v/>
      </c>
      <c r="J293" s="69"/>
      <c r="K293" s="69"/>
      <c r="L293" s="69"/>
      <c r="M293" s="68"/>
      <c r="N293" s="69"/>
      <c r="O293" s="69"/>
      <c r="P293" s="69"/>
      <c r="Q293" s="67" t="str">
        <f t="shared" si="18"/>
        <v/>
      </c>
      <c r="R293" s="81" t="str">
        <f t="shared" si="19"/>
        <v/>
      </c>
    </row>
    <row r="294" spans="1:18" x14ac:dyDescent="0.3">
      <c r="A294" s="69"/>
      <c r="B294" s="69"/>
      <c r="C294" s="68"/>
      <c r="D294" s="69"/>
      <c r="E294" s="69"/>
      <c r="F294" s="69"/>
      <c r="G294" s="69"/>
      <c r="H294" s="67" t="str">
        <f t="shared" si="16"/>
        <v/>
      </c>
      <c r="I294" s="67" t="str">
        <f t="shared" si="17"/>
        <v/>
      </c>
      <c r="J294" s="69"/>
      <c r="K294" s="69"/>
      <c r="L294" s="69"/>
      <c r="M294" s="68"/>
      <c r="N294" s="69"/>
      <c r="O294" s="69"/>
      <c r="P294" s="69"/>
      <c r="Q294" s="67" t="str">
        <f t="shared" si="18"/>
        <v/>
      </c>
      <c r="R294" s="81" t="str">
        <f t="shared" si="19"/>
        <v/>
      </c>
    </row>
    <row r="295" spans="1:18" x14ac:dyDescent="0.3">
      <c r="A295" s="69"/>
      <c r="B295" s="69"/>
      <c r="C295" s="68"/>
      <c r="D295" s="69"/>
      <c r="E295" s="69"/>
      <c r="F295" s="69"/>
      <c r="G295" s="69"/>
      <c r="H295" s="67" t="str">
        <f t="shared" si="16"/>
        <v/>
      </c>
      <c r="I295" s="67" t="str">
        <f t="shared" si="17"/>
        <v/>
      </c>
      <c r="J295" s="69"/>
      <c r="K295" s="69"/>
      <c r="L295" s="69"/>
      <c r="M295" s="68"/>
      <c r="N295" s="69"/>
      <c r="O295" s="69"/>
      <c r="P295" s="69"/>
      <c r="Q295" s="67" t="str">
        <f t="shared" si="18"/>
        <v/>
      </c>
      <c r="R295" s="81" t="str">
        <f t="shared" si="19"/>
        <v/>
      </c>
    </row>
    <row r="296" spans="1:18" x14ac:dyDescent="0.3">
      <c r="A296" s="69"/>
      <c r="B296" s="69"/>
      <c r="C296" s="68"/>
      <c r="D296" s="69"/>
      <c r="E296" s="69"/>
      <c r="F296" s="69"/>
      <c r="G296" s="69"/>
      <c r="H296" s="67" t="str">
        <f t="shared" si="16"/>
        <v/>
      </c>
      <c r="I296" s="67" t="str">
        <f t="shared" si="17"/>
        <v/>
      </c>
      <c r="J296" s="69"/>
      <c r="K296" s="69"/>
      <c r="L296" s="69"/>
      <c r="M296" s="68"/>
      <c r="N296" s="69"/>
      <c r="O296" s="69"/>
      <c r="P296" s="69"/>
      <c r="Q296" s="67" t="str">
        <f t="shared" si="18"/>
        <v/>
      </c>
      <c r="R296" s="81" t="str">
        <f t="shared" si="19"/>
        <v/>
      </c>
    </row>
    <row r="297" spans="1:18" x14ac:dyDescent="0.3">
      <c r="A297" s="69"/>
      <c r="B297" s="69"/>
      <c r="C297" s="68"/>
      <c r="D297" s="69"/>
      <c r="E297" s="69"/>
      <c r="F297" s="69"/>
      <c r="G297" s="69"/>
      <c r="H297" s="67" t="str">
        <f t="shared" si="16"/>
        <v/>
      </c>
      <c r="I297" s="67" t="str">
        <f t="shared" si="17"/>
        <v/>
      </c>
      <c r="J297" s="69"/>
      <c r="K297" s="69"/>
      <c r="L297" s="69"/>
      <c r="M297" s="68"/>
      <c r="N297" s="69"/>
      <c r="O297" s="69"/>
      <c r="P297" s="69"/>
      <c r="Q297" s="67" t="str">
        <f t="shared" si="18"/>
        <v/>
      </c>
      <c r="R297" s="81" t="str">
        <f t="shared" si="19"/>
        <v/>
      </c>
    </row>
    <row r="298" spans="1:18" x14ac:dyDescent="0.3">
      <c r="A298" s="69"/>
      <c r="B298" s="69"/>
      <c r="C298" s="68"/>
      <c r="D298" s="69"/>
      <c r="E298" s="69"/>
      <c r="F298" s="69"/>
      <c r="G298" s="69"/>
      <c r="H298" s="67" t="str">
        <f t="shared" si="16"/>
        <v/>
      </c>
      <c r="I298" s="67" t="str">
        <f t="shared" si="17"/>
        <v/>
      </c>
      <c r="J298" s="69"/>
      <c r="K298" s="69"/>
      <c r="L298" s="69"/>
      <c r="M298" s="68"/>
      <c r="N298" s="69"/>
      <c r="O298" s="69"/>
      <c r="P298" s="69"/>
      <c r="Q298" s="67" t="str">
        <f t="shared" si="18"/>
        <v/>
      </c>
      <c r="R298" s="81" t="str">
        <f t="shared" si="19"/>
        <v/>
      </c>
    </row>
    <row r="299" spans="1:18" x14ac:dyDescent="0.3">
      <c r="A299" s="69"/>
      <c r="B299" s="69"/>
      <c r="C299" s="68"/>
      <c r="D299" s="69"/>
      <c r="E299" s="69"/>
      <c r="F299" s="69"/>
      <c r="G299" s="69"/>
      <c r="H299" s="67" t="str">
        <f t="shared" si="16"/>
        <v/>
      </c>
      <c r="I299" s="67" t="str">
        <f t="shared" si="17"/>
        <v/>
      </c>
      <c r="J299" s="69"/>
      <c r="K299" s="69"/>
      <c r="L299" s="69"/>
      <c r="M299" s="68"/>
      <c r="N299" s="69"/>
      <c r="O299" s="69"/>
      <c r="P299" s="69"/>
      <c r="Q299" s="67" t="str">
        <f t="shared" si="18"/>
        <v/>
      </c>
      <c r="R299" s="81" t="str">
        <f t="shared" si="19"/>
        <v/>
      </c>
    </row>
    <row r="300" spans="1:18" x14ac:dyDescent="0.3">
      <c r="A300" s="69"/>
      <c r="B300" s="69"/>
      <c r="C300" s="68"/>
      <c r="D300" s="69"/>
      <c r="E300" s="69"/>
      <c r="F300" s="69"/>
      <c r="G300" s="69"/>
      <c r="H300" s="67" t="str">
        <f t="shared" si="16"/>
        <v/>
      </c>
      <c r="I300" s="67" t="str">
        <f t="shared" si="17"/>
        <v/>
      </c>
      <c r="J300" s="69"/>
      <c r="K300" s="69"/>
      <c r="L300" s="69"/>
      <c r="M300" s="68"/>
      <c r="N300" s="69"/>
      <c r="O300" s="69"/>
      <c r="P300" s="69"/>
      <c r="Q300" s="67" t="str">
        <f t="shared" si="18"/>
        <v/>
      </c>
      <c r="R300" s="81" t="str">
        <f t="shared" si="19"/>
        <v/>
      </c>
    </row>
    <row r="301" spans="1:18" x14ac:dyDescent="0.3">
      <c r="A301" s="69"/>
      <c r="B301" s="69"/>
      <c r="C301" s="68"/>
      <c r="D301" s="69"/>
      <c r="E301" s="69"/>
      <c r="F301" s="69"/>
      <c r="G301" s="69"/>
      <c r="H301" s="67" t="str">
        <f t="shared" si="16"/>
        <v/>
      </c>
      <c r="I301" s="67" t="str">
        <f t="shared" si="17"/>
        <v/>
      </c>
      <c r="J301" s="69"/>
      <c r="K301" s="69"/>
      <c r="L301" s="69"/>
      <c r="M301" s="68"/>
      <c r="N301" s="69"/>
      <c r="O301" s="69"/>
      <c r="P301" s="69"/>
      <c r="Q301" s="67" t="str">
        <f t="shared" si="18"/>
        <v/>
      </c>
      <c r="R301" s="81" t="str">
        <f t="shared" si="19"/>
        <v/>
      </c>
    </row>
    <row r="302" spans="1:18" x14ac:dyDescent="0.3">
      <c r="A302" s="69"/>
      <c r="B302" s="69"/>
      <c r="C302" s="68"/>
      <c r="D302" s="69"/>
      <c r="E302" s="69"/>
      <c r="F302" s="69"/>
      <c r="G302" s="69"/>
      <c r="H302" s="67" t="str">
        <f t="shared" si="16"/>
        <v/>
      </c>
      <c r="I302" s="67" t="str">
        <f t="shared" si="17"/>
        <v/>
      </c>
      <c r="J302" s="69"/>
      <c r="K302" s="69"/>
      <c r="L302" s="69"/>
      <c r="M302" s="68"/>
      <c r="N302" s="69"/>
      <c r="O302" s="69"/>
      <c r="P302" s="69"/>
      <c r="Q302" s="67" t="str">
        <f t="shared" si="18"/>
        <v/>
      </c>
      <c r="R302" s="81" t="str">
        <f t="shared" si="19"/>
        <v/>
      </c>
    </row>
    <row r="303" spans="1:18" x14ac:dyDescent="0.3">
      <c r="A303" s="69"/>
      <c r="B303" s="69"/>
      <c r="C303" s="68"/>
      <c r="D303" s="69"/>
      <c r="E303" s="69"/>
      <c r="F303" s="69"/>
      <c r="G303" s="69"/>
      <c r="H303" s="67" t="str">
        <f t="shared" si="16"/>
        <v/>
      </c>
      <c r="I303" s="67" t="str">
        <f t="shared" si="17"/>
        <v/>
      </c>
      <c r="J303" s="69"/>
      <c r="K303" s="69"/>
      <c r="L303" s="69"/>
      <c r="M303" s="68"/>
      <c r="N303" s="69"/>
      <c r="O303" s="69"/>
      <c r="P303" s="69"/>
      <c r="Q303" s="67" t="str">
        <f t="shared" si="18"/>
        <v/>
      </c>
      <c r="R303" s="81" t="str">
        <f t="shared" si="19"/>
        <v/>
      </c>
    </row>
    <row r="304" spans="1:18" x14ac:dyDescent="0.3">
      <c r="A304" s="69"/>
      <c r="B304" s="69"/>
      <c r="C304" s="68"/>
      <c r="D304" s="69"/>
      <c r="E304" s="69"/>
      <c r="F304" s="69"/>
      <c r="G304" s="69"/>
      <c r="H304" s="67" t="str">
        <f t="shared" si="16"/>
        <v/>
      </c>
      <c r="I304" s="67" t="str">
        <f t="shared" si="17"/>
        <v/>
      </c>
      <c r="J304" s="69"/>
      <c r="K304" s="69"/>
      <c r="L304" s="69"/>
      <c r="M304" s="68"/>
      <c r="N304" s="69"/>
      <c r="O304" s="69"/>
      <c r="P304" s="69"/>
      <c r="Q304" s="67" t="str">
        <f t="shared" si="18"/>
        <v/>
      </c>
      <c r="R304" s="81" t="str">
        <f t="shared" si="19"/>
        <v/>
      </c>
    </row>
    <row r="305" spans="1:18" x14ac:dyDescent="0.3">
      <c r="A305" s="69"/>
      <c r="B305" s="69"/>
      <c r="C305" s="68"/>
      <c r="D305" s="69"/>
      <c r="E305" s="69"/>
      <c r="F305" s="69"/>
      <c r="G305" s="69"/>
      <c r="H305" s="67" t="str">
        <f t="shared" si="16"/>
        <v/>
      </c>
      <c r="I305" s="67" t="str">
        <f t="shared" si="17"/>
        <v/>
      </c>
      <c r="J305" s="69"/>
      <c r="K305" s="69"/>
      <c r="L305" s="69"/>
      <c r="M305" s="68"/>
      <c r="N305" s="69"/>
      <c r="O305" s="69"/>
      <c r="P305" s="69"/>
      <c r="Q305" s="67" t="str">
        <f t="shared" si="18"/>
        <v/>
      </c>
      <c r="R305" s="81" t="str">
        <f t="shared" si="19"/>
        <v/>
      </c>
    </row>
    <row r="306" spans="1:18" x14ac:dyDescent="0.3">
      <c r="A306" s="69"/>
      <c r="B306" s="69"/>
      <c r="C306" s="68"/>
      <c r="D306" s="69"/>
      <c r="E306" s="69"/>
      <c r="F306" s="69"/>
      <c r="G306" s="69"/>
      <c r="H306" s="67" t="str">
        <f t="shared" si="16"/>
        <v/>
      </c>
      <c r="I306" s="67" t="str">
        <f t="shared" si="17"/>
        <v/>
      </c>
      <c r="J306" s="69"/>
      <c r="K306" s="69"/>
      <c r="L306" s="69"/>
      <c r="M306" s="68"/>
      <c r="N306" s="69"/>
      <c r="O306" s="69"/>
      <c r="P306" s="69"/>
      <c r="Q306" s="67" t="str">
        <f t="shared" si="18"/>
        <v/>
      </c>
      <c r="R306" s="81" t="str">
        <f t="shared" si="19"/>
        <v/>
      </c>
    </row>
    <row r="307" spans="1:18" x14ac:dyDescent="0.3">
      <c r="A307" s="69"/>
      <c r="B307" s="69"/>
      <c r="C307" s="68"/>
      <c r="D307" s="69"/>
      <c r="E307" s="69"/>
      <c r="F307" s="69"/>
      <c r="G307" s="69"/>
      <c r="H307" s="67" t="str">
        <f t="shared" si="16"/>
        <v/>
      </c>
      <c r="I307" s="67" t="str">
        <f t="shared" si="17"/>
        <v/>
      </c>
      <c r="J307" s="69"/>
      <c r="K307" s="69"/>
      <c r="L307" s="69"/>
      <c r="M307" s="68"/>
      <c r="N307" s="69"/>
      <c r="O307" s="69"/>
      <c r="P307" s="69"/>
      <c r="Q307" s="67" t="str">
        <f t="shared" si="18"/>
        <v/>
      </c>
      <c r="R307" s="81" t="str">
        <f t="shared" si="19"/>
        <v/>
      </c>
    </row>
    <row r="308" spans="1:18" x14ac:dyDescent="0.3">
      <c r="A308" s="69"/>
      <c r="B308" s="69"/>
      <c r="C308" s="68"/>
      <c r="D308" s="69"/>
      <c r="E308" s="69"/>
      <c r="F308" s="69"/>
      <c r="G308" s="69"/>
      <c r="H308" s="67" t="str">
        <f t="shared" si="16"/>
        <v/>
      </c>
      <c r="I308" s="67" t="str">
        <f t="shared" si="17"/>
        <v/>
      </c>
      <c r="J308" s="69"/>
      <c r="K308" s="69"/>
      <c r="L308" s="69"/>
      <c r="M308" s="68"/>
      <c r="N308" s="69"/>
      <c r="O308" s="69"/>
      <c r="P308" s="69"/>
      <c r="Q308" s="67" t="str">
        <f t="shared" si="18"/>
        <v/>
      </c>
      <c r="R308" s="81" t="str">
        <f t="shared" si="19"/>
        <v/>
      </c>
    </row>
    <row r="309" spans="1:18" x14ac:dyDescent="0.3">
      <c r="A309" s="69"/>
      <c r="B309" s="69"/>
      <c r="C309" s="68"/>
      <c r="D309" s="69"/>
      <c r="E309" s="69"/>
      <c r="F309" s="69"/>
      <c r="G309" s="69"/>
      <c r="H309" s="67" t="str">
        <f t="shared" si="16"/>
        <v/>
      </c>
      <c r="I309" s="67" t="str">
        <f t="shared" si="17"/>
        <v/>
      </c>
      <c r="J309" s="69"/>
      <c r="K309" s="69"/>
      <c r="L309" s="69"/>
      <c r="M309" s="68"/>
      <c r="N309" s="69"/>
      <c r="O309" s="69"/>
      <c r="P309" s="69"/>
      <c r="Q309" s="67" t="str">
        <f t="shared" si="18"/>
        <v/>
      </c>
      <c r="R309" s="81" t="str">
        <f t="shared" si="19"/>
        <v/>
      </c>
    </row>
    <row r="310" spans="1:18" x14ac:dyDescent="0.3">
      <c r="A310" s="69"/>
      <c r="B310" s="69"/>
      <c r="C310" s="68"/>
      <c r="D310" s="69"/>
      <c r="E310" s="69"/>
      <c r="F310" s="69"/>
      <c r="G310" s="69"/>
      <c r="H310" s="67" t="str">
        <f t="shared" si="16"/>
        <v/>
      </c>
      <c r="I310" s="67" t="str">
        <f t="shared" si="17"/>
        <v/>
      </c>
      <c r="J310" s="69"/>
      <c r="K310" s="69"/>
      <c r="L310" s="69"/>
      <c r="M310" s="68"/>
      <c r="N310" s="69"/>
      <c r="O310" s="69"/>
      <c r="P310" s="69"/>
      <c r="Q310" s="67" t="str">
        <f t="shared" si="18"/>
        <v/>
      </c>
      <c r="R310" s="81" t="str">
        <f t="shared" si="19"/>
        <v/>
      </c>
    </row>
    <row r="311" spans="1:18" x14ac:dyDescent="0.3">
      <c r="A311" s="69"/>
      <c r="B311" s="69"/>
      <c r="C311" s="68"/>
      <c r="D311" s="69"/>
      <c r="E311" s="69"/>
      <c r="F311" s="69"/>
      <c r="G311" s="69"/>
      <c r="H311" s="67" t="str">
        <f t="shared" si="16"/>
        <v/>
      </c>
      <c r="I311" s="67" t="str">
        <f t="shared" si="17"/>
        <v/>
      </c>
      <c r="J311" s="69"/>
      <c r="K311" s="69"/>
      <c r="L311" s="69"/>
      <c r="M311" s="68"/>
      <c r="N311" s="69"/>
      <c r="O311" s="69"/>
      <c r="P311" s="69"/>
      <c r="Q311" s="67" t="str">
        <f t="shared" si="18"/>
        <v/>
      </c>
      <c r="R311" s="81" t="str">
        <f t="shared" si="19"/>
        <v/>
      </c>
    </row>
    <row r="312" spans="1:18" x14ac:dyDescent="0.3">
      <c r="A312" s="69"/>
      <c r="B312" s="69"/>
      <c r="C312" s="68"/>
      <c r="D312" s="69"/>
      <c r="E312" s="69"/>
      <c r="F312" s="69"/>
      <c r="G312" s="69"/>
      <c r="H312" s="67" t="str">
        <f t="shared" si="16"/>
        <v/>
      </c>
      <c r="I312" s="67" t="str">
        <f t="shared" si="17"/>
        <v/>
      </c>
      <c r="J312" s="69"/>
      <c r="K312" s="69"/>
      <c r="L312" s="69"/>
      <c r="M312" s="68"/>
      <c r="N312" s="69"/>
      <c r="O312" s="69"/>
      <c r="P312" s="69"/>
      <c r="Q312" s="67" t="str">
        <f t="shared" si="18"/>
        <v/>
      </c>
      <c r="R312" s="81" t="str">
        <f t="shared" si="19"/>
        <v/>
      </c>
    </row>
    <row r="313" spans="1:18" x14ac:dyDescent="0.3">
      <c r="A313" s="69"/>
      <c r="B313" s="69"/>
      <c r="C313" s="68"/>
      <c r="D313" s="69"/>
      <c r="E313" s="69"/>
      <c r="F313" s="69"/>
      <c r="G313" s="69"/>
      <c r="H313" s="67" t="str">
        <f t="shared" si="16"/>
        <v/>
      </c>
      <c r="I313" s="67" t="str">
        <f t="shared" si="17"/>
        <v/>
      </c>
      <c r="J313" s="69"/>
      <c r="K313" s="69"/>
      <c r="L313" s="69"/>
      <c r="M313" s="68"/>
      <c r="N313" s="69"/>
      <c r="O313" s="69"/>
      <c r="P313" s="69"/>
      <c r="Q313" s="67" t="str">
        <f t="shared" si="18"/>
        <v/>
      </c>
      <c r="R313" s="81" t="str">
        <f t="shared" si="19"/>
        <v/>
      </c>
    </row>
    <row r="314" spans="1:18" x14ac:dyDescent="0.3">
      <c r="A314" s="69"/>
      <c r="B314" s="69"/>
      <c r="C314" s="68"/>
      <c r="D314" s="69"/>
      <c r="E314" s="69"/>
      <c r="F314" s="69"/>
      <c r="G314" s="69"/>
      <c r="H314" s="67" t="str">
        <f t="shared" si="16"/>
        <v/>
      </c>
      <c r="I314" s="67" t="str">
        <f t="shared" si="17"/>
        <v/>
      </c>
      <c r="J314" s="69"/>
      <c r="K314" s="69"/>
      <c r="L314" s="69"/>
      <c r="M314" s="68"/>
      <c r="N314" s="69"/>
      <c r="O314" s="69"/>
      <c r="P314" s="69"/>
      <c r="Q314" s="67" t="str">
        <f t="shared" si="18"/>
        <v/>
      </c>
      <c r="R314" s="81" t="str">
        <f t="shared" si="19"/>
        <v/>
      </c>
    </row>
    <row r="315" spans="1:18" x14ac:dyDescent="0.3">
      <c r="A315" s="69"/>
      <c r="B315" s="69"/>
      <c r="C315" s="68"/>
      <c r="D315" s="69"/>
      <c r="E315" s="69"/>
      <c r="F315" s="69"/>
      <c r="G315" s="69"/>
      <c r="H315" s="67" t="str">
        <f t="shared" si="16"/>
        <v/>
      </c>
      <c r="I315" s="67" t="str">
        <f t="shared" si="17"/>
        <v/>
      </c>
      <c r="J315" s="69"/>
      <c r="K315" s="69"/>
      <c r="L315" s="69"/>
      <c r="M315" s="68"/>
      <c r="N315" s="69"/>
      <c r="O315" s="69"/>
      <c r="P315" s="69"/>
      <c r="Q315" s="67" t="str">
        <f t="shared" si="18"/>
        <v/>
      </c>
      <c r="R315" s="81" t="str">
        <f t="shared" si="19"/>
        <v/>
      </c>
    </row>
    <row r="316" spans="1:18" x14ac:dyDescent="0.3">
      <c r="A316" s="69"/>
      <c r="B316" s="69"/>
      <c r="C316" s="68"/>
      <c r="D316" s="69"/>
      <c r="E316" s="69"/>
      <c r="F316" s="69"/>
      <c r="G316" s="69"/>
      <c r="H316" s="67" t="str">
        <f t="shared" si="16"/>
        <v/>
      </c>
      <c r="I316" s="67" t="str">
        <f t="shared" si="17"/>
        <v/>
      </c>
      <c r="J316" s="69"/>
      <c r="K316" s="69"/>
      <c r="L316" s="69"/>
      <c r="M316" s="68"/>
      <c r="N316" s="69"/>
      <c r="O316" s="69"/>
      <c r="P316" s="69"/>
      <c r="Q316" s="67" t="str">
        <f t="shared" si="18"/>
        <v/>
      </c>
      <c r="R316" s="81" t="str">
        <f t="shared" si="19"/>
        <v/>
      </c>
    </row>
    <row r="317" spans="1:18" x14ac:dyDescent="0.3">
      <c r="A317" s="69"/>
      <c r="B317" s="69"/>
      <c r="C317" s="68"/>
      <c r="D317" s="69"/>
      <c r="E317" s="69"/>
      <c r="F317" s="69"/>
      <c r="G317" s="69"/>
      <c r="H317" s="67" t="str">
        <f t="shared" si="16"/>
        <v/>
      </c>
      <c r="I317" s="67" t="str">
        <f t="shared" si="17"/>
        <v/>
      </c>
      <c r="J317" s="69"/>
      <c r="K317" s="69"/>
      <c r="L317" s="69"/>
      <c r="M317" s="68"/>
      <c r="N317" s="69"/>
      <c r="O317" s="69"/>
      <c r="P317" s="69"/>
      <c r="Q317" s="67" t="str">
        <f t="shared" si="18"/>
        <v/>
      </c>
      <c r="R317" s="81" t="str">
        <f t="shared" si="19"/>
        <v/>
      </c>
    </row>
    <row r="318" spans="1:18" x14ac:dyDescent="0.3">
      <c r="A318" s="69"/>
      <c r="B318" s="69"/>
      <c r="C318" s="68"/>
      <c r="D318" s="69"/>
      <c r="E318" s="69"/>
      <c r="F318" s="69"/>
      <c r="G318" s="69"/>
      <c r="H318" s="67" t="str">
        <f t="shared" si="16"/>
        <v/>
      </c>
      <c r="I318" s="67" t="str">
        <f t="shared" si="17"/>
        <v/>
      </c>
      <c r="J318" s="69"/>
      <c r="K318" s="69"/>
      <c r="L318" s="69"/>
      <c r="M318" s="68"/>
      <c r="N318" s="69"/>
      <c r="O318" s="69"/>
      <c r="P318" s="69"/>
      <c r="Q318" s="67" t="str">
        <f t="shared" si="18"/>
        <v/>
      </c>
      <c r="R318" s="81" t="str">
        <f t="shared" si="19"/>
        <v/>
      </c>
    </row>
    <row r="319" spans="1:18" x14ac:dyDescent="0.3">
      <c r="A319" s="69"/>
      <c r="B319" s="69"/>
      <c r="C319" s="68"/>
      <c r="D319" s="69"/>
      <c r="E319" s="69"/>
      <c r="F319" s="69"/>
      <c r="G319" s="69"/>
      <c r="H319" s="67" t="str">
        <f t="shared" si="16"/>
        <v/>
      </c>
      <c r="I319" s="67" t="str">
        <f t="shared" si="17"/>
        <v/>
      </c>
      <c r="J319" s="69"/>
      <c r="K319" s="69"/>
      <c r="L319" s="69"/>
      <c r="M319" s="68"/>
      <c r="N319" s="69"/>
      <c r="O319" s="69"/>
      <c r="P319" s="69"/>
      <c r="Q319" s="67" t="str">
        <f t="shared" si="18"/>
        <v/>
      </c>
      <c r="R319" s="81" t="str">
        <f t="shared" si="19"/>
        <v/>
      </c>
    </row>
    <row r="320" spans="1:18" x14ac:dyDescent="0.3">
      <c r="A320" s="69"/>
      <c r="B320" s="69"/>
      <c r="C320" s="68"/>
      <c r="D320" s="69"/>
      <c r="E320" s="69"/>
      <c r="F320" s="69"/>
      <c r="G320" s="69"/>
      <c r="H320" s="67" t="str">
        <f t="shared" si="16"/>
        <v/>
      </c>
      <c r="I320" s="67" t="str">
        <f t="shared" si="17"/>
        <v/>
      </c>
      <c r="J320" s="69"/>
      <c r="K320" s="69"/>
      <c r="L320" s="69"/>
      <c r="M320" s="68"/>
      <c r="N320" s="69"/>
      <c r="O320" s="69"/>
      <c r="P320" s="69"/>
      <c r="Q320" s="67" t="str">
        <f t="shared" si="18"/>
        <v/>
      </c>
      <c r="R320" s="81" t="str">
        <f t="shared" si="19"/>
        <v/>
      </c>
    </row>
    <row r="321" spans="1:18" x14ac:dyDescent="0.3">
      <c r="A321" s="69"/>
      <c r="B321" s="69"/>
      <c r="C321" s="68"/>
      <c r="D321" s="69"/>
      <c r="E321" s="69"/>
      <c r="F321" s="69"/>
      <c r="G321" s="69"/>
      <c r="H321" s="67" t="str">
        <f t="shared" si="16"/>
        <v/>
      </c>
      <c r="I321" s="67" t="str">
        <f t="shared" si="17"/>
        <v/>
      </c>
      <c r="J321" s="69"/>
      <c r="K321" s="69"/>
      <c r="L321" s="69"/>
      <c r="M321" s="68"/>
      <c r="N321" s="69"/>
      <c r="O321" s="69"/>
      <c r="P321" s="69"/>
      <c r="Q321" s="67" t="str">
        <f t="shared" si="18"/>
        <v/>
      </c>
      <c r="R321" s="81" t="str">
        <f t="shared" si="19"/>
        <v/>
      </c>
    </row>
    <row r="322" spans="1:18" x14ac:dyDescent="0.3">
      <c r="A322" s="69"/>
      <c r="B322" s="69"/>
      <c r="C322" s="68"/>
      <c r="D322" s="69"/>
      <c r="E322" s="69"/>
      <c r="F322" s="69"/>
      <c r="G322" s="69"/>
      <c r="H322" s="67" t="str">
        <f t="shared" si="16"/>
        <v/>
      </c>
      <c r="I322" s="67" t="str">
        <f t="shared" si="17"/>
        <v/>
      </c>
      <c r="J322" s="69"/>
      <c r="K322" s="69"/>
      <c r="L322" s="69"/>
      <c r="M322" s="68"/>
      <c r="N322" s="69"/>
      <c r="O322" s="69"/>
      <c r="P322" s="69"/>
      <c r="Q322" s="67" t="str">
        <f t="shared" si="18"/>
        <v/>
      </c>
      <c r="R322" s="81" t="str">
        <f t="shared" si="19"/>
        <v/>
      </c>
    </row>
    <row r="323" spans="1:18" x14ac:dyDescent="0.3">
      <c r="A323" s="69"/>
      <c r="B323" s="69"/>
      <c r="C323" s="68"/>
      <c r="D323" s="69"/>
      <c r="E323" s="69"/>
      <c r="F323" s="69"/>
      <c r="G323" s="69"/>
      <c r="H323" s="67" t="str">
        <f t="shared" si="16"/>
        <v/>
      </c>
      <c r="I323" s="67" t="str">
        <f t="shared" si="17"/>
        <v/>
      </c>
      <c r="J323" s="69"/>
      <c r="K323" s="69"/>
      <c r="L323" s="69"/>
      <c r="M323" s="68"/>
      <c r="N323" s="69"/>
      <c r="O323" s="69"/>
      <c r="P323" s="69"/>
      <c r="Q323" s="67" t="str">
        <f t="shared" si="18"/>
        <v/>
      </c>
      <c r="R323" s="81" t="str">
        <f t="shared" si="19"/>
        <v/>
      </c>
    </row>
    <row r="324" spans="1:18" x14ac:dyDescent="0.3">
      <c r="A324" s="69"/>
      <c r="B324" s="69"/>
      <c r="C324" s="68"/>
      <c r="D324" s="69"/>
      <c r="E324" s="69"/>
      <c r="F324" s="69"/>
      <c r="G324" s="69"/>
      <c r="H324" s="67" t="str">
        <f t="shared" si="16"/>
        <v/>
      </c>
      <c r="I324" s="67" t="str">
        <f t="shared" si="17"/>
        <v/>
      </c>
      <c r="J324" s="69"/>
      <c r="K324" s="69"/>
      <c r="L324" s="69"/>
      <c r="M324" s="68"/>
      <c r="N324" s="69"/>
      <c r="O324" s="69"/>
      <c r="P324" s="69"/>
      <c r="Q324" s="67" t="str">
        <f t="shared" si="18"/>
        <v/>
      </c>
      <c r="R324" s="81" t="str">
        <f t="shared" si="19"/>
        <v/>
      </c>
    </row>
    <row r="325" spans="1:18" x14ac:dyDescent="0.3">
      <c r="A325" s="69"/>
      <c r="B325" s="69"/>
      <c r="C325" s="68"/>
      <c r="D325" s="69"/>
      <c r="E325" s="69"/>
      <c r="F325" s="69"/>
      <c r="G325" s="69"/>
      <c r="H325" s="67" t="str">
        <f t="shared" ref="H325:H388" si="20">IF(OR(F325="",G325=""),"",F325*G325)</f>
        <v/>
      </c>
      <c r="I325" s="67" t="str">
        <f t="shared" ref="I325:I388" si="21">IF(H325="","",IF(H325&gt;=15,"High",IF(H325&gt;=8,"Medium","Low")))</f>
        <v/>
      </c>
      <c r="J325" s="69"/>
      <c r="K325" s="69"/>
      <c r="L325" s="69"/>
      <c r="M325" s="68"/>
      <c r="N325" s="69"/>
      <c r="O325" s="69"/>
      <c r="P325" s="69"/>
      <c r="Q325" s="67" t="str">
        <f t="shared" ref="Q325:Q388" si="22">IF(OR(O325="",P325=""),"",O325*P325)</f>
        <v/>
      </c>
      <c r="R325" s="81" t="str">
        <f t="shared" ref="R325:R388" si="23">IF(OR(H325="",Q325=""),"",1-Q325/H325)</f>
        <v/>
      </c>
    </row>
    <row r="326" spans="1:18" x14ac:dyDescent="0.3">
      <c r="A326" s="69"/>
      <c r="B326" s="69"/>
      <c r="C326" s="68"/>
      <c r="D326" s="69"/>
      <c r="E326" s="69"/>
      <c r="F326" s="69"/>
      <c r="G326" s="69"/>
      <c r="H326" s="67" t="str">
        <f t="shared" si="20"/>
        <v/>
      </c>
      <c r="I326" s="67" t="str">
        <f t="shared" si="21"/>
        <v/>
      </c>
      <c r="J326" s="69"/>
      <c r="K326" s="69"/>
      <c r="L326" s="69"/>
      <c r="M326" s="68"/>
      <c r="N326" s="69"/>
      <c r="O326" s="69"/>
      <c r="P326" s="69"/>
      <c r="Q326" s="67" t="str">
        <f t="shared" si="22"/>
        <v/>
      </c>
      <c r="R326" s="81" t="str">
        <f t="shared" si="23"/>
        <v/>
      </c>
    </row>
    <row r="327" spans="1:18" x14ac:dyDescent="0.3">
      <c r="A327" s="69"/>
      <c r="B327" s="69"/>
      <c r="C327" s="68"/>
      <c r="D327" s="69"/>
      <c r="E327" s="69"/>
      <c r="F327" s="69"/>
      <c r="G327" s="69"/>
      <c r="H327" s="67" t="str">
        <f t="shared" si="20"/>
        <v/>
      </c>
      <c r="I327" s="67" t="str">
        <f t="shared" si="21"/>
        <v/>
      </c>
      <c r="J327" s="69"/>
      <c r="K327" s="69"/>
      <c r="L327" s="69"/>
      <c r="M327" s="68"/>
      <c r="N327" s="69"/>
      <c r="O327" s="69"/>
      <c r="P327" s="69"/>
      <c r="Q327" s="67" t="str">
        <f t="shared" si="22"/>
        <v/>
      </c>
      <c r="R327" s="81" t="str">
        <f t="shared" si="23"/>
        <v/>
      </c>
    </row>
    <row r="328" spans="1:18" x14ac:dyDescent="0.3">
      <c r="A328" s="69"/>
      <c r="B328" s="69"/>
      <c r="C328" s="68"/>
      <c r="D328" s="69"/>
      <c r="E328" s="69"/>
      <c r="F328" s="69"/>
      <c r="G328" s="69"/>
      <c r="H328" s="67" t="str">
        <f t="shared" si="20"/>
        <v/>
      </c>
      <c r="I328" s="67" t="str">
        <f t="shared" si="21"/>
        <v/>
      </c>
      <c r="J328" s="69"/>
      <c r="K328" s="69"/>
      <c r="L328" s="69"/>
      <c r="M328" s="68"/>
      <c r="N328" s="69"/>
      <c r="O328" s="69"/>
      <c r="P328" s="69"/>
      <c r="Q328" s="67" t="str">
        <f t="shared" si="22"/>
        <v/>
      </c>
      <c r="R328" s="81" t="str">
        <f t="shared" si="23"/>
        <v/>
      </c>
    </row>
    <row r="329" spans="1:18" x14ac:dyDescent="0.3">
      <c r="A329" s="69"/>
      <c r="B329" s="69"/>
      <c r="C329" s="68"/>
      <c r="D329" s="69"/>
      <c r="E329" s="69"/>
      <c r="F329" s="69"/>
      <c r="G329" s="69"/>
      <c r="H329" s="67" t="str">
        <f t="shared" si="20"/>
        <v/>
      </c>
      <c r="I329" s="67" t="str">
        <f t="shared" si="21"/>
        <v/>
      </c>
      <c r="J329" s="69"/>
      <c r="K329" s="69"/>
      <c r="L329" s="69"/>
      <c r="M329" s="68"/>
      <c r="N329" s="69"/>
      <c r="O329" s="69"/>
      <c r="P329" s="69"/>
      <c r="Q329" s="67" t="str">
        <f t="shared" si="22"/>
        <v/>
      </c>
      <c r="R329" s="81" t="str">
        <f t="shared" si="23"/>
        <v/>
      </c>
    </row>
    <row r="330" spans="1:18" x14ac:dyDescent="0.3">
      <c r="A330" s="69"/>
      <c r="B330" s="69"/>
      <c r="C330" s="68"/>
      <c r="D330" s="69"/>
      <c r="E330" s="69"/>
      <c r="F330" s="69"/>
      <c r="G330" s="69"/>
      <c r="H330" s="67" t="str">
        <f t="shared" si="20"/>
        <v/>
      </c>
      <c r="I330" s="67" t="str">
        <f t="shared" si="21"/>
        <v/>
      </c>
      <c r="J330" s="69"/>
      <c r="K330" s="69"/>
      <c r="L330" s="69"/>
      <c r="M330" s="68"/>
      <c r="N330" s="69"/>
      <c r="O330" s="69"/>
      <c r="P330" s="69"/>
      <c r="Q330" s="67" t="str">
        <f t="shared" si="22"/>
        <v/>
      </c>
      <c r="R330" s="81" t="str">
        <f t="shared" si="23"/>
        <v/>
      </c>
    </row>
    <row r="331" spans="1:18" x14ac:dyDescent="0.3">
      <c r="A331" s="69"/>
      <c r="B331" s="69"/>
      <c r="C331" s="68"/>
      <c r="D331" s="69"/>
      <c r="E331" s="69"/>
      <c r="F331" s="69"/>
      <c r="G331" s="69"/>
      <c r="H331" s="67" t="str">
        <f t="shared" si="20"/>
        <v/>
      </c>
      <c r="I331" s="67" t="str">
        <f t="shared" si="21"/>
        <v/>
      </c>
      <c r="J331" s="69"/>
      <c r="K331" s="69"/>
      <c r="L331" s="69"/>
      <c r="M331" s="68"/>
      <c r="N331" s="69"/>
      <c r="O331" s="69"/>
      <c r="P331" s="69"/>
      <c r="Q331" s="67" t="str">
        <f t="shared" si="22"/>
        <v/>
      </c>
      <c r="R331" s="81" t="str">
        <f t="shared" si="23"/>
        <v/>
      </c>
    </row>
    <row r="332" spans="1:18" x14ac:dyDescent="0.3">
      <c r="A332" s="69"/>
      <c r="B332" s="69"/>
      <c r="C332" s="68"/>
      <c r="D332" s="69"/>
      <c r="E332" s="69"/>
      <c r="F332" s="69"/>
      <c r="G332" s="69"/>
      <c r="H332" s="67" t="str">
        <f t="shared" si="20"/>
        <v/>
      </c>
      <c r="I332" s="67" t="str">
        <f t="shared" si="21"/>
        <v/>
      </c>
      <c r="J332" s="69"/>
      <c r="K332" s="69"/>
      <c r="L332" s="69"/>
      <c r="M332" s="68"/>
      <c r="N332" s="69"/>
      <c r="O332" s="69"/>
      <c r="P332" s="69"/>
      <c r="Q332" s="67" t="str">
        <f t="shared" si="22"/>
        <v/>
      </c>
      <c r="R332" s="81" t="str">
        <f t="shared" si="23"/>
        <v/>
      </c>
    </row>
    <row r="333" spans="1:18" x14ac:dyDescent="0.3">
      <c r="A333" s="69"/>
      <c r="B333" s="69"/>
      <c r="C333" s="68"/>
      <c r="D333" s="69"/>
      <c r="E333" s="69"/>
      <c r="F333" s="69"/>
      <c r="G333" s="69"/>
      <c r="H333" s="67" t="str">
        <f t="shared" si="20"/>
        <v/>
      </c>
      <c r="I333" s="67" t="str">
        <f t="shared" si="21"/>
        <v/>
      </c>
      <c r="J333" s="69"/>
      <c r="K333" s="69"/>
      <c r="L333" s="69"/>
      <c r="M333" s="68"/>
      <c r="N333" s="69"/>
      <c r="O333" s="69"/>
      <c r="P333" s="69"/>
      <c r="Q333" s="67" t="str">
        <f t="shared" si="22"/>
        <v/>
      </c>
      <c r="R333" s="81" t="str">
        <f t="shared" si="23"/>
        <v/>
      </c>
    </row>
    <row r="334" spans="1:18" x14ac:dyDescent="0.3">
      <c r="A334" s="69"/>
      <c r="B334" s="69"/>
      <c r="C334" s="68"/>
      <c r="D334" s="69"/>
      <c r="E334" s="69"/>
      <c r="F334" s="69"/>
      <c r="G334" s="69"/>
      <c r="H334" s="67" t="str">
        <f t="shared" si="20"/>
        <v/>
      </c>
      <c r="I334" s="67" t="str">
        <f t="shared" si="21"/>
        <v/>
      </c>
      <c r="J334" s="69"/>
      <c r="K334" s="69"/>
      <c r="L334" s="69"/>
      <c r="M334" s="68"/>
      <c r="N334" s="69"/>
      <c r="O334" s="69"/>
      <c r="P334" s="69"/>
      <c r="Q334" s="67" t="str">
        <f t="shared" si="22"/>
        <v/>
      </c>
      <c r="R334" s="81" t="str">
        <f t="shared" si="23"/>
        <v/>
      </c>
    </row>
    <row r="335" spans="1:18" x14ac:dyDescent="0.3">
      <c r="A335" s="69"/>
      <c r="B335" s="69"/>
      <c r="C335" s="68"/>
      <c r="D335" s="69"/>
      <c r="E335" s="69"/>
      <c r="F335" s="69"/>
      <c r="G335" s="69"/>
      <c r="H335" s="67" t="str">
        <f t="shared" si="20"/>
        <v/>
      </c>
      <c r="I335" s="67" t="str">
        <f t="shared" si="21"/>
        <v/>
      </c>
      <c r="J335" s="69"/>
      <c r="K335" s="69"/>
      <c r="L335" s="69"/>
      <c r="M335" s="68"/>
      <c r="N335" s="69"/>
      <c r="O335" s="69"/>
      <c r="P335" s="69"/>
      <c r="Q335" s="67" t="str">
        <f t="shared" si="22"/>
        <v/>
      </c>
      <c r="R335" s="81" t="str">
        <f t="shared" si="23"/>
        <v/>
      </c>
    </row>
    <row r="336" spans="1:18" x14ac:dyDescent="0.3">
      <c r="A336" s="69"/>
      <c r="B336" s="69"/>
      <c r="C336" s="68"/>
      <c r="D336" s="69"/>
      <c r="E336" s="69"/>
      <c r="F336" s="69"/>
      <c r="G336" s="69"/>
      <c r="H336" s="67" t="str">
        <f t="shared" si="20"/>
        <v/>
      </c>
      <c r="I336" s="67" t="str">
        <f t="shared" si="21"/>
        <v/>
      </c>
      <c r="J336" s="69"/>
      <c r="K336" s="69"/>
      <c r="L336" s="69"/>
      <c r="M336" s="68"/>
      <c r="N336" s="69"/>
      <c r="O336" s="69"/>
      <c r="P336" s="69"/>
      <c r="Q336" s="67" t="str">
        <f t="shared" si="22"/>
        <v/>
      </c>
      <c r="R336" s="81" t="str">
        <f t="shared" si="23"/>
        <v/>
      </c>
    </row>
    <row r="337" spans="1:18" x14ac:dyDescent="0.3">
      <c r="A337" s="69"/>
      <c r="B337" s="69"/>
      <c r="C337" s="68"/>
      <c r="D337" s="69"/>
      <c r="E337" s="69"/>
      <c r="F337" s="69"/>
      <c r="G337" s="69"/>
      <c r="H337" s="67" t="str">
        <f t="shared" si="20"/>
        <v/>
      </c>
      <c r="I337" s="67" t="str">
        <f t="shared" si="21"/>
        <v/>
      </c>
      <c r="J337" s="69"/>
      <c r="K337" s="69"/>
      <c r="L337" s="69"/>
      <c r="M337" s="68"/>
      <c r="N337" s="69"/>
      <c r="O337" s="69"/>
      <c r="P337" s="69"/>
      <c r="Q337" s="67" t="str">
        <f t="shared" si="22"/>
        <v/>
      </c>
      <c r="R337" s="81" t="str">
        <f t="shared" si="23"/>
        <v/>
      </c>
    </row>
    <row r="338" spans="1:18" x14ac:dyDescent="0.3">
      <c r="A338" s="69"/>
      <c r="B338" s="69"/>
      <c r="C338" s="68"/>
      <c r="D338" s="69"/>
      <c r="E338" s="69"/>
      <c r="F338" s="69"/>
      <c r="G338" s="69"/>
      <c r="H338" s="67" t="str">
        <f t="shared" si="20"/>
        <v/>
      </c>
      <c r="I338" s="67" t="str">
        <f t="shared" si="21"/>
        <v/>
      </c>
      <c r="J338" s="69"/>
      <c r="K338" s="69"/>
      <c r="L338" s="69"/>
      <c r="M338" s="68"/>
      <c r="N338" s="69"/>
      <c r="O338" s="69"/>
      <c r="P338" s="69"/>
      <c r="Q338" s="67" t="str">
        <f t="shared" si="22"/>
        <v/>
      </c>
      <c r="R338" s="81" t="str">
        <f t="shared" si="23"/>
        <v/>
      </c>
    </row>
    <row r="339" spans="1:18" x14ac:dyDescent="0.3">
      <c r="A339" s="69"/>
      <c r="B339" s="69"/>
      <c r="C339" s="68"/>
      <c r="D339" s="69"/>
      <c r="E339" s="69"/>
      <c r="F339" s="69"/>
      <c r="G339" s="69"/>
      <c r="H339" s="67" t="str">
        <f t="shared" si="20"/>
        <v/>
      </c>
      <c r="I339" s="67" t="str">
        <f t="shared" si="21"/>
        <v/>
      </c>
      <c r="J339" s="69"/>
      <c r="K339" s="69"/>
      <c r="L339" s="69"/>
      <c r="M339" s="68"/>
      <c r="N339" s="69"/>
      <c r="O339" s="69"/>
      <c r="P339" s="69"/>
      <c r="Q339" s="67" t="str">
        <f t="shared" si="22"/>
        <v/>
      </c>
      <c r="R339" s="81" t="str">
        <f t="shared" si="23"/>
        <v/>
      </c>
    </row>
    <row r="340" spans="1:18" x14ac:dyDescent="0.3">
      <c r="A340" s="69"/>
      <c r="B340" s="69"/>
      <c r="C340" s="68"/>
      <c r="D340" s="69"/>
      <c r="E340" s="69"/>
      <c r="F340" s="69"/>
      <c r="G340" s="69"/>
      <c r="H340" s="67" t="str">
        <f t="shared" si="20"/>
        <v/>
      </c>
      <c r="I340" s="67" t="str">
        <f t="shared" si="21"/>
        <v/>
      </c>
      <c r="J340" s="69"/>
      <c r="K340" s="69"/>
      <c r="L340" s="69"/>
      <c r="M340" s="68"/>
      <c r="N340" s="69"/>
      <c r="O340" s="69"/>
      <c r="P340" s="69"/>
      <c r="Q340" s="67" t="str">
        <f t="shared" si="22"/>
        <v/>
      </c>
      <c r="R340" s="81" t="str">
        <f t="shared" si="23"/>
        <v/>
      </c>
    </row>
    <row r="341" spans="1:18" x14ac:dyDescent="0.3">
      <c r="A341" s="69"/>
      <c r="B341" s="69"/>
      <c r="C341" s="68"/>
      <c r="D341" s="69"/>
      <c r="E341" s="69"/>
      <c r="F341" s="69"/>
      <c r="G341" s="69"/>
      <c r="H341" s="67" t="str">
        <f t="shared" si="20"/>
        <v/>
      </c>
      <c r="I341" s="67" t="str">
        <f t="shared" si="21"/>
        <v/>
      </c>
      <c r="J341" s="69"/>
      <c r="K341" s="69"/>
      <c r="L341" s="69"/>
      <c r="M341" s="68"/>
      <c r="N341" s="69"/>
      <c r="O341" s="69"/>
      <c r="P341" s="69"/>
      <c r="Q341" s="67" t="str">
        <f t="shared" si="22"/>
        <v/>
      </c>
      <c r="R341" s="81" t="str">
        <f t="shared" si="23"/>
        <v/>
      </c>
    </row>
    <row r="342" spans="1:18" x14ac:dyDescent="0.3">
      <c r="A342" s="69"/>
      <c r="B342" s="69"/>
      <c r="C342" s="68"/>
      <c r="D342" s="69"/>
      <c r="E342" s="69"/>
      <c r="F342" s="69"/>
      <c r="G342" s="69"/>
      <c r="H342" s="67" t="str">
        <f t="shared" si="20"/>
        <v/>
      </c>
      <c r="I342" s="67" t="str">
        <f t="shared" si="21"/>
        <v/>
      </c>
      <c r="J342" s="69"/>
      <c r="K342" s="69"/>
      <c r="L342" s="69"/>
      <c r="M342" s="68"/>
      <c r="N342" s="69"/>
      <c r="O342" s="69"/>
      <c r="P342" s="69"/>
      <c r="Q342" s="67" t="str">
        <f t="shared" si="22"/>
        <v/>
      </c>
      <c r="R342" s="81" t="str">
        <f t="shared" si="23"/>
        <v/>
      </c>
    </row>
    <row r="343" spans="1:18" x14ac:dyDescent="0.3">
      <c r="A343" s="69"/>
      <c r="B343" s="69"/>
      <c r="C343" s="68"/>
      <c r="D343" s="69"/>
      <c r="E343" s="69"/>
      <c r="F343" s="69"/>
      <c r="G343" s="69"/>
      <c r="H343" s="67" t="str">
        <f t="shared" si="20"/>
        <v/>
      </c>
      <c r="I343" s="67" t="str">
        <f t="shared" si="21"/>
        <v/>
      </c>
      <c r="J343" s="69"/>
      <c r="K343" s="69"/>
      <c r="L343" s="69"/>
      <c r="M343" s="68"/>
      <c r="N343" s="69"/>
      <c r="O343" s="69"/>
      <c r="P343" s="69"/>
      <c r="Q343" s="67" t="str">
        <f t="shared" si="22"/>
        <v/>
      </c>
      <c r="R343" s="81" t="str">
        <f t="shared" si="23"/>
        <v/>
      </c>
    </row>
    <row r="344" spans="1:18" x14ac:dyDescent="0.3">
      <c r="A344" s="69"/>
      <c r="B344" s="69"/>
      <c r="C344" s="68"/>
      <c r="D344" s="69"/>
      <c r="E344" s="69"/>
      <c r="F344" s="69"/>
      <c r="G344" s="69"/>
      <c r="H344" s="67" t="str">
        <f t="shared" si="20"/>
        <v/>
      </c>
      <c r="I344" s="67" t="str">
        <f t="shared" si="21"/>
        <v/>
      </c>
      <c r="J344" s="69"/>
      <c r="K344" s="69"/>
      <c r="L344" s="69"/>
      <c r="M344" s="68"/>
      <c r="N344" s="69"/>
      <c r="O344" s="69"/>
      <c r="P344" s="69"/>
      <c r="Q344" s="67" t="str">
        <f t="shared" si="22"/>
        <v/>
      </c>
      <c r="R344" s="81" t="str">
        <f t="shared" si="23"/>
        <v/>
      </c>
    </row>
    <row r="345" spans="1:18" x14ac:dyDescent="0.3">
      <c r="A345" s="69"/>
      <c r="B345" s="69"/>
      <c r="C345" s="68"/>
      <c r="D345" s="69"/>
      <c r="E345" s="69"/>
      <c r="F345" s="69"/>
      <c r="G345" s="69"/>
      <c r="H345" s="67" t="str">
        <f t="shared" si="20"/>
        <v/>
      </c>
      <c r="I345" s="67" t="str">
        <f t="shared" si="21"/>
        <v/>
      </c>
      <c r="J345" s="69"/>
      <c r="K345" s="69"/>
      <c r="L345" s="69"/>
      <c r="M345" s="68"/>
      <c r="N345" s="69"/>
      <c r="O345" s="69"/>
      <c r="P345" s="69"/>
      <c r="Q345" s="67" t="str">
        <f t="shared" si="22"/>
        <v/>
      </c>
      <c r="R345" s="81" t="str">
        <f t="shared" si="23"/>
        <v/>
      </c>
    </row>
    <row r="346" spans="1:18" x14ac:dyDescent="0.3">
      <c r="A346" s="69"/>
      <c r="B346" s="69"/>
      <c r="C346" s="68"/>
      <c r="D346" s="69"/>
      <c r="E346" s="69"/>
      <c r="F346" s="69"/>
      <c r="G346" s="69"/>
      <c r="H346" s="67" t="str">
        <f t="shared" si="20"/>
        <v/>
      </c>
      <c r="I346" s="67" t="str">
        <f t="shared" si="21"/>
        <v/>
      </c>
      <c r="J346" s="69"/>
      <c r="K346" s="69"/>
      <c r="L346" s="69"/>
      <c r="M346" s="68"/>
      <c r="N346" s="69"/>
      <c r="O346" s="69"/>
      <c r="P346" s="69"/>
      <c r="Q346" s="67" t="str">
        <f t="shared" si="22"/>
        <v/>
      </c>
      <c r="R346" s="81" t="str">
        <f t="shared" si="23"/>
        <v/>
      </c>
    </row>
    <row r="347" spans="1:18" x14ac:dyDescent="0.3">
      <c r="A347" s="69"/>
      <c r="B347" s="69"/>
      <c r="C347" s="68"/>
      <c r="D347" s="69"/>
      <c r="E347" s="69"/>
      <c r="F347" s="69"/>
      <c r="G347" s="69"/>
      <c r="H347" s="67" t="str">
        <f t="shared" si="20"/>
        <v/>
      </c>
      <c r="I347" s="67" t="str">
        <f t="shared" si="21"/>
        <v/>
      </c>
      <c r="J347" s="69"/>
      <c r="K347" s="69"/>
      <c r="L347" s="69"/>
      <c r="M347" s="68"/>
      <c r="N347" s="69"/>
      <c r="O347" s="69"/>
      <c r="P347" s="69"/>
      <c r="Q347" s="67" t="str">
        <f t="shared" si="22"/>
        <v/>
      </c>
      <c r="R347" s="81" t="str">
        <f t="shared" si="23"/>
        <v/>
      </c>
    </row>
    <row r="348" spans="1:18" x14ac:dyDescent="0.3">
      <c r="A348" s="69"/>
      <c r="B348" s="69"/>
      <c r="C348" s="68"/>
      <c r="D348" s="69"/>
      <c r="E348" s="69"/>
      <c r="F348" s="69"/>
      <c r="G348" s="69"/>
      <c r="H348" s="67" t="str">
        <f t="shared" si="20"/>
        <v/>
      </c>
      <c r="I348" s="67" t="str">
        <f t="shared" si="21"/>
        <v/>
      </c>
      <c r="J348" s="69"/>
      <c r="K348" s="69"/>
      <c r="L348" s="69"/>
      <c r="M348" s="68"/>
      <c r="N348" s="69"/>
      <c r="O348" s="69"/>
      <c r="P348" s="69"/>
      <c r="Q348" s="67" t="str">
        <f t="shared" si="22"/>
        <v/>
      </c>
      <c r="R348" s="81" t="str">
        <f t="shared" si="23"/>
        <v/>
      </c>
    </row>
    <row r="349" spans="1:18" x14ac:dyDescent="0.3">
      <c r="A349" s="69"/>
      <c r="B349" s="69"/>
      <c r="C349" s="68"/>
      <c r="D349" s="69"/>
      <c r="E349" s="69"/>
      <c r="F349" s="69"/>
      <c r="G349" s="69"/>
      <c r="H349" s="67" t="str">
        <f t="shared" si="20"/>
        <v/>
      </c>
      <c r="I349" s="67" t="str">
        <f t="shared" si="21"/>
        <v/>
      </c>
      <c r="J349" s="69"/>
      <c r="K349" s="69"/>
      <c r="L349" s="69"/>
      <c r="M349" s="68"/>
      <c r="N349" s="69"/>
      <c r="O349" s="69"/>
      <c r="P349" s="69"/>
      <c r="Q349" s="67" t="str">
        <f t="shared" si="22"/>
        <v/>
      </c>
      <c r="R349" s="81" t="str">
        <f t="shared" si="23"/>
        <v/>
      </c>
    </row>
    <row r="350" spans="1:18" x14ac:dyDescent="0.3">
      <c r="A350" s="69"/>
      <c r="B350" s="69"/>
      <c r="C350" s="68"/>
      <c r="D350" s="69"/>
      <c r="E350" s="69"/>
      <c r="F350" s="69"/>
      <c r="G350" s="69"/>
      <c r="H350" s="67" t="str">
        <f t="shared" si="20"/>
        <v/>
      </c>
      <c r="I350" s="67" t="str">
        <f t="shared" si="21"/>
        <v/>
      </c>
      <c r="J350" s="69"/>
      <c r="K350" s="69"/>
      <c r="L350" s="69"/>
      <c r="M350" s="68"/>
      <c r="N350" s="69"/>
      <c r="O350" s="69"/>
      <c r="P350" s="69"/>
      <c r="Q350" s="67" t="str">
        <f t="shared" si="22"/>
        <v/>
      </c>
      <c r="R350" s="81" t="str">
        <f t="shared" si="23"/>
        <v/>
      </c>
    </row>
    <row r="351" spans="1:18" x14ac:dyDescent="0.3">
      <c r="A351" s="69"/>
      <c r="B351" s="69"/>
      <c r="C351" s="68"/>
      <c r="D351" s="69"/>
      <c r="E351" s="69"/>
      <c r="F351" s="69"/>
      <c r="G351" s="69"/>
      <c r="H351" s="67" t="str">
        <f t="shared" si="20"/>
        <v/>
      </c>
      <c r="I351" s="67" t="str">
        <f t="shared" si="21"/>
        <v/>
      </c>
      <c r="J351" s="69"/>
      <c r="K351" s="69"/>
      <c r="L351" s="69"/>
      <c r="M351" s="68"/>
      <c r="N351" s="69"/>
      <c r="O351" s="69"/>
      <c r="P351" s="69"/>
      <c r="Q351" s="67" t="str">
        <f t="shared" si="22"/>
        <v/>
      </c>
      <c r="R351" s="81" t="str">
        <f t="shared" si="23"/>
        <v/>
      </c>
    </row>
    <row r="352" spans="1:18" x14ac:dyDescent="0.3">
      <c r="A352" s="69"/>
      <c r="B352" s="69"/>
      <c r="C352" s="68"/>
      <c r="D352" s="69"/>
      <c r="E352" s="69"/>
      <c r="F352" s="69"/>
      <c r="G352" s="69"/>
      <c r="H352" s="67" t="str">
        <f t="shared" si="20"/>
        <v/>
      </c>
      <c r="I352" s="67" t="str">
        <f t="shared" si="21"/>
        <v/>
      </c>
      <c r="J352" s="69"/>
      <c r="K352" s="69"/>
      <c r="L352" s="69"/>
      <c r="M352" s="68"/>
      <c r="N352" s="69"/>
      <c r="O352" s="69"/>
      <c r="P352" s="69"/>
      <c r="Q352" s="67" t="str">
        <f t="shared" si="22"/>
        <v/>
      </c>
      <c r="R352" s="81" t="str">
        <f t="shared" si="23"/>
        <v/>
      </c>
    </row>
    <row r="353" spans="1:18" x14ac:dyDescent="0.3">
      <c r="A353" s="69"/>
      <c r="B353" s="69"/>
      <c r="C353" s="68"/>
      <c r="D353" s="69"/>
      <c r="E353" s="69"/>
      <c r="F353" s="69"/>
      <c r="G353" s="69"/>
      <c r="H353" s="67" t="str">
        <f t="shared" si="20"/>
        <v/>
      </c>
      <c r="I353" s="67" t="str">
        <f t="shared" si="21"/>
        <v/>
      </c>
      <c r="J353" s="69"/>
      <c r="K353" s="69"/>
      <c r="L353" s="69"/>
      <c r="M353" s="68"/>
      <c r="N353" s="69"/>
      <c r="O353" s="69"/>
      <c r="P353" s="69"/>
      <c r="Q353" s="67" t="str">
        <f t="shared" si="22"/>
        <v/>
      </c>
      <c r="R353" s="81" t="str">
        <f t="shared" si="23"/>
        <v/>
      </c>
    </row>
    <row r="354" spans="1:18" x14ac:dyDescent="0.3">
      <c r="A354" s="69"/>
      <c r="B354" s="69"/>
      <c r="C354" s="68"/>
      <c r="D354" s="69"/>
      <c r="E354" s="69"/>
      <c r="F354" s="69"/>
      <c r="G354" s="69"/>
      <c r="H354" s="67" t="str">
        <f t="shared" si="20"/>
        <v/>
      </c>
      <c r="I354" s="67" t="str">
        <f t="shared" si="21"/>
        <v/>
      </c>
      <c r="J354" s="69"/>
      <c r="K354" s="69"/>
      <c r="L354" s="69"/>
      <c r="M354" s="68"/>
      <c r="N354" s="69"/>
      <c r="O354" s="69"/>
      <c r="P354" s="69"/>
      <c r="Q354" s="67" t="str">
        <f t="shared" si="22"/>
        <v/>
      </c>
      <c r="R354" s="81" t="str">
        <f t="shared" si="23"/>
        <v/>
      </c>
    </row>
    <row r="355" spans="1:18" x14ac:dyDescent="0.3">
      <c r="A355" s="69"/>
      <c r="B355" s="69"/>
      <c r="C355" s="68"/>
      <c r="D355" s="69"/>
      <c r="E355" s="69"/>
      <c r="F355" s="69"/>
      <c r="G355" s="69"/>
      <c r="H355" s="67" t="str">
        <f t="shared" si="20"/>
        <v/>
      </c>
      <c r="I355" s="67" t="str">
        <f t="shared" si="21"/>
        <v/>
      </c>
      <c r="J355" s="69"/>
      <c r="K355" s="69"/>
      <c r="L355" s="69"/>
      <c r="M355" s="68"/>
      <c r="N355" s="69"/>
      <c r="O355" s="69"/>
      <c r="P355" s="69"/>
      <c r="Q355" s="67" t="str">
        <f t="shared" si="22"/>
        <v/>
      </c>
      <c r="R355" s="81" t="str">
        <f t="shared" si="23"/>
        <v/>
      </c>
    </row>
    <row r="356" spans="1:18" x14ac:dyDescent="0.3">
      <c r="A356" s="69"/>
      <c r="B356" s="69"/>
      <c r="C356" s="68"/>
      <c r="D356" s="69"/>
      <c r="E356" s="69"/>
      <c r="F356" s="69"/>
      <c r="G356" s="69"/>
      <c r="H356" s="67" t="str">
        <f t="shared" si="20"/>
        <v/>
      </c>
      <c r="I356" s="67" t="str">
        <f t="shared" si="21"/>
        <v/>
      </c>
      <c r="J356" s="69"/>
      <c r="K356" s="69"/>
      <c r="L356" s="69"/>
      <c r="M356" s="68"/>
      <c r="N356" s="69"/>
      <c r="O356" s="69"/>
      <c r="P356" s="69"/>
      <c r="Q356" s="67" t="str">
        <f t="shared" si="22"/>
        <v/>
      </c>
      <c r="R356" s="81" t="str">
        <f t="shared" si="23"/>
        <v/>
      </c>
    </row>
    <row r="357" spans="1:18" x14ac:dyDescent="0.3">
      <c r="A357" s="69"/>
      <c r="B357" s="69"/>
      <c r="C357" s="68"/>
      <c r="D357" s="69"/>
      <c r="E357" s="69"/>
      <c r="F357" s="69"/>
      <c r="G357" s="69"/>
      <c r="H357" s="67" t="str">
        <f t="shared" si="20"/>
        <v/>
      </c>
      <c r="I357" s="67" t="str">
        <f t="shared" si="21"/>
        <v/>
      </c>
      <c r="J357" s="69"/>
      <c r="K357" s="69"/>
      <c r="L357" s="69"/>
      <c r="M357" s="68"/>
      <c r="N357" s="69"/>
      <c r="O357" s="69"/>
      <c r="P357" s="69"/>
      <c r="Q357" s="67" t="str">
        <f t="shared" si="22"/>
        <v/>
      </c>
      <c r="R357" s="81" t="str">
        <f t="shared" si="23"/>
        <v/>
      </c>
    </row>
    <row r="358" spans="1:18" x14ac:dyDescent="0.3">
      <c r="A358" s="69"/>
      <c r="B358" s="69"/>
      <c r="C358" s="68"/>
      <c r="D358" s="69"/>
      <c r="E358" s="69"/>
      <c r="F358" s="69"/>
      <c r="G358" s="69"/>
      <c r="H358" s="67" t="str">
        <f t="shared" si="20"/>
        <v/>
      </c>
      <c r="I358" s="67" t="str">
        <f t="shared" si="21"/>
        <v/>
      </c>
      <c r="J358" s="69"/>
      <c r="K358" s="69"/>
      <c r="L358" s="69"/>
      <c r="M358" s="68"/>
      <c r="N358" s="69"/>
      <c r="O358" s="69"/>
      <c r="P358" s="69"/>
      <c r="Q358" s="67" t="str">
        <f t="shared" si="22"/>
        <v/>
      </c>
      <c r="R358" s="81" t="str">
        <f t="shared" si="23"/>
        <v/>
      </c>
    </row>
    <row r="359" spans="1:18" x14ac:dyDescent="0.3">
      <c r="A359" s="69"/>
      <c r="B359" s="69"/>
      <c r="C359" s="68"/>
      <c r="D359" s="69"/>
      <c r="E359" s="69"/>
      <c r="F359" s="69"/>
      <c r="G359" s="69"/>
      <c r="H359" s="67" t="str">
        <f t="shared" si="20"/>
        <v/>
      </c>
      <c r="I359" s="67" t="str">
        <f t="shared" si="21"/>
        <v/>
      </c>
      <c r="J359" s="69"/>
      <c r="K359" s="69"/>
      <c r="L359" s="69"/>
      <c r="M359" s="68"/>
      <c r="N359" s="69"/>
      <c r="O359" s="69"/>
      <c r="P359" s="69"/>
      <c r="Q359" s="67" t="str">
        <f t="shared" si="22"/>
        <v/>
      </c>
      <c r="R359" s="81" t="str">
        <f t="shared" si="23"/>
        <v/>
      </c>
    </row>
    <row r="360" spans="1:18" x14ac:dyDescent="0.3">
      <c r="A360" s="69"/>
      <c r="B360" s="69"/>
      <c r="C360" s="68"/>
      <c r="D360" s="69"/>
      <c r="E360" s="69"/>
      <c r="F360" s="69"/>
      <c r="G360" s="69"/>
      <c r="H360" s="67" t="str">
        <f t="shared" si="20"/>
        <v/>
      </c>
      <c r="I360" s="67" t="str">
        <f t="shared" si="21"/>
        <v/>
      </c>
      <c r="J360" s="69"/>
      <c r="K360" s="69"/>
      <c r="L360" s="69"/>
      <c r="M360" s="68"/>
      <c r="N360" s="69"/>
      <c r="O360" s="69"/>
      <c r="P360" s="69"/>
      <c r="Q360" s="67" t="str">
        <f t="shared" si="22"/>
        <v/>
      </c>
      <c r="R360" s="81" t="str">
        <f t="shared" si="23"/>
        <v/>
      </c>
    </row>
    <row r="361" spans="1:18" x14ac:dyDescent="0.3">
      <c r="A361" s="69"/>
      <c r="B361" s="69"/>
      <c r="C361" s="68"/>
      <c r="D361" s="69"/>
      <c r="E361" s="69"/>
      <c r="F361" s="69"/>
      <c r="G361" s="69"/>
      <c r="H361" s="67" t="str">
        <f t="shared" si="20"/>
        <v/>
      </c>
      <c r="I361" s="67" t="str">
        <f t="shared" si="21"/>
        <v/>
      </c>
      <c r="J361" s="69"/>
      <c r="K361" s="69"/>
      <c r="L361" s="69"/>
      <c r="M361" s="68"/>
      <c r="N361" s="69"/>
      <c r="O361" s="69"/>
      <c r="P361" s="69"/>
      <c r="Q361" s="67" t="str">
        <f t="shared" si="22"/>
        <v/>
      </c>
      <c r="R361" s="81" t="str">
        <f t="shared" si="23"/>
        <v/>
      </c>
    </row>
    <row r="362" spans="1:18" x14ac:dyDescent="0.3">
      <c r="A362" s="69"/>
      <c r="B362" s="69"/>
      <c r="C362" s="68"/>
      <c r="D362" s="69"/>
      <c r="E362" s="69"/>
      <c r="F362" s="69"/>
      <c r="G362" s="69"/>
      <c r="H362" s="67" t="str">
        <f t="shared" si="20"/>
        <v/>
      </c>
      <c r="I362" s="67" t="str">
        <f t="shared" si="21"/>
        <v/>
      </c>
      <c r="J362" s="69"/>
      <c r="K362" s="69"/>
      <c r="L362" s="69"/>
      <c r="M362" s="68"/>
      <c r="N362" s="69"/>
      <c r="O362" s="69"/>
      <c r="P362" s="69"/>
      <c r="Q362" s="67" t="str">
        <f t="shared" si="22"/>
        <v/>
      </c>
      <c r="R362" s="81" t="str">
        <f t="shared" si="23"/>
        <v/>
      </c>
    </row>
    <row r="363" spans="1:18" x14ac:dyDescent="0.3">
      <c r="A363" s="69"/>
      <c r="B363" s="69"/>
      <c r="C363" s="68"/>
      <c r="D363" s="69"/>
      <c r="E363" s="69"/>
      <c r="F363" s="69"/>
      <c r="G363" s="69"/>
      <c r="H363" s="67" t="str">
        <f t="shared" si="20"/>
        <v/>
      </c>
      <c r="I363" s="67" t="str">
        <f t="shared" si="21"/>
        <v/>
      </c>
      <c r="J363" s="69"/>
      <c r="K363" s="69"/>
      <c r="L363" s="69"/>
      <c r="M363" s="68"/>
      <c r="N363" s="69"/>
      <c r="O363" s="69"/>
      <c r="P363" s="69"/>
      <c r="Q363" s="67" t="str">
        <f t="shared" si="22"/>
        <v/>
      </c>
      <c r="R363" s="81" t="str">
        <f t="shared" si="23"/>
        <v/>
      </c>
    </row>
    <row r="364" spans="1:18" x14ac:dyDescent="0.3">
      <c r="A364" s="69"/>
      <c r="B364" s="69"/>
      <c r="C364" s="68"/>
      <c r="D364" s="69"/>
      <c r="E364" s="69"/>
      <c r="F364" s="69"/>
      <c r="G364" s="69"/>
      <c r="H364" s="67" t="str">
        <f t="shared" si="20"/>
        <v/>
      </c>
      <c r="I364" s="67" t="str">
        <f t="shared" si="21"/>
        <v/>
      </c>
      <c r="J364" s="69"/>
      <c r="K364" s="69"/>
      <c r="L364" s="69"/>
      <c r="M364" s="68"/>
      <c r="N364" s="69"/>
      <c r="O364" s="69"/>
      <c r="P364" s="69"/>
      <c r="Q364" s="67" t="str">
        <f t="shared" si="22"/>
        <v/>
      </c>
      <c r="R364" s="81" t="str">
        <f t="shared" si="23"/>
        <v/>
      </c>
    </row>
    <row r="365" spans="1:18" x14ac:dyDescent="0.3">
      <c r="A365" s="69"/>
      <c r="B365" s="69"/>
      <c r="C365" s="68"/>
      <c r="D365" s="69"/>
      <c r="E365" s="69"/>
      <c r="F365" s="69"/>
      <c r="G365" s="69"/>
      <c r="H365" s="67" t="str">
        <f t="shared" si="20"/>
        <v/>
      </c>
      <c r="I365" s="67" t="str">
        <f t="shared" si="21"/>
        <v/>
      </c>
      <c r="J365" s="69"/>
      <c r="K365" s="69"/>
      <c r="L365" s="69"/>
      <c r="M365" s="68"/>
      <c r="N365" s="69"/>
      <c r="O365" s="69"/>
      <c r="P365" s="69"/>
      <c r="Q365" s="67" t="str">
        <f t="shared" si="22"/>
        <v/>
      </c>
      <c r="R365" s="81" t="str">
        <f t="shared" si="23"/>
        <v/>
      </c>
    </row>
    <row r="366" spans="1:18" x14ac:dyDescent="0.3">
      <c r="A366" s="69"/>
      <c r="B366" s="69"/>
      <c r="C366" s="68"/>
      <c r="D366" s="69"/>
      <c r="E366" s="69"/>
      <c r="F366" s="69"/>
      <c r="G366" s="69"/>
      <c r="H366" s="67" t="str">
        <f t="shared" si="20"/>
        <v/>
      </c>
      <c r="I366" s="67" t="str">
        <f t="shared" si="21"/>
        <v/>
      </c>
      <c r="J366" s="69"/>
      <c r="K366" s="69"/>
      <c r="L366" s="69"/>
      <c r="M366" s="68"/>
      <c r="N366" s="69"/>
      <c r="O366" s="69"/>
      <c r="P366" s="69"/>
      <c r="Q366" s="67" t="str">
        <f t="shared" si="22"/>
        <v/>
      </c>
      <c r="R366" s="81" t="str">
        <f t="shared" si="23"/>
        <v/>
      </c>
    </row>
    <row r="367" spans="1:18" x14ac:dyDescent="0.3">
      <c r="A367" s="69"/>
      <c r="B367" s="69"/>
      <c r="C367" s="68"/>
      <c r="D367" s="69"/>
      <c r="E367" s="69"/>
      <c r="F367" s="69"/>
      <c r="G367" s="69"/>
      <c r="H367" s="67" t="str">
        <f t="shared" si="20"/>
        <v/>
      </c>
      <c r="I367" s="67" t="str">
        <f t="shared" si="21"/>
        <v/>
      </c>
      <c r="J367" s="69"/>
      <c r="K367" s="69"/>
      <c r="L367" s="69"/>
      <c r="M367" s="68"/>
      <c r="N367" s="69"/>
      <c r="O367" s="69"/>
      <c r="P367" s="69"/>
      <c r="Q367" s="67" t="str">
        <f t="shared" si="22"/>
        <v/>
      </c>
      <c r="R367" s="81" t="str">
        <f t="shared" si="23"/>
        <v/>
      </c>
    </row>
    <row r="368" spans="1:18" x14ac:dyDescent="0.3">
      <c r="A368" s="69"/>
      <c r="B368" s="69"/>
      <c r="C368" s="68"/>
      <c r="D368" s="69"/>
      <c r="E368" s="69"/>
      <c r="F368" s="69"/>
      <c r="G368" s="69"/>
      <c r="H368" s="67" t="str">
        <f t="shared" si="20"/>
        <v/>
      </c>
      <c r="I368" s="67" t="str">
        <f t="shared" si="21"/>
        <v/>
      </c>
      <c r="J368" s="69"/>
      <c r="K368" s="69"/>
      <c r="L368" s="69"/>
      <c r="M368" s="68"/>
      <c r="N368" s="69"/>
      <c r="O368" s="69"/>
      <c r="P368" s="69"/>
      <c r="Q368" s="67" t="str">
        <f t="shared" si="22"/>
        <v/>
      </c>
      <c r="R368" s="81" t="str">
        <f t="shared" si="23"/>
        <v/>
      </c>
    </row>
    <row r="369" spans="1:18" x14ac:dyDescent="0.3">
      <c r="A369" s="69"/>
      <c r="B369" s="69"/>
      <c r="C369" s="68"/>
      <c r="D369" s="69"/>
      <c r="E369" s="69"/>
      <c r="F369" s="69"/>
      <c r="G369" s="69"/>
      <c r="H369" s="67" t="str">
        <f t="shared" si="20"/>
        <v/>
      </c>
      <c r="I369" s="67" t="str">
        <f t="shared" si="21"/>
        <v/>
      </c>
      <c r="J369" s="69"/>
      <c r="K369" s="69"/>
      <c r="L369" s="69"/>
      <c r="M369" s="68"/>
      <c r="N369" s="69"/>
      <c r="O369" s="69"/>
      <c r="P369" s="69"/>
      <c r="Q369" s="67" t="str">
        <f t="shared" si="22"/>
        <v/>
      </c>
      <c r="R369" s="81" t="str">
        <f t="shared" si="23"/>
        <v/>
      </c>
    </row>
    <row r="370" spans="1:18" x14ac:dyDescent="0.3">
      <c r="A370" s="69"/>
      <c r="B370" s="69"/>
      <c r="C370" s="68"/>
      <c r="D370" s="69"/>
      <c r="E370" s="69"/>
      <c r="F370" s="69"/>
      <c r="G370" s="69"/>
      <c r="H370" s="67" t="str">
        <f t="shared" si="20"/>
        <v/>
      </c>
      <c r="I370" s="67" t="str">
        <f t="shared" si="21"/>
        <v/>
      </c>
      <c r="J370" s="69"/>
      <c r="K370" s="69"/>
      <c r="L370" s="69"/>
      <c r="M370" s="68"/>
      <c r="N370" s="69"/>
      <c r="O370" s="69"/>
      <c r="P370" s="69"/>
      <c r="Q370" s="67" t="str">
        <f t="shared" si="22"/>
        <v/>
      </c>
      <c r="R370" s="81" t="str">
        <f t="shared" si="23"/>
        <v/>
      </c>
    </row>
    <row r="371" spans="1:18" x14ac:dyDescent="0.3">
      <c r="A371" s="69"/>
      <c r="B371" s="69"/>
      <c r="C371" s="68"/>
      <c r="D371" s="69"/>
      <c r="E371" s="69"/>
      <c r="F371" s="69"/>
      <c r="G371" s="69"/>
      <c r="H371" s="67" t="str">
        <f t="shared" si="20"/>
        <v/>
      </c>
      <c r="I371" s="67" t="str">
        <f t="shared" si="21"/>
        <v/>
      </c>
      <c r="J371" s="69"/>
      <c r="K371" s="69"/>
      <c r="L371" s="69"/>
      <c r="M371" s="68"/>
      <c r="N371" s="69"/>
      <c r="O371" s="69"/>
      <c r="P371" s="69"/>
      <c r="Q371" s="67" t="str">
        <f t="shared" si="22"/>
        <v/>
      </c>
      <c r="R371" s="81" t="str">
        <f t="shared" si="23"/>
        <v/>
      </c>
    </row>
    <row r="372" spans="1:18" x14ac:dyDescent="0.3">
      <c r="A372" s="69"/>
      <c r="B372" s="69"/>
      <c r="C372" s="68"/>
      <c r="D372" s="69"/>
      <c r="E372" s="69"/>
      <c r="F372" s="69"/>
      <c r="G372" s="69"/>
      <c r="H372" s="67" t="str">
        <f t="shared" si="20"/>
        <v/>
      </c>
      <c r="I372" s="67" t="str">
        <f t="shared" si="21"/>
        <v/>
      </c>
      <c r="J372" s="69"/>
      <c r="K372" s="69"/>
      <c r="L372" s="69"/>
      <c r="M372" s="68"/>
      <c r="N372" s="69"/>
      <c r="O372" s="69"/>
      <c r="P372" s="69"/>
      <c r="Q372" s="67" t="str">
        <f t="shared" si="22"/>
        <v/>
      </c>
      <c r="R372" s="81" t="str">
        <f t="shared" si="23"/>
        <v/>
      </c>
    </row>
    <row r="373" spans="1:18" x14ac:dyDescent="0.3">
      <c r="A373" s="69"/>
      <c r="B373" s="69"/>
      <c r="C373" s="68"/>
      <c r="D373" s="69"/>
      <c r="E373" s="69"/>
      <c r="F373" s="69"/>
      <c r="G373" s="69"/>
      <c r="H373" s="67" t="str">
        <f t="shared" si="20"/>
        <v/>
      </c>
      <c r="I373" s="67" t="str">
        <f t="shared" si="21"/>
        <v/>
      </c>
      <c r="J373" s="69"/>
      <c r="K373" s="69"/>
      <c r="L373" s="69"/>
      <c r="M373" s="68"/>
      <c r="N373" s="69"/>
      <c r="O373" s="69"/>
      <c r="P373" s="69"/>
      <c r="Q373" s="67" t="str">
        <f t="shared" si="22"/>
        <v/>
      </c>
      <c r="R373" s="81" t="str">
        <f t="shared" si="23"/>
        <v/>
      </c>
    </row>
    <row r="374" spans="1:18" x14ac:dyDescent="0.3">
      <c r="A374" s="69"/>
      <c r="B374" s="69"/>
      <c r="C374" s="68"/>
      <c r="D374" s="69"/>
      <c r="E374" s="69"/>
      <c r="F374" s="69"/>
      <c r="G374" s="69"/>
      <c r="H374" s="67" t="str">
        <f t="shared" si="20"/>
        <v/>
      </c>
      <c r="I374" s="67" t="str">
        <f t="shared" si="21"/>
        <v/>
      </c>
      <c r="J374" s="69"/>
      <c r="K374" s="69"/>
      <c r="L374" s="69"/>
      <c r="M374" s="68"/>
      <c r="N374" s="69"/>
      <c r="O374" s="69"/>
      <c r="P374" s="69"/>
      <c r="Q374" s="67" t="str">
        <f t="shared" si="22"/>
        <v/>
      </c>
      <c r="R374" s="81" t="str">
        <f t="shared" si="23"/>
        <v/>
      </c>
    </row>
    <row r="375" spans="1:18" x14ac:dyDescent="0.3">
      <c r="A375" s="69"/>
      <c r="B375" s="69"/>
      <c r="C375" s="68"/>
      <c r="D375" s="69"/>
      <c r="E375" s="69"/>
      <c r="F375" s="69"/>
      <c r="G375" s="69"/>
      <c r="H375" s="67" t="str">
        <f t="shared" si="20"/>
        <v/>
      </c>
      <c r="I375" s="67" t="str">
        <f t="shared" si="21"/>
        <v/>
      </c>
      <c r="J375" s="69"/>
      <c r="K375" s="69"/>
      <c r="L375" s="69"/>
      <c r="M375" s="68"/>
      <c r="N375" s="69"/>
      <c r="O375" s="69"/>
      <c r="P375" s="69"/>
      <c r="Q375" s="67" t="str">
        <f t="shared" si="22"/>
        <v/>
      </c>
      <c r="R375" s="81" t="str">
        <f t="shared" si="23"/>
        <v/>
      </c>
    </row>
    <row r="376" spans="1:18" x14ac:dyDescent="0.3">
      <c r="A376" s="69"/>
      <c r="B376" s="69"/>
      <c r="C376" s="68"/>
      <c r="D376" s="69"/>
      <c r="E376" s="69"/>
      <c r="F376" s="69"/>
      <c r="G376" s="69"/>
      <c r="H376" s="67" t="str">
        <f t="shared" si="20"/>
        <v/>
      </c>
      <c r="I376" s="67" t="str">
        <f t="shared" si="21"/>
        <v/>
      </c>
      <c r="J376" s="69"/>
      <c r="K376" s="69"/>
      <c r="L376" s="69"/>
      <c r="M376" s="68"/>
      <c r="N376" s="69"/>
      <c r="O376" s="69"/>
      <c r="P376" s="69"/>
      <c r="Q376" s="67" t="str">
        <f t="shared" si="22"/>
        <v/>
      </c>
      <c r="R376" s="81" t="str">
        <f t="shared" si="23"/>
        <v/>
      </c>
    </row>
    <row r="377" spans="1:18" x14ac:dyDescent="0.3">
      <c r="A377" s="69"/>
      <c r="B377" s="69"/>
      <c r="C377" s="68"/>
      <c r="D377" s="69"/>
      <c r="E377" s="69"/>
      <c r="F377" s="69"/>
      <c r="G377" s="69"/>
      <c r="H377" s="67" t="str">
        <f t="shared" si="20"/>
        <v/>
      </c>
      <c r="I377" s="67" t="str">
        <f t="shared" si="21"/>
        <v/>
      </c>
      <c r="J377" s="69"/>
      <c r="K377" s="69"/>
      <c r="L377" s="69"/>
      <c r="M377" s="68"/>
      <c r="N377" s="69"/>
      <c r="O377" s="69"/>
      <c r="P377" s="69"/>
      <c r="Q377" s="67" t="str">
        <f t="shared" si="22"/>
        <v/>
      </c>
      <c r="R377" s="81" t="str">
        <f t="shared" si="23"/>
        <v/>
      </c>
    </row>
    <row r="378" spans="1:18" x14ac:dyDescent="0.3">
      <c r="A378" s="69"/>
      <c r="B378" s="69"/>
      <c r="C378" s="68"/>
      <c r="D378" s="69"/>
      <c r="E378" s="69"/>
      <c r="F378" s="69"/>
      <c r="G378" s="69"/>
      <c r="H378" s="67" t="str">
        <f t="shared" si="20"/>
        <v/>
      </c>
      <c r="I378" s="67" t="str">
        <f t="shared" si="21"/>
        <v/>
      </c>
      <c r="J378" s="69"/>
      <c r="K378" s="69"/>
      <c r="L378" s="69"/>
      <c r="M378" s="68"/>
      <c r="N378" s="69"/>
      <c r="O378" s="69"/>
      <c r="P378" s="69"/>
      <c r="Q378" s="67" t="str">
        <f t="shared" si="22"/>
        <v/>
      </c>
      <c r="R378" s="81" t="str">
        <f t="shared" si="23"/>
        <v/>
      </c>
    </row>
    <row r="379" spans="1:18" x14ac:dyDescent="0.3">
      <c r="A379" s="69"/>
      <c r="B379" s="69"/>
      <c r="C379" s="68"/>
      <c r="D379" s="69"/>
      <c r="E379" s="69"/>
      <c r="F379" s="69"/>
      <c r="G379" s="69"/>
      <c r="H379" s="67" t="str">
        <f t="shared" si="20"/>
        <v/>
      </c>
      <c r="I379" s="67" t="str">
        <f t="shared" si="21"/>
        <v/>
      </c>
      <c r="J379" s="69"/>
      <c r="K379" s="69"/>
      <c r="L379" s="69"/>
      <c r="M379" s="68"/>
      <c r="N379" s="69"/>
      <c r="O379" s="69"/>
      <c r="P379" s="69"/>
      <c r="Q379" s="67" t="str">
        <f t="shared" si="22"/>
        <v/>
      </c>
      <c r="R379" s="81" t="str">
        <f t="shared" si="23"/>
        <v/>
      </c>
    </row>
    <row r="380" spans="1:18" x14ac:dyDescent="0.3">
      <c r="A380" s="69"/>
      <c r="B380" s="69"/>
      <c r="C380" s="68"/>
      <c r="D380" s="69"/>
      <c r="E380" s="69"/>
      <c r="F380" s="69"/>
      <c r="G380" s="69"/>
      <c r="H380" s="67" t="str">
        <f t="shared" si="20"/>
        <v/>
      </c>
      <c r="I380" s="67" t="str">
        <f t="shared" si="21"/>
        <v/>
      </c>
      <c r="J380" s="69"/>
      <c r="K380" s="69"/>
      <c r="L380" s="69"/>
      <c r="M380" s="68"/>
      <c r="N380" s="69"/>
      <c r="O380" s="69"/>
      <c r="P380" s="69"/>
      <c r="Q380" s="67" t="str">
        <f t="shared" si="22"/>
        <v/>
      </c>
      <c r="R380" s="81" t="str">
        <f t="shared" si="23"/>
        <v/>
      </c>
    </row>
    <row r="381" spans="1:18" x14ac:dyDescent="0.3">
      <c r="A381" s="69"/>
      <c r="B381" s="69"/>
      <c r="C381" s="68"/>
      <c r="D381" s="69"/>
      <c r="E381" s="69"/>
      <c r="F381" s="69"/>
      <c r="G381" s="69"/>
      <c r="H381" s="67" t="str">
        <f t="shared" si="20"/>
        <v/>
      </c>
      <c r="I381" s="67" t="str">
        <f t="shared" si="21"/>
        <v/>
      </c>
      <c r="J381" s="69"/>
      <c r="K381" s="69"/>
      <c r="L381" s="69"/>
      <c r="M381" s="68"/>
      <c r="N381" s="69"/>
      <c r="O381" s="69"/>
      <c r="P381" s="69"/>
      <c r="Q381" s="67" t="str">
        <f t="shared" si="22"/>
        <v/>
      </c>
      <c r="R381" s="81" t="str">
        <f t="shared" si="23"/>
        <v/>
      </c>
    </row>
    <row r="382" spans="1:18" x14ac:dyDescent="0.3">
      <c r="A382" s="69"/>
      <c r="B382" s="69"/>
      <c r="C382" s="68"/>
      <c r="D382" s="69"/>
      <c r="E382" s="69"/>
      <c r="F382" s="69"/>
      <c r="G382" s="69"/>
      <c r="H382" s="67" t="str">
        <f t="shared" si="20"/>
        <v/>
      </c>
      <c r="I382" s="67" t="str">
        <f t="shared" si="21"/>
        <v/>
      </c>
      <c r="J382" s="69"/>
      <c r="K382" s="69"/>
      <c r="L382" s="69"/>
      <c r="M382" s="68"/>
      <c r="N382" s="69"/>
      <c r="O382" s="69"/>
      <c r="P382" s="69"/>
      <c r="Q382" s="67" t="str">
        <f t="shared" si="22"/>
        <v/>
      </c>
      <c r="R382" s="81" t="str">
        <f t="shared" si="23"/>
        <v/>
      </c>
    </row>
    <row r="383" spans="1:18" x14ac:dyDescent="0.3">
      <c r="A383" s="69"/>
      <c r="B383" s="69"/>
      <c r="C383" s="68"/>
      <c r="D383" s="69"/>
      <c r="E383" s="69"/>
      <c r="F383" s="69"/>
      <c r="G383" s="69"/>
      <c r="H383" s="67" t="str">
        <f t="shared" si="20"/>
        <v/>
      </c>
      <c r="I383" s="67" t="str">
        <f t="shared" si="21"/>
        <v/>
      </c>
      <c r="J383" s="69"/>
      <c r="K383" s="69"/>
      <c r="L383" s="69"/>
      <c r="M383" s="68"/>
      <c r="N383" s="69"/>
      <c r="O383" s="69"/>
      <c r="P383" s="69"/>
      <c r="Q383" s="67" t="str">
        <f t="shared" si="22"/>
        <v/>
      </c>
      <c r="R383" s="81" t="str">
        <f t="shared" si="23"/>
        <v/>
      </c>
    </row>
    <row r="384" spans="1:18" x14ac:dyDescent="0.3">
      <c r="A384" s="69"/>
      <c r="B384" s="69"/>
      <c r="C384" s="68"/>
      <c r="D384" s="69"/>
      <c r="E384" s="69"/>
      <c r="F384" s="69"/>
      <c r="G384" s="69"/>
      <c r="H384" s="67" t="str">
        <f t="shared" si="20"/>
        <v/>
      </c>
      <c r="I384" s="67" t="str">
        <f t="shared" si="21"/>
        <v/>
      </c>
      <c r="J384" s="69"/>
      <c r="K384" s="69"/>
      <c r="L384" s="69"/>
      <c r="M384" s="68"/>
      <c r="N384" s="69"/>
      <c r="O384" s="69"/>
      <c r="P384" s="69"/>
      <c r="Q384" s="67" t="str">
        <f t="shared" si="22"/>
        <v/>
      </c>
      <c r="R384" s="81" t="str">
        <f t="shared" si="23"/>
        <v/>
      </c>
    </row>
    <row r="385" spans="1:18" x14ac:dyDescent="0.3">
      <c r="A385" s="69"/>
      <c r="B385" s="69"/>
      <c r="C385" s="68"/>
      <c r="D385" s="69"/>
      <c r="E385" s="69"/>
      <c r="F385" s="69"/>
      <c r="G385" s="69"/>
      <c r="H385" s="67" t="str">
        <f t="shared" si="20"/>
        <v/>
      </c>
      <c r="I385" s="67" t="str">
        <f t="shared" si="21"/>
        <v/>
      </c>
      <c r="J385" s="69"/>
      <c r="K385" s="69"/>
      <c r="L385" s="69"/>
      <c r="M385" s="68"/>
      <c r="N385" s="69"/>
      <c r="O385" s="69"/>
      <c r="P385" s="69"/>
      <c r="Q385" s="67" t="str">
        <f t="shared" si="22"/>
        <v/>
      </c>
      <c r="R385" s="81" t="str">
        <f t="shared" si="23"/>
        <v/>
      </c>
    </row>
    <row r="386" spans="1:18" x14ac:dyDescent="0.3">
      <c r="A386" s="69"/>
      <c r="B386" s="69"/>
      <c r="C386" s="68"/>
      <c r="D386" s="69"/>
      <c r="E386" s="69"/>
      <c r="F386" s="69"/>
      <c r="G386" s="69"/>
      <c r="H386" s="67" t="str">
        <f t="shared" si="20"/>
        <v/>
      </c>
      <c r="I386" s="67" t="str">
        <f t="shared" si="21"/>
        <v/>
      </c>
      <c r="J386" s="69"/>
      <c r="K386" s="69"/>
      <c r="L386" s="69"/>
      <c r="M386" s="68"/>
      <c r="N386" s="69"/>
      <c r="O386" s="69"/>
      <c r="P386" s="69"/>
      <c r="Q386" s="67" t="str">
        <f t="shared" si="22"/>
        <v/>
      </c>
      <c r="R386" s="81" t="str">
        <f t="shared" si="23"/>
        <v/>
      </c>
    </row>
    <row r="387" spans="1:18" x14ac:dyDescent="0.3">
      <c r="A387" s="69"/>
      <c r="B387" s="69"/>
      <c r="C387" s="68"/>
      <c r="D387" s="69"/>
      <c r="E387" s="69"/>
      <c r="F387" s="69"/>
      <c r="G387" s="69"/>
      <c r="H387" s="67" t="str">
        <f t="shared" si="20"/>
        <v/>
      </c>
      <c r="I387" s="67" t="str">
        <f t="shared" si="21"/>
        <v/>
      </c>
      <c r="J387" s="69"/>
      <c r="K387" s="69"/>
      <c r="L387" s="69"/>
      <c r="M387" s="68"/>
      <c r="N387" s="69"/>
      <c r="O387" s="69"/>
      <c r="P387" s="69"/>
      <c r="Q387" s="67" t="str">
        <f t="shared" si="22"/>
        <v/>
      </c>
      <c r="R387" s="81" t="str">
        <f t="shared" si="23"/>
        <v/>
      </c>
    </row>
    <row r="388" spans="1:18" x14ac:dyDescent="0.3">
      <c r="A388" s="69"/>
      <c r="B388" s="69"/>
      <c r="C388" s="68"/>
      <c r="D388" s="69"/>
      <c r="E388" s="69"/>
      <c r="F388" s="69"/>
      <c r="G388" s="69"/>
      <c r="H388" s="67" t="str">
        <f t="shared" si="20"/>
        <v/>
      </c>
      <c r="I388" s="67" t="str">
        <f t="shared" si="21"/>
        <v/>
      </c>
      <c r="J388" s="69"/>
      <c r="K388" s="69"/>
      <c r="L388" s="69"/>
      <c r="M388" s="68"/>
      <c r="N388" s="69"/>
      <c r="O388" s="69"/>
      <c r="P388" s="69"/>
      <c r="Q388" s="67" t="str">
        <f t="shared" si="22"/>
        <v/>
      </c>
      <c r="R388" s="81" t="str">
        <f t="shared" si="23"/>
        <v/>
      </c>
    </row>
    <row r="389" spans="1:18" x14ac:dyDescent="0.3">
      <c r="A389" s="69"/>
      <c r="B389" s="69"/>
      <c r="C389" s="68"/>
      <c r="D389" s="69"/>
      <c r="E389" s="69"/>
      <c r="F389" s="69"/>
      <c r="G389" s="69"/>
      <c r="H389" s="67" t="str">
        <f t="shared" ref="H389:H452" si="24">IF(OR(F389="",G389=""),"",F389*G389)</f>
        <v/>
      </c>
      <c r="I389" s="67" t="str">
        <f t="shared" ref="I389:I452" si="25">IF(H389="","",IF(H389&gt;=15,"High",IF(H389&gt;=8,"Medium","Low")))</f>
        <v/>
      </c>
      <c r="J389" s="69"/>
      <c r="K389" s="69"/>
      <c r="L389" s="69"/>
      <c r="M389" s="68"/>
      <c r="N389" s="69"/>
      <c r="O389" s="69"/>
      <c r="P389" s="69"/>
      <c r="Q389" s="67" t="str">
        <f t="shared" ref="Q389:Q452" si="26">IF(OR(O389="",P389=""),"",O389*P389)</f>
        <v/>
      </c>
      <c r="R389" s="81" t="str">
        <f t="shared" ref="R389:R452" si="27">IF(OR(H389="",Q389=""),"",1-Q389/H389)</f>
        <v/>
      </c>
    </row>
    <row r="390" spans="1:18" x14ac:dyDescent="0.3">
      <c r="A390" s="69"/>
      <c r="B390" s="69"/>
      <c r="C390" s="68"/>
      <c r="D390" s="69"/>
      <c r="E390" s="69"/>
      <c r="F390" s="69"/>
      <c r="G390" s="69"/>
      <c r="H390" s="67" t="str">
        <f t="shared" si="24"/>
        <v/>
      </c>
      <c r="I390" s="67" t="str">
        <f t="shared" si="25"/>
        <v/>
      </c>
      <c r="J390" s="69"/>
      <c r="K390" s="69"/>
      <c r="L390" s="69"/>
      <c r="M390" s="68"/>
      <c r="N390" s="69"/>
      <c r="O390" s="69"/>
      <c r="P390" s="69"/>
      <c r="Q390" s="67" t="str">
        <f t="shared" si="26"/>
        <v/>
      </c>
      <c r="R390" s="81" t="str">
        <f t="shared" si="27"/>
        <v/>
      </c>
    </row>
    <row r="391" spans="1:18" x14ac:dyDescent="0.3">
      <c r="A391" s="69"/>
      <c r="B391" s="69"/>
      <c r="C391" s="68"/>
      <c r="D391" s="69"/>
      <c r="E391" s="69"/>
      <c r="F391" s="69"/>
      <c r="G391" s="69"/>
      <c r="H391" s="67" t="str">
        <f t="shared" si="24"/>
        <v/>
      </c>
      <c r="I391" s="67" t="str">
        <f t="shared" si="25"/>
        <v/>
      </c>
      <c r="J391" s="69"/>
      <c r="K391" s="69"/>
      <c r="L391" s="69"/>
      <c r="M391" s="68"/>
      <c r="N391" s="69"/>
      <c r="O391" s="69"/>
      <c r="P391" s="69"/>
      <c r="Q391" s="67" t="str">
        <f t="shared" si="26"/>
        <v/>
      </c>
      <c r="R391" s="81" t="str">
        <f t="shared" si="27"/>
        <v/>
      </c>
    </row>
    <row r="392" spans="1:18" x14ac:dyDescent="0.3">
      <c r="A392" s="69"/>
      <c r="B392" s="69"/>
      <c r="C392" s="68"/>
      <c r="D392" s="69"/>
      <c r="E392" s="69"/>
      <c r="F392" s="69"/>
      <c r="G392" s="69"/>
      <c r="H392" s="67" t="str">
        <f t="shared" si="24"/>
        <v/>
      </c>
      <c r="I392" s="67" t="str">
        <f t="shared" si="25"/>
        <v/>
      </c>
      <c r="J392" s="69"/>
      <c r="K392" s="69"/>
      <c r="L392" s="69"/>
      <c r="M392" s="68"/>
      <c r="N392" s="69"/>
      <c r="O392" s="69"/>
      <c r="P392" s="69"/>
      <c r="Q392" s="67" t="str">
        <f t="shared" si="26"/>
        <v/>
      </c>
      <c r="R392" s="81" t="str">
        <f t="shared" si="27"/>
        <v/>
      </c>
    </row>
    <row r="393" spans="1:18" x14ac:dyDescent="0.3">
      <c r="A393" s="69"/>
      <c r="B393" s="69"/>
      <c r="C393" s="68"/>
      <c r="D393" s="69"/>
      <c r="E393" s="69"/>
      <c r="F393" s="69"/>
      <c r="G393" s="69"/>
      <c r="H393" s="67" t="str">
        <f t="shared" si="24"/>
        <v/>
      </c>
      <c r="I393" s="67" t="str">
        <f t="shared" si="25"/>
        <v/>
      </c>
      <c r="J393" s="69"/>
      <c r="K393" s="69"/>
      <c r="L393" s="69"/>
      <c r="M393" s="68"/>
      <c r="N393" s="69"/>
      <c r="O393" s="69"/>
      <c r="P393" s="69"/>
      <c r="Q393" s="67" t="str">
        <f t="shared" si="26"/>
        <v/>
      </c>
      <c r="R393" s="81" t="str">
        <f t="shared" si="27"/>
        <v/>
      </c>
    </row>
    <row r="394" spans="1:18" x14ac:dyDescent="0.3">
      <c r="A394" s="69"/>
      <c r="B394" s="69"/>
      <c r="C394" s="68"/>
      <c r="D394" s="69"/>
      <c r="E394" s="69"/>
      <c r="F394" s="69"/>
      <c r="G394" s="69"/>
      <c r="H394" s="67" t="str">
        <f t="shared" si="24"/>
        <v/>
      </c>
      <c r="I394" s="67" t="str">
        <f t="shared" si="25"/>
        <v/>
      </c>
      <c r="J394" s="69"/>
      <c r="K394" s="69"/>
      <c r="L394" s="69"/>
      <c r="M394" s="68"/>
      <c r="N394" s="69"/>
      <c r="O394" s="69"/>
      <c r="P394" s="69"/>
      <c r="Q394" s="67" t="str">
        <f t="shared" si="26"/>
        <v/>
      </c>
      <c r="R394" s="81" t="str">
        <f t="shared" si="27"/>
        <v/>
      </c>
    </row>
    <row r="395" spans="1:18" x14ac:dyDescent="0.3">
      <c r="A395" s="69"/>
      <c r="B395" s="69"/>
      <c r="C395" s="68"/>
      <c r="D395" s="69"/>
      <c r="E395" s="69"/>
      <c r="F395" s="69"/>
      <c r="G395" s="69"/>
      <c r="H395" s="67" t="str">
        <f t="shared" si="24"/>
        <v/>
      </c>
      <c r="I395" s="67" t="str">
        <f t="shared" si="25"/>
        <v/>
      </c>
      <c r="J395" s="69"/>
      <c r="K395" s="69"/>
      <c r="L395" s="69"/>
      <c r="M395" s="68"/>
      <c r="N395" s="69"/>
      <c r="O395" s="69"/>
      <c r="P395" s="69"/>
      <c r="Q395" s="67" t="str">
        <f t="shared" si="26"/>
        <v/>
      </c>
      <c r="R395" s="81" t="str">
        <f t="shared" si="27"/>
        <v/>
      </c>
    </row>
    <row r="396" spans="1:18" x14ac:dyDescent="0.3">
      <c r="A396" s="69"/>
      <c r="B396" s="69"/>
      <c r="C396" s="68"/>
      <c r="D396" s="69"/>
      <c r="E396" s="69"/>
      <c r="F396" s="69"/>
      <c r="G396" s="69"/>
      <c r="H396" s="67" t="str">
        <f t="shared" si="24"/>
        <v/>
      </c>
      <c r="I396" s="67" t="str">
        <f t="shared" si="25"/>
        <v/>
      </c>
      <c r="J396" s="69"/>
      <c r="K396" s="69"/>
      <c r="L396" s="69"/>
      <c r="M396" s="68"/>
      <c r="N396" s="69"/>
      <c r="O396" s="69"/>
      <c r="P396" s="69"/>
      <c r="Q396" s="67" t="str">
        <f t="shared" si="26"/>
        <v/>
      </c>
      <c r="R396" s="81" t="str">
        <f t="shared" si="27"/>
        <v/>
      </c>
    </row>
    <row r="397" spans="1:18" x14ac:dyDescent="0.3">
      <c r="A397" s="69"/>
      <c r="B397" s="69"/>
      <c r="C397" s="68"/>
      <c r="D397" s="69"/>
      <c r="E397" s="69"/>
      <c r="F397" s="69"/>
      <c r="G397" s="69"/>
      <c r="H397" s="67" t="str">
        <f t="shared" si="24"/>
        <v/>
      </c>
      <c r="I397" s="67" t="str">
        <f t="shared" si="25"/>
        <v/>
      </c>
      <c r="J397" s="69"/>
      <c r="K397" s="69"/>
      <c r="L397" s="69"/>
      <c r="M397" s="68"/>
      <c r="N397" s="69"/>
      <c r="O397" s="69"/>
      <c r="P397" s="69"/>
      <c r="Q397" s="67" t="str">
        <f t="shared" si="26"/>
        <v/>
      </c>
      <c r="R397" s="81" t="str">
        <f t="shared" si="27"/>
        <v/>
      </c>
    </row>
    <row r="398" spans="1:18" x14ac:dyDescent="0.3">
      <c r="A398" s="69"/>
      <c r="B398" s="69"/>
      <c r="C398" s="68"/>
      <c r="D398" s="69"/>
      <c r="E398" s="69"/>
      <c r="F398" s="69"/>
      <c r="G398" s="69"/>
      <c r="H398" s="67" t="str">
        <f t="shared" si="24"/>
        <v/>
      </c>
      <c r="I398" s="67" t="str">
        <f t="shared" si="25"/>
        <v/>
      </c>
      <c r="J398" s="69"/>
      <c r="K398" s="69"/>
      <c r="L398" s="69"/>
      <c r="M398" s="68"/>
      <c r="N398" s="69"/>
      <c r="O398" s="69"/>
      <c r="P398" s="69"/>
      <c r="Q398" s="67" t="str">
        <f t="shared" si="26"/>
        <v/>
      </c>
      <c r="R398" s="81" t="str">
        <f t="shared" si="27"/>
        <v/>
      </c>
    </row>
    <row r="399" spans="1:18" x14ac:dyDescent="0.3">
      <c r="A399" s="69"/>
      <c r="B399" s="69"/>
      <c r="C399" s="68"/>
      <c r="D399" s="69"/>
      <c r="E399" s="69"/>
      <c r="F399" s="69"/>
      <c r="G399" s="69"/>
      <c r="H399" s="67" t="str">
        <f t="shared" si="24"/>
        <v/>
      </c>
      <c r="I399" s="67" t="str">
        <f t="shared" si="25"/>
        <v/>
      </c>
      <c r="J399" s="69"/>
      <c r="K399" s="69"/>
      <c r="L399" s="69"/>
      <c r="M399" s="68"/>
      <c r="N399" s="69"/>
      <c r="O399" s="69"/>
      <c r="P399" s="69"/>
      <c r="Q399" s="67" t="str">
        <f t="shared" si="26"/>
        <v/>
      </c>
      <c r="R399" s="81" t="str">
        <f t="shared" si="27"/>
        <v/>
      </c>
    </row>
    <row r="400" spans="1:18" x14ac:dyDescent="0.3">
      <c r="A400" s="69"/>
      <c r="B400" s="69"/>
      <c r="C400" s="68"/>
      <c r="D400" s="69"/>
      <c r="E400" s="69"/>
      <c r="F400" s="69"/>
      <c r="G400" s="69"/>
      <c r="H400" s="67" t="str">
        <f t="shared" si="24"/>
        <v/>
      </c>
      <c r="I400" s="67" t="str">
        <f t="shared" si="25"/>
        <v/>
      </c>
      <c r="J400" s="69"/>
      <c r="K400" s="69"/>
      <c r="L400" s="69"/>
      <c r="M400" s="68"/>
      <c r="N400" s="69"/>
      <c r="O400" s="69"/>
      <c r="P400" s="69"/>
      <c r="Q400" s="67" t="str">
        <f t="shared" si="26"/>
        <v/>
      </c>
      <c r="R400" s="81" t="str">
        <f t="shared" si="27"/>
        <v/>
      </c>
    </row>
    <row r="401" spans="1:18" x14ac:dyDescent="0.3">
      <c r="A401" s="69"/>
      <c r="B401" s="69"/>
      <c r="C401" s="68"/>
      <c r="D401" s="69"/>
      <c r="E401" s="69"/>
      <c r="F401" s="69"/>
      <c r="G401" s="69"/>
      <c r="H401" s="67" t="str">
        <f t="shared" si="24"/>
        <v/>
      </c>
      <c r="I401" s="67" t="str">
        <f t="shared" si="25"/>
        <v/>
      </c>
      <c r="J401" s="69"/>
      <c r="K401" s="69"/>
      <c r="L401" s="69"/>
      <c r="M401" s="68"/>
      <c r="N401" s="69"/>
      <c r="O401" s="69"/>
      <c r="P401" s="69"/>
      <c r="Q401" s="67" t="str">
        <f t="shared" si="26"/>
        <v/>
      </c>
      <c r="R401" s="81" t="str">
        <f t="shared" si="27"/>
        <v/>
      </c>
    </row>
    <row r="402" spans="1:18" x14ac:dyDescent="0.3">
      <c r="A402" s="69"/>
      <c r="B402" s="69"/>
      <c r="C402" s="68"/>
      <c r="D402" s="69"/>
      <c r="E402" s="69"/>
      <c r="F402" s="69"/>
      <c r="G402" s="69"/>
      <c r="H402" s="67" t="str">
        <f t="shared" si="24"/>
        <v/>
      </c>
      <c r="I402" s="67" t="str">
        <f t="shared" si="25"/>
        <v/>
      </c>
      <c r="J402" s="69"/>
      <c r="K402" s="69"/>
      <c r="L402" s="69"/>
      <c r="M402" s="68"/>
      <c r="N402" s="69"/>
      <c r="O402" s="69"/>
      <c r="P402" s="69"/>
      <c r="Q402" s="67" t="str">
        <f t="shared" si="26"/>
        <v/>
      </c>
      <c r="R402" s="81" t="str">
        <f t="shared" si="27"/>
        <v/>
      </c>
    </row>
    <row r="403" spans="1:18" x14ac:dyDescent="0.3">
      <c r="A403" s="69"/>
      <c r="B403" s="69"/>
      <c r="C403" s="68"/>
      <c r="D403" s="69"/>
      <c r="E403" s="69"/>
      <c r="F403" s="69"/>
      <c r="G403" s="69"/>
      <c r="H403" s="67" t="str">
        <f t="shared" si="24"/>
        <v/>
      </c>
      <c r="I403" s="67" t="str">
        <f t="shared" si="25"/>
        <v/>
      </c>
      <c r="J403" s="69"/>
      <c r="K403" s="69"/>
      <c r="L403" s="69"/>
      <c r="M403" s="68"/>
      <c r="N403" s="69"/>
      <c r="O403" s="69"/>
      <c r="P403" s="69"/>
      <c r="Q403" s="67" t="str">
        <f t="shared" si="26"/>
        <v/>
      </c>
      <c r="R403" s="81" t="str">
        <f t="shared" si="27"/>
        <v/>
      </c>
    </row>
    <row r="404" spans="1:18" x14ac:dyDescent="0.3">
      <c r="A404" s="69"/>
      <c r="B404" s="69"/>
      <c r="C404" s="68"/>
      <c r="D404" s="69"/>
      <c r="E404" s="69"/>
      <c r="F404" s="69"/>
      <c r="G404" s="69"/>
      <c r="H404" s="67" t="str">
        <f t="shared" si="24"/>
        <v/>
      </c>
      <c r="I404" s="67" t="str">
        <f t="shared" si="25"/>
        <v/>
      </c>
      <c r="J404" s="69"/>
      <c r="K404" s="69"/>
      <c r="L404" s="69"/>
      <c r="M404" s="68"/>
      <c r="N404" s="69"/>
      <c r="O404" s="69"/>
      <c r="P404" s="69"/>
      <c r="Q404" s="67" t="str">
        <f t="shared" si="26"/>
        <v/>
      </c>
      <c r="R404" s="81" t="str">
        <f t="shared" si="27"/>
        <v/>
      </c>
    </row>
    <row r="405" spans="1:18" x14ac:dyDescent="0.3">
      <c r="A405" s="69"/>
      <c r="B405" s="69"/>
      <c r="C405" s="68"/>
      <c r="D405" s="69"/>
      <c r="E405" s="69"/>
      <c r="F405" s="69"/>
      <c r="G405" s="69"/>
      <c r="H405" s="67" t="str">
        <f t="shared" si="24"/>
        <v/>
      </c>
      <c r="I405" s="67" t="str">
        <f t="shared" si="25"/>
        <v/>
      </c>
      <c r="J405" s="69"/>
      <c r="K405" s="69"/>
      <c r="L405" s="69"/>
      <c r="M405" s="68"/>
      <c r="N405" s="69"/>
      <c r="O405" s="69"/>
      <c r="P405" s="69"/>
      <c r="Q405" s="67" t="str">
        <f t="shared" si="26"/>
        <v/>
      </c>
      <c r="R405" s="81" t="str">
        <f t="shared" si="27"/>
        <v/>
      </c>
    </row>
    <row r="406" spans="1:18" x14ac:dyDescent="0.3">
      <c r="A406" s="69"/>
      <c r="B406" s="69"/>
      <c r="C406" s="68"/>
      <c r="D406" s="69"/>
      <c r="E406" s="69"/>
      <c r="F406" s="69"/>
      <c r="G406" s="69"/>
      <c r="H406" s="67" t="str">
        <f t="shared" si="24"/>
        <v/>
      </c>
      <c r="I406" s="67" t="str">
        <f t="shared" si="25"/>
        <v/>
      </c>
      <c r="J406" s="69"/>
      <c r="K406" s="69"/>
      <c r="L406" s="69"/>
      <c r="M406" s="68"/>
      <c r="N406" s="69"/>
      <c r="O406" s="69"/>
      <c r="P406" s="69"/>
      <c r="Q406" s="67" t="str">
        <f t="shared" si="26"/>
        <v/>
      </c>
      <c r="R406" s="81" t="str">
        <f t="shared" si="27"/>
        <v/>
      </c>
    </row>
    <row r="407" spans="1:18" x14ac:dyDescent="0.3">
      <c r="A407" s="69"/>
      <c r="B407" s="69"/>
      <c r="C407" s="68"/>
      <c r="D407" s="69"/>
      <c r="E407" s="69"/>
      <c r="F407" s="69"/>
      <c r="G407" s="69"/>
      <c r="H407" s="67" t="str">
        <f t="shared" si="24"/>
        <v/>
      </c>
      <c r="I407" s="67" t="str">
        <f t="shared" si="25"/>
        <v/>
      </c>
      <c r="J407" s="69"/>
      <c r="K407" s="69"/>
      <c r="L407" s="69"/>
      <c r="M407" s="68"/>
      <c r="N407" s="69"/>
      <c r="O407" s="69"/>
      <c r="P407" s="69"/>
      <c r="Q407" s="67" t="str">
        <f t="shared" si="26"/>
        <v/>
      </c>
      <c r="R407" s="81" t="str">
        <f t="shared" si="27"/>
        <v/>
      </c>
    </row>
    <row r="408" spans="1:18" x14ac:dyDescent="0.3">
      <c r="A408" s="69"/>
      <c r="B408" s="69"/>
      <c r="C408" s="68"/>
      <c r="D408" s="69"/>
      <c r="E408" s="69"/>
      <c r="F408" s="69"/>
      <c r="G408" s="69"/>
      <c r="H408" s="67" t="str">
        <f t="shared" si="24"/>
        <v/>
      </c>
      <c r="I408" s="67" t="str">
        <f t="shared" si="25"/>
        <v/>
      </c>
      <c r="J408" s="69"/>
      <c r="K408" s="69"/>
      <c r="L408" s="69"/>
      <c r="M408" s="68"/>
      <c r="N408" s="69"/>
      <c r="O408" s="69"/>
      <c r="P408" s="69"/>
      <c r="Q408" s="67" t="str">
        <f t="shared" si="26"/>
        <v/>
      </c>
      <c r="R408" s="81" t="str">
        <f t="shared" si="27"/>
        <v/>
      </c>
    </row>
    <row r="409" spans="1:18" x14ac:dyDescent="0.3">
      <c r="A409" s="69"/>
      <c r="B409" s="69"/>
      <c r="C409" s="68"/>
      <c r="D409" s="69"/>
      <c r="E409" s="69"/>
      <c r="F409" s="69"/>
      <c r="G409" s="69"/>
      <c r="H409" s="67" t="str">
        <f t="shared" si="24"/>
        <v/>
      </c>
      <c r="I409" s="67" t="str">
        <f t="shared" si="25"/>
        <v/>
      </c>
      <c r="J409" s="69"/>
      <c r="K409" s="69"/>
      <c r="L409" s="69"/>
      <c r="M409" s="68"/>
      <c r="N409" s="69"/>
      <c r="O409" s="69"/>
      <c r="P409" s="69"/>
      <c r="Q409" s="67" t="str">
        <f t="shared" si="26"/>
        <v/>
      </c>
      <c r="R409" s="81" t="str">
        <f t="shared" si="27"/>
        <v/>
      </c>
    </row>
    <row r="410" spans="1:18" x14ac:dyDescent="0.3">
      <c r="A410" s="69"/>
      <c r="B410" s="69"/>
      <c r="C410" s="68"/>
      <c r="D410" s="69"/>
      <c r="E410" s="69"/>
      <c r="F410" s="69"/>
      <c r="G410" s="69"/>
      <c r="H410" s="67" t="str">
        <f t="shared" si="24"/>
        <v/>
      </c>
      <c r="I410" s="67" t="str">
        <f t="shared" si="25"/>
        <v/>
      </c>
      <c r="J410" s="69"/>
      <c r="K410" s="69"/>
      <c r="L410" s="69"/>
      <c r="M410" s="68"/>
      <c r="N410" s="69"/>
      <c r="O410" s="69"/>
      <c r="P410" s="69"/>
      <c r="Q410" s="67" t="str">
        <f t="shared" si="26"/>
        <v/>
      </c>
      <c r="R410" s="81" t="str">
        <f t="shared" si="27"/>
        <v/>
      </c>
    </row>
    <row r="411" spans="1:18" x14ac:dyDescent="0.3">
      <c r="A411" s="69"/>
      <c r="B411" s="69"/>
      <c r="C411" s="68"/>
      <c r="D411" s="69"/>
      <c r="E411" s="69"/>
      <c r="F411" s="69"/>
      <c r="G411" s="69"/>
      <c r="H411" s="67" t="str">
        <f t="shared" si="24"/>
        <v/>
      </c>
      <c r="I411" s="67" t="str">
        <f t="shared" si="25"/>
        <v/>
      </c>
      <c r="J411" s="69"/>
      <c r="K411" s="69"/>
      <c r="L411" s="69"/>
      <c r="M411" s="68"/>
      <c r="N411" s="69"/>
      <c r="O411" s="69"/>
      <c r="P411" s="69"/>
      <c r="Q411" s="67" t="str">
        <f t="shared" si="26"/>
        <v/>
      </c>
      <c r="R411" s="81" t="str">
        <f t="shared" si="27"/>
        <v/>
      </c>
    </row>
    <row r="412" spans="1:18" x14ac:dyDescent="0.3">
      <c r="A412" s="69"/>
      <c r="B412" s="69"/>
      <c r="C412" s="68"/>
      <c r="D412" s="69"/>
      <c r="E412" s="69"/>
      <c r="F412" s="69"/>
      <c r="G412" s="69"/>
      <c r="H412" s="67" t="str">
        <f t="shared" si="24"/>
        <v/>
      </c>
      <c r="I412" s="67" t="str">
        <f t="shared" si="25"/>
        <v/>
      </c>
      <c r="J412" s="69"/>
      <c r="K412" s="69"/>
      <c r="L412" s="69"/>
      <c r="M412" s="68"/>
      <c r="N412" s="69"/>
      <c r="O412" s="69"/>
      <c r="P412" s="69"/>
      <c r="Q412" s="67" t="str">
        <f t="shared" si="26"/>
        <v/>
      </c>
      <c r="R412" s="81" t="str">
        <f t="shared" si="27"/>
        <v/>
      </c>
    </row>
    <row r="413" spans="1:18" x14ac:dyDescent="0.3">
      <c r="A413" s="69"/>
      <c r="B413" s="69"/>
      <c r="C413" s="68"/>
      <c r="D413" s="69"/>
      <c r="E413" s="69"/>
      <c r="F413" s="69"/>
      <c r="G413" s="69"/>
      <c r="H413" s="67" t="str">
        <f t="shared" si="24"/>
        <v/>
      </c>
      <c r="I413" s="67" t="str">
        <f t="shared" si="25"/>
        <v/>
      </c>
      <c r="J413" s="69"/>
      <c r="K413" s="69"/>
      <c r="L413" s="69"/>
      <c r="M413" s="68"/>
      <c r="N413" s="69"/>
      <c r="O413" s="69"/>
      <c r="P413" s="69"/>
      <c r="Q413" s="67" t="str">
        <f t="shared" si="26"/>
        <v/>
      </c>
      <c r="R413" s="81" t="str">
        <f t="shared" si="27"/>
        <v/>
      </c>
    </row>
    <row r="414" spans="1:18" x14ac:dyDescent="0.3">
      <c r="A414" s="69"/>
      <c r="B414" s="69"/>
      <c r="C414" s="68"/>
      <c r="D414" s="69"/>
      <c r="E414" s="69"/>
      <c r="F414" s="69"/>
      <c r="G414" s="69"/>
      <c r="H414" s="67" t="str">
        <f t="shared" si="24"/>
        <v/>
      </c>
      <c r="I414" s="67" t="str">
        <f t="shared" si="25"/>
        <v/>
      </c>
      <c r="J414" s="69"/>
      <c r="K414" s="69"/>
      <c r="L414" s="69"/>
      <c r="M414" s="68"/>
      <c r="N414" s="69"/>
      <c r="O414" s="69"/>
      <c r="P414" s="69"/>
      <c r="Q414" s="67" t="str">
        <f t="shared" si="26"/>
        <v/>
      </c>
      <c r="R414" s="81" t="str">
        <f t="shared" si="27"/>
        <v/>
      </c>
    </row>
    <row r="415" spans="1:18" x14ac:dyDescent="0.3">
      <c r="A415" s="69"/>
      <c r="B415" s="69"/>
      <c r="C415" s="68"/>
      <c r="D415" s="69"/>
      <c r="E415" s="69"/>
      <c r="F415" s="69"/>
      <c r="G415" s="69"/>
      <c r="H415" s="67" t="str">
        <f t="shared" si="24"/>
        <v/>
      </c>
      <c r="I415" s="67" t="str">
        <f t="shared" si="25"/>
        <v/>
      </c>
      <c r="J415" s="69"/>
      <c r="K415" s="69"/>
      <c r="L415" s="69"/>
      <c r="M415" s="68"/>
      <c r="N415" s="69"/>
      <c r="O415" s="69"/>
      <c r="P415" s="69"/>
      <c r="Q415" s="67" t="str">
        <f t="shared" si="26"/>
        <v/>
      </c>
      <c r="R415" s="81" t="str">
        <f t="shared" si="27"/>
        <v/>
      </c>
    </row>
    <row r="416" spans="1:18" x14ac:dyDescent="0.3">
      <c r="A416" s="69"/>
      <c r="B416" s="69"/>
      <c r="C416" s="68"/>
      <c r="D416" s="69"/>
      <c r="E416" s="69"/>
      <c r="F416" s="69"/>
      <c r="G416" s="69"/>
      <c r="H416" s="67" t="str">
        <f t="shared" si="24"/>
        <v/>
      </c>
      <c r="I416" s="67" t="str">
        <f t="shared" si="25"/>
        <v/>
      </c>
      <c r="J416" s="69"/>
      <c r="K416" s="69"/>
      <c r="L416" s="69"/>
      <c r="M416" s="68"/>
      <c r="N416" s="69"/>
      <c r="O416" s="69"/>
      <c r="P416" s="69"/>
      <c r="Q416" s="67" t="str">
        <f t="shared" si="26"/>
        <v/>
      </c>
      <c r="R416" s="81" t="str">
        <f t="shared" si="27"/>
        <v/>
      </c>
    </row>
    <row r="417" spans="1:18" x14ac:dyDescent="0.3">
      <c r="A417" s="69"/>
      <c r="B417" s="69"/>
      <c r="C417" s="68"/>
      <c r="D417" s="69"/>
      <c r="E417" s="69"/>
      <c r="F417" s="69"/>
      <c r="G417" s="69"/>
      <c r="H417" s="67" t="str">
        <f t="shared" si="24"/>
        <v/>
      </c>
      <c r="I417" s="67" t="str">
        <f t="shared" si="25"/>
        <v/>
      </c>
      <c r="J417" s="69"/>
      <c r="K417" s="69"/>
      <c r="L417" s="69"/>
      <c r="M417" s="68"/>
      <c r="N417" s="69"/>
      <c r="O417" s="69"/>
      <c r="P417" s="69"/>
      <c r="Q417" s="67" t="str">
        <f t="shared" si="26"/>
        <v/>
      </c>
      <c r="R417" s="81" t="str">
        <f t="shared" si="27"/>
        <v/>
      </c>
    </row>
    <row r="418" spans="1:18" x14ac:dyDescent="0.3">
      <c r="A418" s="69"/>
      <c r="B418" s="69"/>
      <c r="C418" s="68"/>
      <c r="D418" s="69"/>
      <c r="E418" s="69"/>
      <c r="F418" s="69"/>
      <c r="G418" s="69"/>
      <c r="H418" s="67" t="str">
        <f t="shared" si="24"/>
        <v/>
      </c>
      <c r="I418" s="67" t="str">
        <f t="shared" si="25"/>
        <v/>
      </c>
      <c r="J418" s="69"/>
      <c r="K418" s="69"/>
      <c r="L418" s="69"/>
      <c r="M418" s="68"/>
      <c r="N418" s="69"/>
      <c r="O418" s="69"/>
      <c r="P418" s="69"/>
      <c r="Q418" s="67" t="str">
        <f t="shared" si="26"/>
        <v/>
      </c>
      <c r="R418" s="81" t="str">
        <f t="shared" si="27"/>
        <v/>
      </c>
    </row>
    <row r="419" spans="1:18" x14ac:dyDescent="0.3">
      <c r="A419" s="69"/>
      <c r="B419" s="69"/>
      <c r="C419" s="68"/>
      <c r="D419" s="69"/>
      <c r="E419" s="69"/>
      <c r="F419" s="69"/>
      <c r="G419" s="69"/>
      <c r="H419" s="67" t="str">
        <f t="shared" si="24"/>
        <v/>
      </c>
      <c r="I419" s="67" t="str">
        <f t="shared" si="25"/>
        <v/>
      </c>
      <c r="J419" s="69"/>
      <c r="K419" s="69"/>
      <c r="L419" s="69"/>
      <c r="M419" s="68"/>
      <c r="N419" s="69"/>
      <c r="O419" s="69"/>
      <c r="P419" s="69"/>
      <c r="Q419" s="67" t="str">
        <f t="shared" si="26"/>
        <v/>
      </c>
      <c r="R419" s="81" t="str">
        <f t="shared" si="27"/>
        <v/>
      </c>
    </row>
    <row r="420" spans="1:18" x14ac:dyDescent="0.3">
      <c r="A420" s="69"/>
      <c r="B420" s="69"/>
      <c r="C420" s="68"/>
      <c r="D420" s="69"/>
      <c r="E420" s="69"/>
      <c r="F420" s="69"/>
      <c r="G420" s="69"/>
      <c r="H420" s="67" t="str">
        <f t="shared" si="24"/>
        <v/>
      </c>
      <c r="I420" s="67" t="str">
        <f t="shared" si="25"/>
        <v/>
      </c>
      <c r="J420" s="69"/>
      <c r="K420" s="69"/>
      <c r="L420" s="69"/>
      <c r="M420" s="68"/>
      <c r="N420" s="69"/>
      <c r="O420" s="69"/>
      <c r="P420" s="69"/>
      <c r="Q420" s="67" t="str">
        <f t="shared" si="26"/>
        <v/>
      </c>
      <c r="R420" s="81" t="str">
        <f t="shared" si="27"/>
        <v/>
      </c>
    </row>
    <row r="421" spans="1:18" x14ac:dyDescent="0.3">
      <c r="A421" s="69"/>
      <c r="B421" s="69"/>
      <c r="C421" s="68"/>
      <c r="D421" s="69"/>
      <c r="E421" s="69"/>
      <c r="F421" s="69"/>
      <c r="G421" s="69"/>
      <c r="H421" s="67" t="str">
        <f t="shared" si="24"/>
        <v/>
      </c>
      <c r="I421" s="67" t="str">
        <f t="shared" si="25"/>
        <v/>
      </c>
      <c r="J421" s="69"/>
      <c r="K421" s="69"/>
      <c r="L421" s="69"/>
      <c r="M421" s="68"/>
      <c r="N421" s="69"/>
      <c r="O421" s="69"/>
      <c r="P421" s="69"/>
      <c r="Q421" s="67" t="str">
        <f t="shared" si="26"/>
        <v/>
      </c>
      <c r="R421" s="81" t="str">
        <f t="shared" si="27"/>
        <v/>
      </c>
    </row>
    <row r="422" spans="1:18" x14ac:dyDescent="0.3">
      <c r="A422" s="69"/>
      <c r="B422" s="69"/>
      <c r="C422" s="68"/>
      <c r="D422" s="69"/>
      <c r="E422" s="69"/>
      <c r="F422" s="69"/>
      <c r="G422" s="69"/>
      <c r="H422" s="67" t="str">
        <f t="shared" si="24"/>
        <v/>
      </c>
      <c r="I422" s="67" t="str">
        <f t="shared" si="25"/>
        <v/>
      </c>
      <c r="J422" s="69"/>
      <c r="K422" s="69"/>
      <c r="L422" s="69"/>
      <c r="M422" s="68"/>
      <c r="N422" s="69"/>
      <c r="O422" s="69"/>
      <c r="P422" s="69"/>
      <c r="Q422" s="67" t="str">
        <f t="shared" si="26"/>
        <v/>
      </c>
      <c r="R422" s="81" t="str">
        <f t="shared" si="27"/>
        <v/>
      </c>
    </row>
    <row r="423" spans="1:18" x14ac:dyDescent="0.3">
      <c r="A423" s="69"/>
      <c r="B423" s="69"/>
      <c r="C423" s="68"/>
      <c r="D423" s="69"/>
      <c r="E423" s="69"/>
      <c r="F423" s="69"/>
      <c r="G423" s="69"/>
      <c r="H423" s="67" t="str">
        <f t="shared" si="24"/>
        <v/>
      </c>
      <c r="I423" s="67" t="str">
        <f t="shared" si="25"/>
        <v/>
      </c>
      <c r="J423" s="69"/>
      <c r="K423" s="69"/>
      <c r="L423" s="69"/>
      <c r="M423" s="68"/>
      <c r="N423" s="69"/>
      <c r="O423" s="69"/>
      <c r="P423" s="69"/>
      <c r="Q423" s="67" t="str">
        <f t="shared" si="26"/>
        <v/>
      </c>
      <c r="R423" s="81" t="str">
        <f t="shared" si="27"/>
        <v/>
      </c>
    </row>
    <row r="424" spans="1:18" x14ac:dyDescent="0.3">
      <c r="A424" s="69"/>
      <c r="B424" s="69"/>
      <c r="C424" s="68"/>
      <c r="D424" s="69"/>
      <c r="E424" s="69"/>
      <c r="F424" s="69"/>
      <c r="G424" s="69"/>
      <c r="H424" s="67" t="str">
        <f t="shared" si="24"/>
        <v/>
      </c>
      <c r="I424" s="67" t="str">
        <f t="shared" si="25"/>
        <v/>
      </c>
      <c r="J424" s="69"/>
      <c r="K424" s="69"/>
      <c r="L424" s="69"/>
      <c r="M424" s="68"/>
      <c r="N424" s="69"/>
      <c r="O424" s="69"/>
      <c r="P424" s="69"/>
      <c r="Q424" s="67" t="str">
        <f t="shared" si="26"/>
        <v/>
      </c>
      <c r="R424" s="81" t="str">
        <f t="shared" si="27"/>
        <v/>
      </c>
    </row>
    <row r="425" spans="1:18" x14ac:dyDescent="0.3">
      <c r="A425" s="69"/>
      <c r="B425" s="69"/>
      <c r="C425" s="68"/>
      <c r="D425" s="69"/>
      <c r="E425" s="69"/>
      <c r="F425" s="69"/>
      <c r="G425" s="69"/>
      <c r="H425" s="67" t="str">
        <f t="shared" si="24"/>
        <v/>
      </c>
      <c r="I425" s="67" t="str">
        <f t="shared" si="25"/>
        <v/>
      </c>
      <c r="J425" s="69"/>
      <c r="K425" s="69"/>
      <c r="L425" s="69"/>
      <c r="M425" s="68"/>
      <c r="N425" s="69"/>
      <c r="O425" s="69"/>
      <c r="P425" s="69"/>
      <c r="Q425" s="67" t="str">
        <f t="shared" si="26"/>
        <v/>
      </c>
      <c r="R425" s="81" t="str">
        <f t="shared" si="27"/>
        <v/>
      </c>
    </row>
    <row r="426" spans="1:18" x14ac:dyDescent="0.3">
      <c r="A426" s="69"/>
      <c r="B426" s="69"/>
      <c r="C426" s="68"/>
      <c r="D426" s="69"/>
      <c r="E426" s="69"/>
      <c r="F426" s="69"/>
      <c r="G426" s="69"/>
      <c r="H426" s="67" t="str">
        <f t="shared" si="24"/>
        <v/>
      </c>
      <c r="I426" s="67" t="str">
        <f t="shared" si="25"/>
        <v/>
      </c>
      <c r="J426" s="69"/>
      <c r="K426" s="69"/>
      <c r="L426" s="69"/>
      <c r="M426" s="68"/>
      <c r="N426" s="69"/>
      <c r="O426" s="69"/>
      <c r="P426" s="69"/>
      <c r="Q426" s="67" t="str">
        <f t="shared" si="26"/>
        <v/>
      </c>
      <c r="R426" s="81" t="str">
        <f t="shared" si="27"/>
        <v/>
      </c>
    </row>
    <row r="427" spans="1:18" x14ac:dyDescent="0.3">
      <c r="A427" s="69"/>
      <c r="B427" s="69"/>
      <c r="C427" s="68"/>
      <c r="D427" s="69"/>
      <c r="E427" s="69"/>
      <c r="F427" s="69"/>
      <c r="G427" s="69"/>
      <c r="H427" s="67" t="str">
        <f t="shared" si="24"/>
        <v/>
      </c>
      <c r="I427" s="67" t="str">
        <f t="shared" si="25"/>
        <v/>
      </c>
      <c r="J427" s="69"/>
      <c r="K427" s="69"/>
      <c r="L427" s="69"/>
      <c r="M427" s="68"/>
      <c r="N427" s="69"/>
      <c r="O427" s="69"/>
      <c r="P427" s="69"/>
      <c r="Q427" s="67" t="str">
        <f t="shared" si="26"/>
        <v/>
      </c>
      <c r="R427" s="81" t="str">
        <f t="shared" si="27"/>
        <v/>
      </c>
    </row>
    <row r="428" spans="1:18" x14ac:dyDescent="0.3">
      <c r="A428" s="69"/>
      <c r="B428" s="69"/>
      <c r="C428" s="68"/>
      <c r="D428" s="69"/>
      <c r="E428" s="69"/>
      <c r="F428" s="69"/>
      <c r="G428" s="69"/>
      <c r="H428" s="67" t="str">
        <f t="shared" si="24"/>
        <v/>
      </c>
      <c r="I428" s="67" t="str">
        <f t="shared" si="25"/>
        <v/>
      </c>
      <c r="J428" s="69"/>
      <c r="K428" s="69"/>
      <c r="L428" s="69"/>
      <c r="M428" s="68"/>
      <c r="N428" s="69"/>
      <c r="O428" s="69"/>
      <c r="P428" s="69"/>
      <c r="Q428" s="67" t="str">
        <f t="shared" si="26"/>
        <v/>
      </c>
      <c r="R428" s="81" t="str">
        <f t="shared" si="27"/>
        <v/>
      </c>
    </row>
    <row r="429" spans="1:18" x14ac:dyDescent="0.3">
      <c r="A429" s="69"/>
      <c r="B429" s="69"/>
      <c r="C429" s="68"/>
      <c r="D429" s="69"/>
      <c r="E429" s="69"/>
      <c r="F429" s="69"/>
      <c r="G429" s="69"/>
      <c r="H429" s="67" t="str">
        <f t="shared" si="24"/>
        <v/>
      </c>
      <c r="I429" s="67" t="str">
        <f t="shared" si="25"/>
        <v/>
      </c>
      <c r="J429" s="69"/>
      <c r="K429" s="69"/>
      <c r="L429" s="69"/>
      <c r="M429" s="68"/>
      <c r="N429" s="69"/>
      <c r="O429" s="69"/>
      <c r="P429" s="69"/>
      <c r="Q429" s="67" t="str">
        <f t="shared" si="26"/>
        <v/>
      </c>
      <c r="R429" s="81" t="str">
        <f t="shared" si="27"/>
        <v/>
      </c>
    </row>
    <row r="430" spans="1:18" x14ac:dyDescent="0.3">
      <c r="A430" s="69"/>
      <c r="B430" s="69"/>
      <c r="C430" s="68"/>
      <c r="D430" s="69"/>
      <c r="E430" s="69"/>
      <c r="F430" s="69"/>
      <c r="G430" s="69"/>
      <c r="H430" s="67" t="str">
        <f t="shared" si="24"/>
        <v/>
      </c>
      <c r="I430" s="67" t="str">
        <f t="shared" si="25"/>
        <v/>
      </c>
      <c r="J430" s="69"/>
      <c r="K430" s="69"/>
      <c r="L430" s="69"/>
      <c r="M430" s="68"/>
      <c r="N430" s="69"/>
      <c r="O430" s="69"/>
      <c r="P430" s="69"/>
      <c r="Q430" s="67" t="str">
        <f t="shared" si="26"/>
        <v/>
      </c>
      <c r="R430" s="81" t="str">
        <f t="shared" si="27"/>
        <v/>
      </c>
    </row>
    <row r="431" spans="1:18" x14ac:dyDescent="0.3">
      <c r="A431" s="69"/>
      <c r="B431" s="69"/>
      <c r="C431" s="68"/>
      <c r="D431" s="69"/>
      <c r="E431" s="69"/>
      <c r="F431" s="69"/>
      <c r="G431" s="69"/>
      <c r="H431" s="67" t="str">
        <f t="shared" si="24"/>
        <v/>
      </c>
      <c r="I431" s="67" t="str">
        <f t="shared" si="25"/>
        <v/>
      </c>
      <c r="J431" s="69"/>
      <c r="K431" s="69"/>
      <c r="L431" s="69"/>
      <c r="M431" s="68"/>
      <c r="N431" s="69"/>
      <c r="O431" s="69"/>
      <c r="P431" s="69"/>
      <c r="Q431" s="67" t="str">
        <f t="shared" si="26"/>
        <v/>
      </c>
      <c r="R431" s="81" t="str">
        <f t="shared" si="27"/>
        <v/>
      </c>
    </row>
    <row r="432" spans="1:18" x14ac:dyDescent="0.3">
      <c r="A432" s="69"/>
      <c r="B432" s="69"/>
      <c r="C432" s="68"/>
      <c r="D432" s="69"/>
      <c r="E432" s="69"/>
      <c r="F432" s="69"/>
      <c r="G432" s="69"/>
      <c r="H432" s="67" t="str">
        <f t="shared" si="24"/>
        <v/>
      </c>
      <c r="I432" s="67" t="str">
        <f t="shared" si="25"/>
        <v/>
      </c>
      <c r="J432" s="69"/>
      <c r="K432" s="69"/>
      <c r="L432" s="69"/>
      <c r="M432" s="68"/>
      <c r="N432" s="69"/>
      <c r="O432" s="69"/>
      <c r="P432" s="69"/>
      <c r="Q432" s="67" t="str">
        <f t="shared" si="26"/>
        <v/>
      </c>
      <c r="R432" s="81" t="str">
        <f t="shared" si="27"/>
        <v/>
      </c>
    </row>
    <row r="433" spans="1:18" x14ac:dyDescent="0.3">
      <c r="A433" s="69"/>
      <c r="B433" s="69"/>
      <c r="C433" s="68"/>
      <c r="D433" s="69"/>
      <c r="E433" s="69"/>
      <c r="F433" s="69"/>
      <c r="G433" s="69"/>
      <c r="H433" s="67" t="str">
        <f t="shared" si="24"/>
        <v/>
      </c>
      <c r="I433" s="67" t="str">
        <f t="shared" si="25"/>
        <v/>
      </c>
      <c r="J433" s="69"/>
      <c r="K433" s="69"/>
      <c r="L433" s="69"/>
      <c r="M433" s="68"/>
      <c r="N433" s="69"/>
      <c r="O433" s="69"/>
      <c r="P433" s="69"/>
      <c r="Q433" s="67" t="str">
        <f t="shared" si="26"/>
        <v/>
      </c>
      <c r="R433" s="81" t="str">
        <f t="shared" si="27"/>
        <v/>
      </c>
    </row>
    <row r="434" spans="1:18" x14ac:dyDescent="0.3">
      <c r="A434" s="69"/>
      <c r="B434" s="69"/>
      <c r="C434" s="68"/>
      <c r="D434" s="69"/>
      <c r="E434" s="69"/>
      <c r="F434" s="69"/>
      <c r="G434" s="69"/>
      <c r="H434" s="67" t="str">
        <f t="shared" si="24"/>
        <v/>
      </c>
      <c r="I434" s="67" t="str">
        <f t="shared" si="25"/>
        <v/>
      </c>
      <c r="J434" s="69"/>
      <c r="K434" s="69"/>
      <c r="L434" s="69"/>
      <c r="M434" s="68"/>
      <c r="N434" s="69"/>
      <c r="O434" s="69"/>
      <c r="P434" s="69"/>
      <c r="Q434" s="67" t="str">
        <f t="shared" si="26"/>
        <v/>
      </c>
      <c r="R434" s="81" t="str">
        <f t="shared" si="27"/>
        <v/>
      </c>
    </row>
    <row r="435" spans="1:18" x14ac:dyDescent="0.3">
      <c r="A435" s="69"/>
      <c r="B435" s="69"/>
      <c r="C435" s="68"/>
      <c r="D435" s="69"/>
      <c r="E435" s="69"/>
      <c r="F435" s="69"/>
      <c r="G435" s="69"/>
      <c r="H435" s="67" t="str">
        <f t="shared" si="24"/>
        <v/>
      </c>
      <c r="I435" s="67" t="str">
        <f t="shared" si="25"/>
        <v/>
      </c>
      <c r="J435" s="69"/>
      <c r="K435" s="69"/>
      <c r="L435" s="69"/>
      <c r="M435" s="68"/>
      <c r="N435" s="69"/>
      <c r="O435" s="69"/>
      <c r="P435" s="69"/>
      <c r="Q435" s="67" t="str">
        <f t="shared" si="26"/>
        <v/>
      </c>
      <c r="R435" s="81" t="str">
        <f t="shared" si="27"/>
        <v/>
      </c>
    </row>
    <row r="436" spans="1:18" x14ac:dyDescent="0.3">
      <c r="A436" s="69"/>
      <c r="B436" s="69"/>
      <c r="C436" s="68"/>
      <c r="D436" s="69"/>
      <c r="E436" s="69"/>
      <c r="F436" s="69"/>
      <c r="G436" s="69"/>
      <c r="H436" s="67" t="str">
        <f t="shared" si="24"/>
        <v/>
      </c>
      <c r="I436" s="67" t="str">
        <f t="shared" si="25"/>
        <v/>
      </c>
      <c r="J436" s="69"/>
      <c r="K436" s="69"/>
      <c r="L436" s="69"/>
      <c r="M436" s="68"/>
      <c r="N436" s="69"/>
      <c r="O436" s="69"/>
      <c r="P436" s="69"/>
      <c r="Q436" s="67" t="str">
        <f t="shared" si="26"/>
        <v/>
      </c>
      <c r="R436" s="81" t="str">
        <f t="shared" si="27"/>
        <v/>
      </c>
    </row>
    <row r="437" spans="1:18" x14ac:dyDescent="0.3">
      <c r="A437" s="69"/>
      <c r="B437" s="69"/>
      <c r="C437" s="68"/>
      <c r="D437" s="69"/>
      <c r="E437" s="69"/>
      <c r="F437" s="69"/>
      <c r="G437" s="69"/>
      <c r="H437" s="67" t="str">
        <f t="shared" si="24"/>
        <v/>
      </c>
      <c r="I437" s="67" t="str">
        <f t="shared" si="25"/>
        <v/>
      </c>
      <c r="J437" s="69"/>
      <c r="K437" s="69"/>
      <c r="L437" s="69"/>
      <c r="M437" s="68"/>
      <c r="N437" s="69"/>
      <c r="O437" s="69"/>
      <c r="P437" s="69"/>
      <c r="Q437" s="67" t="str">
        <f t="shared" si="26"/>
        <v/>
      </c>
      <c r="R437" s="81" t="str">
        <f t="shared" si="27"/>
        <v/>
      </c>
    </row>
    <row r="438" spans="1:18" x14ac:dyDescent="0.3">
      <c r="A438" s="69"/>
      <c r="B438" s="69"/>
      <c r="C438" s="68"/>
      <c r="D438" s="69"/>
      <c r="E438" s="69"/>
      <c r="F438" s="69"/>
      <c r="G438" s="69"/>
      <c r="H438" s="67" t="str">
        <f t="shared" si="24"/>
        <v/>
      </c>
      <c r="I438" s="67" t="str">
        <f t="shared" si="25"/>
        <v/>
      </c>
      <c r="J438" s="69"/>
      <c r="K438" s="69"/>
      <c r="L438" s="69"/>
      <c r="M438" s="68"/>
      <c r="N438" s="69"/>
      <c r="O438" s="69"/>
      <c r="P438" s="69"/>
      <c r="Q438" s="67" t="str">
        <f t="shared" si="26"/>
        <v/>
      </c>
      <c r="R438" s="81" t="str">
        <f t="shared" si="27"/>
        <v/>
      </c>
    </row>
    <row r="439" spans="1:18" x14ac:dyDescent="0.3">
      <c r="A439" s="69"/>
      <c r="B439" s="69"/>
      <c r="C439" s="68"/>
      <c r="D439" s="69"/>
      <c r="E439" s="69"/>
      <c r="F439" s="69"/>
      <c r="G439" s="69"/>
      <c r="H439" s="67" t="str">
        <f t="shared" si="24"/>
        <v/>
      </c>
      <c r="I439" s="67" t="str">
        <f t="shared" si="25"/>
        <v/>
      </c>
      <c r="J439" s="69"/>
      <c r="K439" s="69"/>
      <c r="L439" s="69"/>
      <c r="M439" s="68"/>
      <c r="N439" s="69"/>
      <c r="O439" s="69"/>
      <c r="P439" s="69"/>
      <c r="Q439" s="67" t="str">
        <f t="shared" si="26"/>
        <v/>
      </c>
      <c r="R439" s="81" t="str">
        <f t="shared" si="27"/>
        <v/>
      </c>
    </row>
    <row r="440" spans="1:18" x14ac:dyDescent="0.3">
      <c r="A440" s="69"/>
      <c r="B440" s="69"/>
      <c r="C440" s="68"/>
      <c r="D440" s="69"/>
      <c r="E440" s="69"/>
      <c r="F440" s="69"/>
      <c r="G440" s="69"/>
      <c r="H440" s="67" t="str">
        <f t="shared" si="24"/>
        <v/>
      </c>
      <c r="I440" s="67" t="str">
        <f t="shared" si="25"/>
        <v/>
      </c>
      <c r="J440" s="69"/>
      <c r="K440" s="69"/>
      <c r="L440" s="69"/>
      <c r="M440" s="68"/>
      <c r="N440" s="69"/>
      <c r="O440" s="69"/>
      <c r="P440" s="69"/>
      <c r="Q440" s="67" t="str">
        <f t="shared" si="26"/>
        <v/>
      </c>
      <c r="R440" s="81" t="str">
        <f t="shared" si="27"/>
        <v/>
      </c>
    </row>
    <row r="441" spans="1:18" x14ac:dyDescent="0.3">
      <c r="A441" s="69"/>
      <c r="B441" s="69"/>
      <c r="C441" s="68"/>
      <c r="D441" s="69"/>
      <c r="E441" s="69"/>
      <c r="F441" s="69"/>
      <c r="G441" s="69"/>
      <c r="H441" s="67" t="str">
        <f t="shared" si="24"/>
        <v/>
      </c>
      <c r="I441" s="67" t="str">
        <f t="shared" si="25"/>
        <v/>
      </c>
      <c r="J441" s="69"/>
      <c r="K441" s="69"/>
      <c r="L441" s="69"/>
      <c r="M441" s="68"/>
      <c r="N441" s="69"/>
      <c r="O441" s="69"/>
      <c r="P441" s="69"/>
      <c r="Q441" s="67" t="str">
        <f t="shared" si="26"/>
        <v/>
      </c>
      <c r="R441" s="81" t="str">
        <f t="shared" si="27"/>
        <v/>
      </c>
    </row>
    <row r="442" spans="1:18" x14ac:dyDescent="0.3">
      <c r="A442" s="69"/>
      <c r="B442" s="69"/>
      <c r="C442" s="68"/>
      <c r="D442" s="69"/>
      <c r="E442" s="69"/>
      <c r="F442" s="69"/>
      <c r="G442" s="69"/>
      <c r="H442" s="67" t="str">
        <f t="shared" si="24"/>
        <v/>
      </c>
      <c r="I442" s="67" t="str">
        <f t="shared" si="25"/>
        <v/>
      </c>
      <c r="J442" s="69"/>
      <c r="K442" s="69"/>
      <c r="L442" s="69"/>
      <c r="M442" s="68"/>
      <c r="N442" s="69"/>
      <c r="O442" s="69"/>
      <c r="P442" s="69"/>
      <c r="Q442" s="67" t="str">
        <f t="shared" si="26"/>
        <v/>
      </c>
      <c r="R442" s="81" t="str">
        <f t="shared" si="27"/>
        <v/>
      </c>
    </row>
    <row r="443" spans="1:18" x14ac:dyDescent="0.3">
      <c r="A443" s="69"/>
      <c r="B443" s="69"/>
      <c r="C443" s="68"/>
      <c r="D443" s="69"/>
      <c r="E443" s="69"/>
      <c r="F443" s="69"/>
      <c r="G443" s="69"/>
      <c r="H443" s="67" t="str">
        <f t="shared" si="24"/>
        <v/>
      </c>
      <c r="I443" s="67" t="str">
        <f t="shared" si="25"/>
        <v/>
      </c>
      <c r="J443" s="69"/>
      <c r="K443" s="69"/>
      <c r="L443" s="69"/>
      <c r="M443" s="68"/>
      <c r="N443" s="69"/>
      <c r="O443" s="69"/>
      <c r="P443" s="69"/>
      <c r="Q443" s="67" t="str">
        <f t="shared" si="26"/>
        <v/>
      </c>
      <c r="R443" s="81" t="str">
        <f t="shared" si="27"/>
        <v/>
      </c>
    </row>
    <row r="444" spans="1:18" x14ac:dyDescent="0.3">
      <c r="A444" s="69"/>
      <c r="B444" s="69"/>
      <c r="C444" s="68"/>
      <c r="D444" s="69"/>
      <c r="E444" s="69"/>
      <c r="F444" s="69"/>
      <c r="G444" s="69"/>
      <c r="H444" s="67" t="str">
        <f t="shared" si="24"/>
        <v/>
      </c>
      <c r="I444" s="67" t="str">
        <f t="shared" si="25"/>
        <v/>
      </c>
      <c r="J444" s="69"/>
      <c r="K444" s="69"/>
      <c r="L444" s="69"/>
      <c r="M444" s="68"/>
      <c r="N444" s="69"/>
      <c r="O444" s="69"/>
      <c r="P444" s="69"/>
      <c r="Q444" s="67" t="str">
        <f t="shared" si="26"/>
        <v/>
      </c>
      <c r="R444" s="81" t="str">
        <f t="shared" si="27"/>
        <v/>
      </c>
    </row>
    <row r="445" spans="1:18" x14ac:dyDescent="0.3">
      <c r="A445" s="69"/>
      <c r="B445" s="69"/>
      <c r="C445" s="68"/>
      <c r="D445" s="69"/>
      <c r="E445" s="69"/>
      <c r="F445" s="69"/>
      <c r="G445" s="69"/>
      <c r="H445" s="67" t="str">
        <f t="shared" si="24"/>
        <v/>
      </c>
      <c r="I445" s="67" t="str">
        <f t="shared" si="25"/>
        <v/>
      </c>
      <c r="J445" s="69"/>
      <c r="K445" s="69"/>
      <c r="L445" s="69"/>
      <c r="M445" s="68"/>
      <c r="N445" s="69"/>
      <c r="O445" s="69"/>
      <c r="P445" s="69"/>
      <c r="Q445" s="67" t="str">
        <f t="shared" si="26"/>
        <v/>
      </c>
      <c r="R445" s="81" t="str">
        <f t="shared" si="27"/>
        <v/>
      </c>
    </row>
    <row r="446" spans="1:18" x14ac:dyDescent="0.3">
      <c r="A446" s="69"/>
      <c r="B446" s="69"/>
      <c r="C446" s="68"/>
      <c r="D446" s="69"/>
      <c r="E446" s="69"/>
      <c r="F446" s="69"/>
      <c r="G446" s="69"/>
      <c r="H446" s="67" t="str">
        <f t="shared" si="24"/>
        <v/>
      </c>
      <c r="I446" s="67" t="str">
        <f t="shared" si="25"/>
        <v/>
      </c>
      <c r="J446" s="69"/>
      <c r="K446" s="69"/>
      <c r="L446" s="69"/>
      <c r="M446" s="68"/>
      <c r="N446" s="69"/>
      <c r="O446" s="69"/>
      <c r="P446" s="69"/>
      <c r="Q446" s="67" t="str">
        <f t="shared" si="26"/>
        <v/>
      </c>
      <c r="R446" s="81" t="str">
        <f t="shared" si="27"/>
        <v/>
      </c>
    </row>
    <row r="447" spans="1:18" x14ac:dyDescent="0.3">
      <c r="A447" s="69"/>
      <c r="B447" s="69"/>
      <c r="C447" s="68"/>
      <c r="D447" s="69"/>
      <c r="E447" s="69"/>
      <c r="F447" s="69"/>
      <c r="G447" s="69"/>
      <c r="H447" s="67" t="str">
        <f t="shared" si="24"/>
        <v/>
      </c>
      <c r="I447" s="67" t="str">
        <f t="shared" si="25"/>
        <v/>
      </c>
      <c r="J447" s="69"/>
      <c r="K447" s="69"/>
      <c r="L447" s="69"/>
      <c r="M447" s="68"/>
      <c r="N447" s="69"/>
      <c r="O447" s="69"/>
      <c r="P447" s="69"/>
      <c r="Q447" s="67" t="str">
        <f t="shared" si="26"/>
        <v/>
      </c>
      <c r="R447" s="81" t="str">
        <f t="shared" si="27"/>
        <v/>
      </c>
    </row>
    <row r="448" spans="1:18" x14ac:dyDescent="0.3">
      <c r="A448" s="69"/>
      <c r="B448" s="69"/>
      <c r="C448" s="68"/>
      <c r="D448" s="69"/>
      <c r="E448" s="69"/>
      <c r="F448" s="69"/>
      <c r="G448" s="69"/>
      <c r="H448" s="67" t="str">
        <f t="shared" si="24"/>
        <v/>
      </c>
      <c r="I448" s="67" t="str">
        <f t="shared" si="25"/>
        <v/>
      </c>
      <c r="J448" s="69"/>
      <c r="K448" s="69"/>
      <c r="L448" s="69"/>
      <c r="M448" s="68"/>
      <c r="N448" s="69"/>
      <c r="O448" s="69"/>
      <c r="P448" s="69"/>
      <c r="Q448" s="67" t="str">
        <f t="shared" si="26"/>
        <v/>
      </c>
      <c r="R448" s="81" t="str">
        <f t="shared" si="27"/>
        <v/>
      </c>
    </row>
    <row r="449" spans="1:18" x14ac:dyDescent="0.3">
      <c r="A449" s="69"/>
      <c r="B449" s="69"/>
      <c r="C449" s="68"/>
      <c r="D449" s="69"/>
      <c r="E449" s="69"/>
      <c r="F449" s="69"/>
      <c r="G449" s="69"/>
      <c r="H449" s="67" t="str">
        <f t="shared" si="24"/>
        <v/>
      </c>
      <c r="I449" s="67" t="str">
        <f t="shared" si="25"/>
        <v/>
      </c>
      <c r="J449" s="69"/>
      <c r="K449" s="69"/>
      <c r="L449" s="69"/>
      <c r="M449" s="68"/>
      <c r="N449" s="69"/>
      <c r="O449" s="69"/>
      <c r="P449" s="69"/>
      <c r="Q449" s="67" t="str">
        <f t="shared" si="26"/>
        <v/>
      </c>
      <c r="R449" s="81" t="str">
        <f t="shared" si="27"/>
        <v/>
      </c>
    </row>
    <row r="450" spans="1:18" x14ac:dyDescent="0.3">
      <c r="A450" s="69"/>
      <c r="B450" s="69"/>
      <c r="C450" s="68"/>
      <c r="D450" s="69"/>
      <c r="E450" s="69"/>
      <c r="F450" s="69"/>
      <c r="G450" s="69"/>
      <c r="H450" s="67" t="str">
        <f t="shared" si="24"/>
        <v/>
      </c>
      <c r="I450" s="67" t="str">
        <f t="shared" si="25"/>
        <v/>
      </c>
      <c r="J450" s="69"/>
      <c r="K450" s="69"/>
      <c r="L450" s="69"/>
      <c r="M450" s="68"/>
      <c r="N450" s="69"/>
      <c r="O450" s="69"/>
      <c r="P450" s="69"/>
      <c r="Q450" s="67" t="str">
        <f t="shared" si="26"/>
        <v/>
      </c>
      <c r="R450" s="81" t="str">
        <f t="shared" si="27"/>
        <v/>
      </c>
    </row>
    <row r="451" spans="1:18" x14ac:dyDescent="0.3">
      <c r="A451" s="69"/>
      <c r="B451" s="69"/>
      <c r="C451" s="68"/>
      <c r="D451" s="69"/>
      <c r="E451" s="69"/>
      <c r="F451" s="69"/>
      <c r="G451" s="69"/>
      <c r="H451" s="67" t="str">
        <f t="shared" si="24"/>
        <v/>
      </c>
      <c r="I451" s="67" t="str">
        <f t="shared" si="25"/>
        <v/>
      </c>
      <c r="J451" s="69"/>
      <c r="K451" s="69"/>
      <c r="L451" s="69"/>
      <c r="M451" s="68"/>
      <c r="N451" s="69"/>
      <c r="O451" s="69"/>
      <c r="P451" s="69"/>
      <c r="Q451" s="67" t="str">
        <f t="shared" si="26"/>
        <v/>
      </c>
      <c r="R451" s="81" t="str">
        <f t="shared" si="27"/>
        <v/>
      </c>
    </row>
    <row r="452" spans="1:18" x14ac:dyDescent="0.3">
      <c r="A452" s="69"/>
      <c r="B452" s="69"/>
      <c r="C452" s="68"/>
      <c r="D452" s="69"/>
      <c r="E452" s="69"/>
      <c r="F452" s="69"/>
      <c r="G452" s="69"/>
      <c r="H452" s="67" t="str">
        <f t="shared" si="24"/>
        <v/>
      </c>
      <c r="I452" s="67" t="str">
        <f t="shared" si="25"/>
        <v/>
      </c>
      <c r="J452" s="69"/>
      <c r="K452" s="69"/>
      <c r="L452" s="69"/>
      <c r="M452" s="68"/>
      <c r="N452" s="69"/>
      <c r="O452" s="69"/>
      <c r="P452" s="69"/>
      <c r="Q452" s="67" t="str">
        <f t="shared" si="26"/>
        <v/>
      </c>
      <c r="R452" s="81" t="str">
        <f t="shared" si="27"/>
        <v/>
      </c>
    </row>
    <row r="453" spans="1:18" x14ac:dyDescent="0.3">
      <c r="A453" s="69"/>
      <c r="B453" s="69"/>
      <c r="C453" s="68"/>
      <c r="D453" s="69"/>
      <c r="E453" s="69"/>
      <c r="F453" s="69"/>
      <c r="G453" s="69"/>
      <c r="H453" s="67" t="str">
        <f t="shared" ref="H453:H516" si="28">IF(OR(F453="",G453=""),"",F453*G453)</f>
        <v/>
      </c>
      <c r="I453" s="67" t="str">
        <f t="shared" ref="I453:I516" si="29">IF(H453="","",IF(H453&gt;=15,"High",IF(H453&gt;=8,"Medium","Low")))</f>
        <v/>
      </c>
      <c r="J453" s="69"/>
      <c r="K453" s="69"/>
      <c r="L453" s="69"/>
      <c r="M453" s="68"/>
      <c r="N453" s="69"/>
      <c r="O453" s="69"/>
      <c r="P453" s="69"/>
      <c r="Q453" s="67" t="str">
        <f t="shared" ref="Q453:Q516" si="30">IF(OR(O453="",P453=""),"",O453*P453)</f>
        <v/>
      </c>
      <c r="R453" s="81" t="str">
        <f t="shared" ref="R453:R516" si="31">IF(OR(H453="",Q453=""),"",1-Q453/H453)</f>
        <v/>
      </c>
    </row>
    <row r="454" spans="1:18" x14ac:dyDescent="0.3">
      <c r="A454" s="69"/>
      <c r="B454" s="69"/>
      <c r="C454" s="68"/>
      <c r="D454" s="69"/>
      <c r="E454" s="69"/>
      <c r="F454" s="69"/>
      <c r="G454" s="69"/>
      <c r="H454" s="67" t="str">
        <f t="shared" si="28"/>
        <v/>
      </c>
      <c r="I454" s="67" t="str">
        <f t="shared" si="29"/>
        <v/>
      </c>
      <c r="J454" s="69"/>
      <c r="K454" s="69"/>
      <c r="L454" s="69"/>
      <c r="M454" s="68"/>
      <c r="N454" s="69"/>
      <c r="O454" s="69"/>
      <c r="P454" s="69"/>
      <c r="Q454" s="67" t="str">
        <f t="shared" si="30"/>
        <v/>
      </c>
      <c r="R454" s="81" t="str">
        <f t="shared" si="31"/>
        <v/>
      </c>
    </row>
    <row r="455" spans="1:18" x14ac:dyDescent="0.3">
      <c r="A455" s="69"/>
      <c r="B455" s="69"/>
      <c r="C455" s="68"/>
      <c r="D455" s="69"/>
      <c r="E455" s="69"/>
      <c r="F455" s="69"/>
      <c r="G455" s="69"/>
      <c r="H455" s="67" t="str">
        <f t="shared" si="28"/>
        <v/>
      </c>
      <c r="I455" s="67" t="str">
        <f t="shared" si="29"/>
        <v/>
      </c>
      <c r="J455" s="69"/>
      <c r="K455" s="69"/>
      <c r="L455" s="69"/>
      <c r="M455" s="68"/>
      <c r="N455" s="69"/>
      <c r="O455" s="69"/>
      <c r="P455" s="69"/>
      <c r="Q455" s="67" t="str">
        <f t="shared" si="30"/>
        <v/>
      </c>
      <c r="R455" s="81" t="str">
        <f t="shared" si="31"/>
        <v/>
      </c>
    </row>
    <row r="456" spans="1:18" x14ac:dyDescent="0.3">
      <c r="A456" s="69"/>
      <c r="B456" s="69"/>
      <c r="C456" s="68"/>
      <c r="D456" s="69"/>
      <c r="E456" s="69"/>
      <c r="F456" s="69"/>
      <c r="G456" s="69"/>
      <c r="H456" s="67" t="str">
        <f t="shared" si="28"/>
        <v/>
      </c>
      <c r="I456" s="67" t="str">
        <f t="shared" si="29"/>
        <v/>
      </c>
      <c r="J456" s="69"/>
      <c r="K456" s="69"/>
      <c r="L456" s="69"/>
      <c r="M456" s="68"/>
      <c r="N456" s="69"/>
      <c r="O456" s="69"/>
      <c r="P456" s="69"/>
      <c r="Q456" s="67" t="str">
        <f t="shared" si="30"/>
        <v/>
      </c>
      <c r="R456" s="81" t="str">
        <f t="shared" si="31"/>
        <v/>
      </c>
    </row>
    <row r="457" spans="1:18" x14ac:dyDescent="0.3">
      <c r="A457" s="69"/>
      <c r="B457" s="69"/>
      <c r="C457" s="68"/>
      <c r="D457" s="69"/>
      <c r="E457" s="69"/>
      <c r="F457" s="69"/>
      <c r="G457" s="69"/>
      <c r="H457" s="67" t="str">
        <f t="shared" si="28"/>
        <v/>
      </c>
      <c r="I457" s="67" t="str">
        <f t="shared" si="29"/>
        <v/>
      </c>
      <c r="J457" s="69"/>
      <c r="K457" s="69"/>
      <c r="L457" s="69"/>
      <c r="M457" s="68"/>
      <c r="N457" s="69"/>
      <c r="O457" s="69"/>
      <c r="P457" s="69"/>
      <c r="Q457" s="67" t="str">
        <f t="shared" si="30"/>
        <v/>
      </c>
      <c r="R457" s="81" t="str">
        <f t="shared" si="31"/>
        <v/>
      </c>
    </row>
    <row r="458" spans="1:18" x14ac:dyDescent="0.3">
      <c r="A458" s="69"/>
      <c r="B458" s="69"/>
      <c r="C458" s="68"/>
      <c r="D458" s="69"/>
      <c r="E458" s="69"/>
      <c r="F458" s="69"/>
      <c r="G458" s="69"/>
      <c r="H458" s="67" t="str">
        <f t="shared" si="28"/>
        <v/>
      </c>
      <c r="I458" s="67" t="str">
        <f t="shared" si="29"/>
        <v/>
      </c>
      <c r="J458" s="69"/>
      <c r="K458" s="69"/>
      <c r="L458" s="69"/>
      <c r="M458" s="68"/>
      <c r="N458" s="69"/>
      <c r="O458" s="69"/>
      <c r="P458" s="69"/>
      <c r="Q458" s="67" t="str">
        <f t="shared" si="30"/>
        <v/>
      </c>
      <c r="R458" s="81" t="str">
        <f t="shared" si="31"/>
        <v/>
      </c>
    </row>
    <row r="459" spans="1:18" x14ac:dyDescent="0.3">
      <c r="A459" s="69"/>
      <c r="B459" s="69"/>
      <c r="C459" s="68"/>
      <c r="D459" s="69"/>
      <c r="E459" s="69"/>
      <c r="F459" s="69"/>
      <c r="G459" s="69"/>
      <c r="H459" s="67" t="str">
        <f t="shared" si="28"/>
        <v/>
      </c>
      <c r="I459" s="67" t="str">
        <f t="shared" si="29"/>
        <v/>
      </c>
      <c r="J459" s="69"/>
      <c r="K459" s="69"/>
      <c r="L459" s="69"/>
      <c r="M459" s="68"/>
      <c r="N459" s="69"/>
      <c r="O459" s="69"/>
      <c r="P459" s="69"/>
      <c r="Q459" s="67" t="str">
        <f t="shared" si="30"/>
        <v/>
      </c>
      <c r="R459" s="81" t="str">
        <f t="shared" si="31"/>
        <v/>
      </c>
    </row>
    <row r="460" spans="1:18" x14ac:dyDescent="0.3">
      <c r="A460" s="69"/>
      <c r="B460" s="69"/>
      <c r="C460" s="68"/>
      <c r="D460" s="69"/>
      <c r="E460" s="69"/>
      <c r="F460" s="69"/>
      <c r="G460" s="69"/>
      <c r="H460" s="67" t="str">
        <f t="shared" si="28"/>
        <v/>
      </c>
      <c r="I460" s="67" t="str">
        <f t="shared" si="29"/>
        <v/>
      </c>
      <c r="J460" s="69"/>
      <c r="K460" s="69"/>
      <c r="L460" s="69"/>
      <c r="M460" s="68"/>
      <c r="N460" s="69"/>
      <c r="O460" s="69"/>
      <c r="P460" s="69"/>
      <c r="Q460" s="67" t="str">
        <f t="shared" si="30"/>
        <v/>
      </c>
      <c r="R460" s="81" t="str">
        <f t="shared" si="31"/>
        <v/>
      </c>
    </row>
    <row r="461" spans="1:18" x14ac:dyDescent="0.3">
      <c r="A461" s="69"/>
      <c r="B461" s="69"/>
      <c r="C461" s="68"/>
      <c r="D461" s="69"/>
      <c r="E461" s="69"/>
      <c r="F461" s="69"/>
      <c r="G461" s="69"/>
      <c r="H461" s="67" t="str">
        <f t="shared" si="28"/>
        <v/>
      </c>
      <c r="I461" s="67" t="str">
        <f t="shared" si="29"/>
        <v/>
      </c>
      <c r="J461" s="69"/>
      <c r="K461" s="69"/>
      <c r="L461" s="69"/>
      <c r="M461" s="68"/>
      <c r="N461" s="69"/>
      <c r="O461" s="69"/>
      <c r="P461" s="69"/>
      <c r="Q461" s="67" t="str">
        <f t="shared" si="30"/>
        <v/>
      </c>
      <c r="R461" s="81" t="str">
        <f t="shared" si="31"/>
        <v/>
      </c>
    </row>
    <row r="462" spans="1:18" x14ac:dyDescent="0.3">
      <c r="A462" s="69"/>
      <c r="B462" s="69"/>
      <c r="C462" s="68"/>
      <c r="D462" s="69"/>
      <c r="E462" s="69"/>
      <c r="F462" s="69"/>
      <c r="G462" s="69"/>
      <c r="H462" s="67" t="str">
        <f t="shared" si="28"/>
        <v/>
      </c>
      <c r="I462" s="67" t="str">
        <f t="shared" si="29"/>
        <v/>
      </c>
      <c r="J462" s="69"/>
      <c r="K462" s="69"/>
      <c r="L462" s="69"/>
      <c r="M462" s="68"/>
      <c r="N462" s="69"/>
      <c r="O462" s="69"/>
      <c r="P462" s="69"/>
      <c r="Q462" s="67" t="str">
        <f t="shared" si="30"/>
        <v/>
      </c>
      <c r="R462" s="81" t="str">
        <f t="shared" si="31"/>
        <v/>
      </c>
    </row>
    <row r="463" spans="1:18" x14ac:dyDescent="0.3">
      <c r="A463" s="69"/>
      <c r="B463" s="69"/>
      <c r="C463" s="68"/>
      <c r="D463" s="69"/>
      <c r="E463" s="69"/>
      <c r="F463" s="69"/>
      <c r="G463" s="69"/>
      <c r="H463" s="67" t="str">
        <f t="shared" si="28"/>
        <v/>
      </c>
      <c r="I463" s="67" t="str">
        <f t="shared" si="29"/>
        <v/>
      </c>
      <c r="J463" s="69"/>
      <c r="K463" s="69"/>
      <c r="L463" s="69"/>
      <c r="M463" s="68"/>
      <c r="N463" s="69"/>
      <c r="O463" s="69"/>
      <c r="P463" s="69"/>
      <c r="Q463" s="67" t="str">
        <f t="shared" si="30"/>
        <v/>
      </c>
      <c r="R463" s="81" t="str">
        <f t="shared" si="31"/>
        <v/>
      </c>
    </row>
    <row r="464" spans="1:18" x14ac:dyDescent="0.3">
      <c r="A464" s="69"/>
      <c r="B464" s="69"/>
      <c r="C464" s="68"/>
      <c r="D464" s="69"/>
      <c r="E464" s="69"/>
      <c r="F464" s="69"/>
      <c r="G464" s="69"/>
      <c r="H464" s="67" t="str">
        <f t="shared" si="28"/>
        <v/>
      </c>
      <c r="I464" s="67" t="str">
        <f t="shared" si="29"/>
        <v/>
      </c>
      <c r="J464" s="69"/>
      <c r="K464" s="69"/>
      <c r="L464" s="69"/>
      <c r="M464" s="68"/>
      <c r="N464" s="69"/>
      <c r="O464" s="69"/>
      <c r="P464" s="69"/>
      <c r="Q464" s="67" t="str">
        <f t="shared" si="30"/>
        <v/>
      </c>
      <c r="R464" s="81" t="str">
        <f t="shared" si="31"/>
        <v/>
      </c>
    </row>
    <row r="465" spans="1:18" x14ac:dyDescent="0.3">
      <c r="A465" s="69"/>
      <c r="B465" s="69"/>
      <c r="C465" s="68"/>
      <c r="D465" s="69"/>
      <c r="E465" s="69"/>
      <c r="F465" s="69"/>
      <c r="G465" s="69"/>
      <c r="H465" s="67" t="str">
        <f t="shared" si="28"/>
        <v/>
      </c>
      <c r="I465" s="67" t="str">
        <f t="shared" si="29"/>
        <v/>
      </c>
      <c r="J465" s="69"/>
      <c r="K465" s="69"/>
      <c r="L465" s="69"/>
      <c r="M465" s="68"/>
      <c r="N465" s="69"/>
      <c r="O465" s="69"/>
      <c r="P465" s="69"/>
      <c r="Q465" s="67" t="str">
        <f t="shared" si="30"/>
        <v/>
      </c>
      <c r="R465" s="81" t="str">
        <f t="shared" si="31"/>
        <v/>
      </c>
    </row>
    <row r="466" spans="1:18" x14ac:dyDescent="0.3">
      <c r="A466" s="69"/>
      <c r="B466" s="69"/>
      <c r="C466" s="68"/>
      <c r="D466" s="69"/>
      <c r="E466" s="69"/>
      <c r="F466" s="69"/>
      <c r="G466" s="69"/>
      <c r="H466" s="67" t="str">
        <f t="shared" si="28"/>
        <v/>
      </c>
      <c r="I466" s="67" t="str">
        <f t="shared" si="29"/>
        <v/>
      </c>
      <c r="J466" s="69"/>
      <c r="K466" s="69"/>
      <c r="L466" s="69"/>
      <c r="M466" s="68"/>
      <c r="N466" s="69"/>
      <c r="O466" s="69"/>
      <c r="P466" s="69"/>
      <c r="Q466" s="67" t="str">
        <f t="shared" si="30"/>
        <v/>
      </c>
      <c r="R466" s="81" t="str">
        <f t="shared" si="31"/>
        <v/>
      </c>
    </row>
    <row r="467" spans="1:18" x14ac:dyDescent="0.3">
      <c r="A467" s="69"/>
      <c r="B467" s="69"/>
      <c r="C467" s="68"/>
      <c r="D467" s="69"/>
      <c r="E467" s="69"/>
      <c r="F467" s="69"/>
      <c r="G467" s="69"/>
      <c r="H467" s="67" t="str">
        <f t="shared" si="28"/>
        <v/>
      </c>
      <c r="I467" s="67" t="str">
        <f t="shared" si="29"/>
        <v/>
      </c>
      <c r="J467" s="69"/>
      <c r="K467" s="69"/>
      <c r="L467" s="69"/>
      <c r="M467" s="68"/>
      <c r="N467" s="69"/>
      <c r="O467" s="69"/>
      <c r="P467" s="69"/>
      <c r="Q467" s="67" t="str">
        <f t="shared" si="30"/>
        <v/>
      </c>
      <c r="R467" s="81" t="str">
        <f t="shared" si="31"/>
        <v/>
      </c>
    </row>
    <row r="468" spans="1:18" x14ac:dyDescent="0.3">
      <c r="A468" s="69"/>
      <c r="B468" s="69"/>
      <c r="C468" s="68"/>
      <c r="D468" s="69"/>
      <c r="E468" s="69"/>
      <c r="F468" s="69"/>
      <c r="G468" s="69"/>
      <c r="H468" s="67" t="str">
        <f t="shared" si="28"/>
        <v/>
      </c>
      <c r="I468" s="67" t="str">
        <f t="shared" si="29"/>
        <v/>
      </c>
      <c r="J468" s="69"/>
      <c r="K468" s="69"/>
      <c r="L468" s="69"/>
      <c r="M468" s="68"/>
      <c r="N468" s="69"/>
      <c r="O468" s="69"/>
      <c r="P468" s="69"/>
      <c r="Q468" s="67" t="str">
        <f t="shared" si="30"/>
        <v/>
      </c>
      <c r="R468" s="81" t="str">
        <f t="shared" si="31"/>
        <v/>
      </c>
    </row>
    <row r="469" spans="1:18" x14ac:dyDescent="0.3">
      <c r="A469" s="69"/>
      <c r="B469" s="69"/>
      <c r="C469" s="68"/>
      <c r="D469" s="69"/>
      <c r="E469" s="69"/>
      <c r="F469" s="69"/>
      <c r="G469" s="69"/>
      <c r="H469" s="67" t="str">
        <f t="shared" si="28"/>
        <v/>
      </c>
      <c r="I469" s="67" t="str">
        <f t="shared" si="29"/>
        <v/>
      </c>
      <c r="J469" s="69"/>
      <c r="K469" s="69"/>
      <c r="L469" s="69"/>
      <c r="M469" s="68"/>
      <c r="N469" s="69"/>
      <c r="O469" s="69"/>
      <c r="P469" s="69"/>
      <c r="Q469" s="67" t="str">
        <f t="shared" si="30"/>
        <v/>
      </c>
      <c r="R469" s="81" t="str">
        <f t="shared" si="31"/>
        <v/>
      </c>
    </row>
    <row r="470" spans="1:18" x14ac:dyDescent="0.3">
      <c r="A470" s="69"/>
      <c r="B470" s="69"/>
      <c r="C470" s="68"/>
      <c r="D470" s="69"/>
      <c r="E470" s="69"/>
      <c r="F470" s="69"/>
      <c r="G470" s="69"/>
      <c r="H470" s="67" t="str">
        <f t="shared" si="28"/>
        <v/>
      </c>
      <c r="I470" s="67" t="str">
        <f t="shared" si="29"/>
        <v/>
      </c>
      <c r="J470" s="69"/>
      <c r="K470" s="69"/>
      <c r="L470" s="69"/>
      <c r="M470" s="68"/>
      <c r="N470" s="69"/>
      <c r="O470" s="69"/>
      <c r="P470" s="69"/>
      <c r="Q470" s="67" t="str">
        <f t="shared" si="30"/>
        <v/>
      </c>
      <c r="R470" s="81" t="str">
        <f t="shared" si="31"/>
        <v/>
      </c>
    </row>
    <row r="471" spans="1:18" x14ac:dyDescent="0.3">
      <c r="A471" s="69"/>
      <c r="B471" s="69"/>
      <c r="C471" s="68"/>
      <c r="D471" s="69"/>
      <c r="E471" s="69"/>
      <c r="F471" s="69"/>
      <c r="G471" s="69"/>
      <c r="H471" s="67" t="str">
        <f t="shared" si="28"/>
        <v/>
      </c>
      <c r="I471" s="67" t="str">
        <f t="shared" si="29"/>
        <v/>
      </c>
      <c r="J471" s="69"/>
      <c r="K471" s="69"/>
      <c r="L471" s="69"/>
      <c r="M471" s="68"/>
      <c r="N471" s="69"/>
      <c r="O471" s="69"/>
      <c r="P471" s="69"/>
      <c r="Q471" s="67" t="str">
        <f t="shared" si="30"/>
        <v/>
      </c>
      <c r="R471" s="81" t="str">
        <f t="shared" si="31"/>
        <v/>
      </c>
    </row>
    <row r="472" spans="1:18" x14ac:dyDescent="0.3">
      <c r="A472" s="69"/>
      <c r="B472" s="69"/>
      <c r="C472" s="68"/>
      <c r="D472" s="69"/>
      <c r="E472" s="69"/>
      <c r="F472" s="69"/>
      <c r="G472" s="69"/>
      <c r="H472" s="67" t="str">
        <f t="shared" si="28"/>
        <v/>
      </c>
      <c r="I472" s="67" t="str">
        <f t="shared" si="29"/>
        <v/>
      </c>
      <c r="J472" s="69"/>
      <c r="K472" s="69"/>
      <c r="L472" s="69"/>
      <c r="M472" s="68"/>
      <c r="N472" s="69"/>
      <c r="O472" s="69"/>
      <c r="P472" s="69"/>
      <c r="Q472" s="67" t="str">
        <f t="shared" si="30"/>
        <v/>
      </c>
      <c r="R472" s="81" t="str">
        <f t="shared" si="31"/>
        <v/>
      </c>
    </row>
    <row r="473" spans="1:18" x14ac:dyDescent="0.3">
      <c r="A473" s="69"/>
      <c r="B473" s="69"/>
      <c r="C473" s="68"/>
      <c r="D473" s="69"/>
      <c r="E473" s="69"/>
      <c r="F473" s="69"/>
      <c r="G473" s="69"/>
      <c r="H473" s="67" t="str">
        <f t="shared" si="28"/>
        <v/>
      </c>
      <c r="I473" s="67" t="str">
        <f t="shared" si="29"/>
        <v/>
      </c>
      <c r="J473" s="69"/>
      <c r="K473" s="69"/>
      <c r="L473" s="69"/>
      <c r="M473" s="68"/>
      <c r="N473" s="69"/>
      <c r="O473" s="69"/>
      <c r="P473" s="69"/>
      <c r="Q473" s="67" t="str">
        <f t="shared" si="30"/>
        <v/>
      </c>
      <c r="R473" s="81" t="str">
        <f t="shared" si="31"/>
        <v/>
      </c>
    </row>
    <row r="474" spans="1:18" x14ac:dyDescent="0.3">
      <c r="A474" s="69"/>
      <c r="B474" s="69"/>
      <c r="C474" s="68"/>
      <c r="D474" s="69"/>
      <c r="E474" s="69"/>
      <c r="F474" s="69"/>
      <c r="G474" s="69"/>
      <c r="H474" s="67" t="str">
        <f t="shared" si="28"/>
        <v/>
      </c>
      <c r="I474" s="67" t="str">
        <f t="shared" si="29"/>
        <v/>
      </c>
      <c r="J474" s="69"/>
      <c r="K474" s="69"/>
      <c r="L474" s="69"/>
      <c r="M474" s="68"/>
      <c r="N474" s="69"/>
      <c r="O474" s="69"/>
      <c r="P474" s="69"/>
      <c r="Q474" s="67" t="str">
        <f t="shared" si="30"/>
        <v/>
      </c>
      <c r="R474" s="81" t="str">
        <f t="shared" si="31"/>
        <v/>
      </c>
    </row>
    <row r="475" spans="1:18" x14ac:dyDescent="0.3">
      <c r="A475" s="69"/>
      <c r="B475" s="69"/>
      <c r="C475" s="68"/>
      <c r="D475" s="69"/>
      <c r="E475" s="69"/>
      <c r="F475" s="69"/>
      <c r="G475" s="69"/>
      <c r="H475" s="67" t="str">
        <f t="shared" si="28"/>
        <v/>
      </c>
      <c r="I475" s="67" t="str">
        <f t="shared" si="29"/>
        <v/>
      </c>
      <c r="J475" s="69"/>
      <c r="K475" s="69"/>
      <c r="L475" s="69"/>
      <c r="M475" s="68"/>
      <c r="N475" s="69"/>
      <c r="O475" s="69"/>
      <c r="P475" s="69"/>
      <c r="Q475" s="67" t="str">
        <f t="shared" si="30"/>
        <v/>
      </c>
      <c r="R475" s="81" t="str">
        <f t="shared" si="31"/>
        <v/>
      </c>
    </row>
    <row r="476" spans="1:18" x14ac:dyDescent="0.3">
      <c r="A476" s="69"/>
      <c r="B476" s="69"/>
      <c r="C476" s="68"/>
      <c r="D476" s="69"/>
      <c r="E476" s="69"/>
      <c r="F476" s="69"/>
      <c r="G476" s="69"/>
      <c r="H476" s="67" t="str">
        <f t="shared" si="28"/>
        <v/>
      </c>
      <c r="I476" s="67" t="str">
        <f t="shared" si="29"/>
        <v/>
      </c>
      <c r="J476" s="69"/>
      <c r="K476" s="69"/>
      <c r="L476" s="69"/>
      <c r="M476" s="68"/>
      <c r="N476" s="69"/>
      <c r="O476" s="69"/>
      <c r="P476" s="69"/>
      <c r="Q476" s="67" t="str">
        <f t="shared" si="30"/>
        <v/>
      </c>
      <c r="R476" s="81" t="str">
        <f t="shared" si="31"/>
        <v/>
      </c>
    </row>
    <row r="477" spans="1:18" x14ac:dyDescent="0.3">
      <c r="A477" s="69"/>
      <c r="B477" s="69"/>
      <c r="C477" s="68"/>
      <c r="D477" s="69"/>
      <c r="E477" s="69"/>
      <c r="F477" s="69"/>
      <c r="G477" s="69"/>
      <c r="H477" s="67" t="str">
        <f t="shared" si="28"/>
        <v/>
      </c>
      <c r="I477" s="67" t="str">
        <f t="shared" si="29"/>
        <v/>
      </c>
      <c r="J477" s="69"/>
      <c r="K477" s="69"/>
      <c r="L477" s="69"/>
      <c r="M477" s="68"/>
      <c r="N477" s="69"/>
      <c r="O477" s="69"/>
      <c r="P477" s="69"/>
      <c r="Q477" s="67" t="str">
        <f t="shared" si="30"/>
        <v/>
      </c>
      <c r="R477" s="81" t="str">
        <f t="shared" si="31"/>
        <v/>
      </c>
    </row>
    <row r="478" spans="1:18" x14ac:dyDescent="0.3">
      <c r="A478" s="69"/>
      <c r="B478" s="69"/>
      <c r="C478" s="68"/>
      <c r="D478" s="69"/>
      <c r="E478" s="69"/>
      <c r="F478" s="69"/>
      <c r="G478" s="69"/>
      <c r="H478" s="67" t="str">
        <f t="shared" si="28"/>
        <v/>
      </c>
      <c r="I478" s="67" t="str">
        <f t="shared" si="29"/>
        <v/>
      </c>
      <c r="J478" s="69"/>
      <c r="K478" s="69"/>
      <c r="L478" s="69"/>
      <c r="M478" s="68"/>
      <c r="N478" s="69"/>
      <c r="O478" s="69"/>
      <c r="P478" s="69"/>
      <c r="Q478" s="67" t="str">
        <f t="shared" si="30"/>
        <v/>
      </c>
      <c r="R478" s="81" t="str">
        <f t="shared" si="31"/>
        <v/>
      </c>
    </row>
    <row r="479" spans="1:18" x14ac:dyDescent="0.3">
      <c r="A479" s="69"/>
      <c r="B479" s="69"/>
      <c r="C479" s="68"/>
      <c r="D479" s="69"/>
      <c r="E479" s="69"/>
      <c r="F479" s="69"/>
      <c r="G479" s="69"/>
      <c r="H479" s="67" t="str">
        <f t="shared" si="28"/>
        <v/>
      </c>
      <c r="I479" s="67" t="str">
        <f t="shared" si="29"/>
        <v/>
      </c>
      <c r="J479" s="69"/>
      <c r="K479" s="69"/>
      <c r="L479" s="69"/>
      <c r="M479" s="68"/>
      <c r="N479" s="69"/>
      <c r="O479" s="69"/>
      <c r="P479" s="69"/>
      <c r="Q479" s="67" t="str">
        <f t="shared" si="30"/>
        <v/>
      </c>
      <c r="R479" s="81" t="str">
        <f t="shared" si="31"/>
        <v/>
      </c>
    </row>
    <row r="480" spans="1:18" x14ac:dyDescent="0.3">
      <c r="A480" s="69"/>
      <c r="B480" s="69"/>
      <c r="C480" s="68"/>
      <c r="D480" s="69"/>
      <c r="E480" s="69"/>
      <c r="F480" s="69"/>
      <c r="G480" s="69"/>
      <c r="H480" s="67" t="str">
        <f t="shared" si="28"/>
        <v/>
      </c>
      <c r="I480" s="67" t="str">
        <f t="shared" si="29"/>
        <v/>
      </c>
      <c r="J480" s="69"/>
      <c r="K480" s="69"/>
      <c r="L480" s="69"/>
      <c r="M480" s="68"/>
      <c r="N480" s="69"/>
      <c r="O480" s="69"/>
      <c r="P480" s="69"/>
      <c r="Q480" s="67" t="str">
        <f t="shared" si="30"/>
        <v/>
      </c>
      <c r="R480" s="81" t="str">
        <f t="shared" si="31"/>
        <v/>
      </c>
    </row>
    <row r="481" spans="1:18" x14ac:dyDescent="0.3">
      <c r="A481" s="69"/>
      <c r="B481" s="69"/>
      <c r="C481" s="68"/>
      <c r="D481" s="69"/>
      <c r="E481" s="69"/>
      <c r="F481" s="69"/>
      <c r="G481" s="69"/>
      <c r="H481" s="67" t="str">
        <f t="shared" si="28"/>
        <v/>
      </c>
      <c r="I481" s="67" t="str">
        <f t="shared" si="29"/>
        <v/>
      </c>
      <c r="J481" s="69"/>
      <c r="K481" s="69"/>
      <c r="L481" s="69"/>
      <c r="M481" s="68"/>
      <c r="N481" s="69"/>
      <c r="O481" s="69"/>
      <c r="P481" s="69"/>
      <c r="Q481" s="67" t="str">
        <f t="shared" si="30"/>
        <v/>
      </c>
      <c r="R481" s="81" t="str">
        <f t="shared" si="31"/>
        <v/>
      </c>
    </row>
    <row r="482" spans="1:18" x14ac:dyDescent="0.3">
      <c r="A482" s="69"/>
      <c r="B482" s="69"/>
      <c r="C482" s="68"/>
      <c r="D482" s="69"/>
      <c r="E482" s="69"/>
      <c r="F482" s="69"/>
      <c r="G482" s="69"/>
      <c r="H482" s="67" t="str">
        <f t="shared" si="28"/>
        <v/>
      </c>
      <c r="I482" s="67" t="str">
        <f t="shared" si="29"/>
        <v/>
      </c>
      <c r="J482" s="69"/>
      <c r="K482" s="69"/>
      <c r="L482" s="69"/>
      <c r="M482" s="68"/>
      <c r="N482" s="69"/>
      <c r="O482" s="69"/>
      <c r="P482" s="69"/>
      <c r="Q482" s="67" t="str">
        <f t="shared" si="30"/>
        <v/>
      </c>
      <c r="R482" s="81" t="str">
        <f t="shared" si="31"/>
        <v/>
      </c>
    </row>
    <row r="483" spans="1:18" x14ac:dyDescent="0.3">
      <c r="A483" s="69"/>
      <c r="B483" s="69"/>
      <c r="C483" s="68"/>
      <c r="D483" s="69"/>
      <c r="E483" s="69"/>
      <c r="F483" s="69"/>
      <c r="G483" s="69"/>
      <c r="H483" s="67" t="str">
        <f t="shared" si="28"/>
        <v/>
      </c>
      <c r="I483" s="67" t="str">
        <f t="shared" si="29"/>
        <v/>
      </c>
      <c r="J483" s="69"/>
      <c r="K483" s="69"/>
      <c r="L483" s="69"/>
      <c r="M483" s="68"/>
      <c r="N483" s="69"/>
      <c r="O483" s="69"/>
      <c r="P483" s="69"/>
      <c r="Q483" s="67" t="str">
        <f t="shared" si="30"/>
        <v/>
      </c>
      <c r="R483" s="81" t="str">
        <f t="shared" si="31"/>
        <v/>
      </c>
    </row>
    <row r="484" spans="1:18" x14ac:dyDescent="0.3">
      <c r="A484" s="69"/>
      <c r="B484" s="69"/>
      <c r="C484" s="68"/>
      <c r="D484" s="69"/>
      <c r="E484" s="69"/>
      <c r="F484" s="69"/>
      <c r="G484" s="69"/>
      <c r="H484" s="67" t="str">
        <f t="shared" si="28"/>
        <v/>
      </c>
      <c r="I484" s="67" t="str">
        <f t="shared" si="29"/>
        <v/>
      </c>
      <c r="J484" s="69"/>
      <c r="K484" s="69"/>
      <c r="L484" s="69"/>
      <c r="M484" s="68"/>
      <c r="N484" s="69"/>
      <c r="O484" s="69"/>
      <c r="P484" s="69"/>
      <c r="Q484" s="67" t="str">
        <f t="shared" si="30"/>
        <v/>
      </c>
      <c r="R484" s="81" t="str">
        <f t="shared" si="31"/>
        <v/>
      </c>
    </row>
    <row r="485" spans="1:18" x14ac:dyDescent="0.3">
      <c r="A485" s="69"/>
      <c r="B485" s="69"/>
      <c r="C485" s="68"/>
      <c r="D485" s="69"/>
      <c r="E485" s="69"/>
      <c r="F485" s="69"/>
      <c r="G485" s="69"/>
      <c r="H485" s="67" t="str">
        <f t="shared" si="28"/>
        <v/>
      </c>
      <c r="I485" s="67" t="str">
        <f t="shared" si="29"/>
        <v/>
      </c>
      <c r="J485" s="69"/>
      <c r="K485" s="69"/>
      <c r="L485" s="69"/>
      <c r="M485" s="68"/>
      <c r="N485" s="69"/>
      <c r="O485" s="69"/>
      <c r="P485" s="69"/>
      <c r="Q485" s="67" t="str">
        <f t="shared" si="30"/>
        <v/>
      </c>
      <c r="R485" s="81" t="str">
        <f t="shared" si="31"/>
        <v/>
      </c>
    </row>
    <row r="486" spans="1:18" x14ac:dyDescent="0.3">
      <c r="A486" s="69"/>
      <c r="B486" s="69"/>
      <c r="C486" s="68"/>
      <c r="D486" s="69"/>
      <c r="E486" s="69"/>
      <c r="F486" s="69"/>
      <c r="G486" s="69"/>
      <c r="H486" s="67" t="str">
        <f t="shared" si="28"/>
        <v/>
      </c>
      <c r="I486" s="67" t="str">
        <f t="shared" si="29"/>
        <v/>
      </c>
      <c r="J486" s="69"/>
      <c r="K486" s="69"/>
      <c r="L486" s="69"/>
      <c r="M486" s="68"/>
      <c r="N486" s="69"/>
      <c r="O486" s="69"/>
      <c r="P486" s="69"/>
      <c r="Q486" s="67" t="str">
        <f t="shared" si="30"/>
        <v/>
      </c>
      <c r="R486" s="81" t="str">
        <f t="shared" si="31"/>
        <v/>
      </c>
    </row>
    <row r="487" spans="1:18" x14ac:dyDescent="0.3">
      <c r="A487" s="69"/>
      <c r="B487" s="69"/>
      <c r="C487" s="68"/>
      <c r="D487" s="69"/>
      <c r="E487" s="69"/>
      <c r="F487" s="69"/>
      <c r="G487" s="69"/>
      <c r="H487" s="67" t="str">
        <f t="shared" si="28"/>
        <v/>
      </c>
      <c r="I487" s="67" t="str">
        <f t="shared" si="29"/>
        <v/>
      </c>
      <c r="J487" s="69"/>
      <c r="K487" s="69"/>
      <c r="L487" s="69"/>
      <c r="M487" s="68"/>
      <c r="N487" s="69"/>
      <c r="O487" s="69"/>
      <c r="P487" s="69"/>
      <c r="Q487" s="67" t="str">
        <f t="shared" si="30"/>
        <v/>
      </c>
      <c r="R487" s="81" t="str">
        <f t="shared" si="31"/>
        <v/>
      </c>
    </row>
    <row r="488" spans="1:18" x14ac:dyDescent="0.3">
      <c r="A488" s="69"/>
      <c r="B488" s="69"/>
      <c r="C488" s="68"/>
      <c r="D488" s="69"/>
      <c r="E488" s="69"/>
      <c r="F488" s="69"/>
      <c r="G488" s="69"/>
      <c r="H488" s="67" t="str">
        <f t="shared" si="28"/>
        <v/>
      </c>
      <c r="I488" s="67" t="str">
        <f t="shared" si="29"/>
        <v/>
      </c>
      <c r="J488" s="69"/>
      <c r="K488" s="69"/>
      <c r="L488" s="69"/>
      <c r="M488" s="68"/>
      <c r="N488" s="69"/>
      <c r="O488" s="69"/>
      <c r="P488" s="69"/>
      <c r="Q488" s="67" t="str">
        <f t="shared" si="30"/>
        <v/>
      </c>
      <c r="R488" s="81" t="str">
        <f t="shared" si="31"/>
        <v/>
      </c>
    </row>
    <row r="489" spans="1:18" x14ac:dyDescent="0.3">
      <c r="A489" s="69"/>
      <c r="B489" s="69"/>
      <c r="C489" s="68"/>
      <c r="D489" s="69"/>
      <c r="E489" s="69"/>
      <c r="F489" s="69"/>
      <c r="G489" s="69"/>
      <c r="H489" s="67" t="str">
        <f t="shared" si="28"/>
        <v/>
      </c>
      <c r="I489" s="67" t="str">
        <f t="shared" si="29"/>
        <v/>
      </c>
      <c r="J489" s="69"/>
      <c r="K489" s="69"/>
      <c r="L489" s="69"/>
      <c r="M489" s="68"/>
      <c r="N489" s="69"/>
      <c r="O489" s="69"/>
      <c r="P489" s="69"/>
      <c r="Q489" s="67" t="str">
        <f t="shared" si="30"/>
        <v/>
      </c>
      <c r="R489" s="81" t="str">
        <f t="shared" si="31"/>
        <v/>
      </c>
    </row>
    <row r="490" spans="1:18" x14ac:dyDescent="0.3">
      <c r="A490" s="69"/>
      <c r="B490" s="69"/>
      <c r="C490" s="68"/>
      <c r="D490" s="69"/>
      <c r="E490" s="69"/>
      <c r="F490" s="69"/>
      <c r="G490" s="69"/>
      <c r="H490" s="67" t="str">
        <f t="shared" si="28"/>
        <v/>
      </c>
      <c r="I490" s="67" t="str">
        <f t="shared" si="29"/>
        <v/>
      </c>
      <c r="J490" s="69"/>
      <c r="K490" s="69"/>
      <c r="L490" s="69"/>
      <c r="M490" s="68"/>
      <c r="N490" s="69"/>
      <c r="O490" s="69"/>
      <c r="P490" s="69"/>
      <c r="Q490" s="67" t="str">
        <f t="shared" si="30"/>
        <v/>
      </c>
      <c r="R490" s="81" t="str">
        <f t="shared" si="31"/>
        <v/>
      </c>
    </row>
    <row r="491" spans="1:18" x14ac:dyDescent="0.3">
      <c r="A491" s="69"/>
      <c r="B491" s="69"/>
      <c r="C491" s="68"/>
      <c r="D491" s="69"/>
      <c r="E491" s="69"/>
      <c r="F491" s="69"/>
      <c r="G491" s="69"/>
      <c r="H491" s="67" t="str">
        <f t="shared" si="28"/>
        <v/>
      </c>
      <c r="I491" s="67" t="str">
        <f t="shared" si="29"/>
        <v/>
      </c>
      <c r="J491" s="69"/>
      <c r="K491" s="69"/>
      <c r="L491" s="69"/>
      <c r="M491" s="68"/>
      <c r="N491" s="69"/>
      <c r="O491" s="69"/>
      <c r="P491" s="69"/>
      <c r="Q491" s="67" t="str">
        <f t="shared" si="30"/>
        <v/>
      </c>
      <c r="R491" s="81" t="str">
        <f t="shared" si="31"/>
        <v/>
      </c>
    </row>
    <row r="492" spans="1:18" x14ac:dyDescent="0.3">
      <c r="A492" s="69"/>
      <c r="B492" s="69"/>
      <c r="C492" s="68"/>
      <c r="D492" s="69"/>
      <c r="E492" s="69"/>
      <c r="F492" s="69"/>
      <c r="G492" s="69"/>
      <c r="H492" s="67" t="str">
        <f t="shared" si="28"/>
        <v/>
      </c>
      <c r="I492" s="67" t="str">
        <f t="shared" si="29"/>
        <v/>
      </c>
      <c r="J492" s="69"/>
      <c r="K492" s="69"/>
      <c r="L492" s="69"/>
      <c r="M492" s="68"/>
      <c r="N492" s="69"/>
      <c r="O492" s="69"/>
      <c r="P492" s="69"/>
      <c r="Q492" s="67" t="str">
        <f t="shared" si="30"/>
        <v/>
      </c>
      <c r="R492" s="81" t="str">
        <f t="shared" si="31"/>
        <v/>
      </c>
    </row>
    <row r="493" spans="1:18" x14ac:dyDescent="0.3">
      <c r="A493" s="69"/>
      <c r="B493" s="69"/>
      <c r="C493" s="68"/>
      <c r="D493" s="69"/>
      <c r="E493" s="69"/>
      <c r="F493" s="69"/>
      <c r="G493" s="69"/>
      <c r="H493" s="67" t="str">
        <f t="shared" si="28"/>
        <v/>
      </c>
      <c r="I493" s="67" t="str">
        <f t="shared" si="29"/>
        <v/>
      </c>
      <c r="J493" s="69"/>
      <c r="K493" s="69"/>
      <c r="L493" s="69"/>
      <c r="M493" s="68"/>
      <c r="N493" s="69"/>
      <c r="O493" s="69"/>
      <c r="P493" s="69"/>
      <c r="Q493" s="67" t="str">
        <f t="shared" si="30"/>
        <v/>
      </c>
      <c r="R493" s="81" t="str">
        <f t="shared" si="31"/>
        <v/>
      </c>
    </row>
    <row r="494" spans="1:18" x14ac:dyDescent="0.3">
      <c r="A494" s="69"/>
      <c r="B494" s="69"/>
      <c r="C494" s="68"/>
      <c r="D494" s="69"/>
      <c r="E494" s="69"/>
      <c r="F494" s="69"/>
      <c r="G494" s="69"/>
      <c r="H494" s="67" t="str">
        <f t="shared" si="28"/>
        <v/>
      </c>
      <c r="I494" s="67" t="str">
        <f t="shared" si="29"/>
        <v/>
      </c>
      <c r="J494" s="69"/>
      <c r="K494" s="69"/>
      <c r="L494" s="69"/>
      <c r="M494" s="68"/>
      <c r="N494" s="69"/>
      <c r="O494" s="69"/>
      <c r="P494" s="69"/>
      <c r="Q494" s="67" t="str">
        <f t="shared" si="30"/>
        <v/>
      </c>
      <c r="R494" s="81" t="str">
        <f t="shared" si="31"/>
        <v/>
      </c>
    </row>
    <row r="495" spans="1:18" x14ac:dyDescent="0.3">
      <c r="A495" s="69"/>
      <c r="B495" s="69"/>
      <c r="C495" s="68"/>
      <c r="D495" s="69"/>
      <c r="E495" s="69"/>
      <c r="F495" s="69"/>
      <c r="G495" s="69"/>
      <c r="H495" s="67" t="str">
        <f t="shared" si="28"/>
        <v/>
      </c>
      <c r="I495" s="67" t="str">
        <f t="shared" si="29"/>
        <v/>
      </c>
      <c r="J495" s="69"/>
      <c r="K495" s="69"/>
      <c r="L495" s="69"/>
      <c r="M495" s="68"/>
      <c r="N495" s="69"/>
      <c r="O495" s="69"/>
      <c r="P495" s="69"/>
      <c r="Q495" s="67" t="str">
        <f t="shared" si="30"/>
        <v/>
      </c>
      <c r="R495" s="81" t="str">
        <f t="shared" si="31"/>
        <v/>
      </c>
    </row>
    <row r="496" spans="1:18" x14ac:dyDescent="0.3">
      <c r="A496" s="69"/>
      <c r="B496" s="69"/>
      <c r="C496" s="68"/>
      <c r="D496" s="69"/>
      <c r="E496" s="69"/>
      <c r="F496" s="69"/>
      <c r="G496" s="69"/>
      <c r="H496" s="67" t="str">
        <f t="shared" si="28"/>
        <v/>
      </c>
      <c r="I496" s="67" t="str">
        <f t="shared" si="29"/>
        <v/>
      </c>
      <c r="J496" s="69"/>
      <c r="K496" s="69"/>
      <c r="L496" s="69"/>
      <c r="M496" s="68"/>
      <c r="N496" s="69"/>
      <c r="O496" s="69"/>
      <c r="P496" s="69"/>
      <c r="Q496" s="67" t="str">
        <f t="shared" si="30"/>
        <v/>
      </c>
      <c r="R496" s="81" t="str">
        <f t="shared" si="31"/>
        <v/>
      </c>
    </row>
    <row r="497" spans="1:18" x14ac:dyDescent="0.3">
      <c r="A497" s="69"/>
      <c r="B497" s="69"/>
      <c r="C497" s="68"/>
      <c r="D497" s="69"/>
      <c r="E497" s="69"/>
      <c r="F497" s="69"/>
      <c r="G497" s="69"/>
      <c r="H497" s="67" t="str">
        <f t="shared" si="28"/>
        <v/>
      </c>
      <c r="I497" s="67" t="str">
        <f t="shared" si="29"/>
        <v/>
      </c>
      <c r="J497" s="69"/>
      <c r="K497" s="69"/>
      <c r="L497" s="69"/>
      <c r="M497" s="68"/>
      <c r="N497" s="69"/>
      <c r="O497" s="69"/>
      <c r="P497" s="69"/>
      <c r="Q497" s="67" t="str">
        <f t="shared" si="30"/>
        <v/>
      </c>
      <c r="R497" s="81" t="str">
        <f t="shared" si="31"/>
        <v/>
      </c>
    </row>
    <row r="498" spans="1:18" x14ac:dyDescent="0.3">
      <c r="A498" s="69"/>
      <c r="B498" s="69"/>
      <c r="C498" s="68"/>
      <c r="D498" s="69"/>
      <c r="E498" s="69"/>
      <c r="F498" s="69"/>
      <c r="G498" s="69"/>
      <c r="H498" s="67" t="str">
        <f t="shared" si="28"/>
        <v/>
      </c>
      <c r="I498" s="67" t="str">
        <f t="shared" si="29"/>
        <v/>
      </c>
      <c r="J498" s="69"/>
      <c r="K498" s="69"/>
      <c r="L498" s="69"/>
      <c r="M498" s="68"/>
      <c r="N498" s="69"/>
      <c r="O498" s="69"/>
      <c r="P498" s="69"/>
      <c r="Q498" s="67" t="str">
        <f t="shared" si="30"/>
        <v/>
      </c>
      <c r="R498" s="81" t="str">
        <f t="shared" si="31"/>
        <v/>
      </c>
    </row>
    <row r="499" spans="1:18" x14ac:dyDescent="0.3">
      <c r="A499" s="69"/>
      <c r="B499" s="69"/>
      <c r="C499" s="68"/>
      <c r="D499" s="69"/>
      <c r="E499" s="69"/>
      <c r="F499" s="69"/>
      <c r="G499" s="69"/>
      <c r="H499" s="67" t="str">
        <f t="shared" si="28"/>
        <v/>
      </c>
      <c r="I499" s="67" t="str">
        <f t="shared" si="29"/>
        <v/>
      </c>
      <c r="J499" s="69"/>
      <c r="K499" s="69"/>
      <c r="L499" s="69"/>
      <c r="M499" s="68"/>
      <c r="N499" s="69"/>
      <c r="O499" s="69"/>
      <c r="P499" s="69"/>
      <c r="Q499" s="67" t="str">
        <f t="shared" si="30"/>
        <v/>
      </c>
      <c r="R499" s="81" t="str">
        <f t="shared" si="31"/>
        <v/>
      </c>
    </row>
    <row r="500" spans="1:18" x14ac:dyDescent="0.3">
      <c r="A500" s="69"/>
      <c r="B500" s="69"/>
      <c r="C500" s="68"/>
      <c r="D500" s="69"/>
      <c r="E500" s="69"/>
      <c r="F500" s="69"/>
      <c r="G500" s="69"/>
      <c r="H500" s="67" t="str">
        <f t="shared" si="28"/>
        <v/>
      </c>
      <c r="I500" s="67" t="str">
        <f t="shared" si="29"/>
        <v/>
      </c>
      <c r="J500" s="69"/>
      <c r="K500" s="69"/>
      <c r="L500" s="69"/>
      <c r="M500" s="68"/>
      <c r="N500" s="69"/>
      <c r="O500" s="69"/>
      <c r="P500" s="69"/>
      <c r="Q500" s="67" t="str">
        <f t="shared" si="30"/>
        <v/>
      </c>
      <c r="R500" s="81" t="str">
        <f t="shared" si="31"/>
        <v/>
      </c>
    </row>
    <row r="501" spans="1:18" x14ac:dyDescent="0.3">
      <c r="A501" s="69"/>
      <c r="B501" s="69"/>
      <c r="C501" s="68"/>
      <c r="D501" s="69"/>
      <c r="E501" s="69"/>
      <c r="F501" s="69"/>
      <c r="G501" s="69"/>
      <c r="H501" s="67" t="str">
        <f t="shared" si="28"/>
        <v/>
      </c>
      <c r="I501" s="67" t="str">
        <f t="shared" si="29"/>
        <v/>
      </c>
      <c r="J501" s="69"/>
      <c r="K501" s="69"/>
      <c r="L501" s="69"/>
      <c r="M501" s="68"/>
      <c r="N501" s="69"/>
      <c r="O501" s="69"/>
      <c r="P501" s="69"/>
      <c r="Q501" s="67" t="str">
        <f t="shared" si="30"/>
        <v/>
      </c>
      <c r="R501" s="81" t="str">
        <f t="shared" si="31"/>
        <v/>
      </c>
    </row>
    <row r="502" spans="1:18" x14ac:dyDescent="0.3">
      <c r="A502" s="69"/>
      <c r="B502" s="69"/>
      <c r="C502" s="68"/>
      <c r="D502" s="69"/>
      <c r="E502" s="69"/>
      <c r="F502" s="69"/>
      <c r="G502" s="69"/>
      <c r="H502" s="67" t="str">
        <f t="shared" si="28"/>
        <v/>
      </c>
      <c r="I502" s="67" t="str">
        <f t="shared" si="29"/>
        <v/>
      </c>
      <c r="J502" s="69"/>
      <c r="K502" s="69"/>
      <c r="L502" s="69"/>
      <c r="M502" s="68"/>
      <c r="N502" s="69"/>
      <c r="O502" s="69"/>
      <c r="P502" s="69"/>
      <c r="Q502" s="67" t="str">
        <f t="shared" si="30"/>
        <v/>
      </c>
      <c r="R502" s="81" t="str">
        <f t="shared" si="31"/>
        <v/>
      </c>
    </row>
    <row r="503" spans="1:18" x14ac:dyDescent="0.3">
      <c r="A503" s="69"/>
      <c r="B503" s="69"/>
      <c r="C503" s="68"/>
      <c r="D503" s="69"/>
      <c r="E503" s="69"/>
      <c r="F503" s="69"/>
      <c r="G503" s="69"/>
      <c r="H503" s="67" t="str">
        <f t="shared" si="28"/>
        <v/>
      </c>
      <c r="I503" s="67" t="str">
        <f t="shared" si="29"/>
        <v/>
      </c>
      <c r="J503" s="69"/>
      <c r="K503" s="69"/>
      <c r="L503" s="69"/>
      <c r="M503" s="68"/>
      <c r="N503" s="69"/>
      <c r="O503" s="69"/>
      <c r="P503" s="69"/>
      <c r="Q503" s="67" t="str">
        <f t="shared" si="30"/>
        <v/>
      </c>
      <c r="R503" s="81" t="str">
        <f t="shared" si="31"/>
        <v/>
      </c>
    </row>
    <row r="504" spans="1:18" x14ac:dyDescent="0.3">
      <c r="A504" s="69"/>
      <c r="B504" s="69"/>
      <c r="C504" s="68"/>
      <c r="D504" s="69"/>
      <c r="E504" s="69"/>
      <c r="F504" s="69"/>
      <c r="G504" s="69"/>
      <c r="H504" s="67" t="str">
        <f t="shared" si="28"/>
        <v/>
      </c>
      <c r="I504" s="67" t="str">
        <f t="shared" si="29"/>
        <v/>
      </c>
      <c r="J504" s="69"/>
      <c r="K504" s="69"/>
      <c r="L504" s="69"/>
      <c r="M504" s="68"/>
      <c r="N504" s="69"/>
      <c r="O504" s="69"/>
      <c r="P504" s="69"/>
      <c r="Q504" s="67" t="str">
        <f t="shared" si="30"/>
        <v/>
      </c>
      <c r="R504" s="81" t="str">
        <f t="shared" si="31"/>
        <v/>
      </c>
    </row>
  </sheetData>
  <conditionalFormatting sqref="I5:I504">
    <cfRule type="cellIs" dxfId="6" priority="2" operator="equal">
      <formula>"High"</formula>
    </cfRule>
    <cfRule type="cellIs" dxfId="5" priority="3" operator="equal">
      <formula>"Medium"</formula>
    </cfRule>
    <cfRule type="cellIs" dxfId="4" priority="4" operator="equal">
      <formula>"Low"</formula>
    </cfRule>
  </conditionalFormatting>
  <dataValidations count="1">
    <dataValidation type="whole" allowBlank="1" sqref="F5:G504 O5:P504" xr:uid="{00000000-0002-0000-0A00-000005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Invalid entry" error="Pick a value from the list" xr:uid="{00000000-0002-0000-0A00-000000000000}">
          <x14:formula1>
            <xm:f>Projects!$A$5:$A$104</xm:f>
          </x14:formula1>
          <x14:formula2>
            <xm:f>0</xm:f>
          </x14:formula2>
          <xm:sqref>B5:B504</xm:sqref>
        </x14:dataValidation>
        <x14:dataValidation type="list" allowBlank="1" errorTitle="Invalid entry" error="Pick a value from the list" xr:uid="{00000000-0002-0000-0A00-000001000000}">
          <x14:formula1>
            <xm:f>Settings!$K$4:$K$10</xm:f>
          </x14:formula1>
          <x14:formula2>
            <xm:f>0</xm:f>
          </x14:formula2>
          <xm:sqref>E5:E504</xm:sqref>
        </x14:dataValidation>
        <x14:dataValidation type="list" allowBlank="1" errorTitle="Invalid entry" error="Pick a value from the list" xr:uid="{00000000-0002-0000-0A00-000002000000}">
          <x14:formula1>
            <xm:f>Settings!$J$4:$J$7</xm:f>
          </x14:formula1>
          <x14:formula2>
            <xm:f>0</xm:f>
          </x14:formula2>
          <xm:sqref>L5:L504</xm:sqref>
        </x14:dataValidation>
        <x14:dataValidation type="list" allowBlank="1" errorTitle="Invalid entry" error="Pick a value from the list" xr:uid="{00000000-0002-0000-0A00-000003000000}">
          <x14:formula1>
            <xm:f>Settings!$E$4:$E$5</xm:f>
          </x14:formula1>
          <x14:formula2>
            <xm:f>0</xm:f>
          </x14:formula2>
          <xm:sqref>N5:N504</xm:sqref>
        </x14:dataValidation>
        <x14:dataValidation type="list" allowBlank="1" errorTitle="Invalid entry" error="Pick a value from the list" xr:uid="{00000000-0002-0000-0A00-000004000000}">
          <x14:formula1>
            <xm:f>Settings!$P$4:$P$30</xm:f>
          </x14:formula1>
          <x14:formula2>
            <xm:f>0</xm:f>
          </x14:formula2>
          <xm:sqref>K5:K504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48235"/>
  </sheetPr>
  <dimension ref="A1:L5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9" customWidth="1"/>
    <col min="2" max="2" width="10" customWidth="1"/>
    <col min="3" max="3" width="12" customWidth="1"/>
    <col min="4" max="4" width="40" customWidth="1"/>
    <col min="5" max="5" width="10" customWidth="1"/>
    <col min="6" max="6" width="12" customWidth="1"/>
    <col min="7" max="7" width="11" customWidth="1"/>
    <col min="8" max="8" width="12" customWidth="1"/>
    <col min="9" max="9" width="10" customWidth="1"/>
    <col min="10" max="10" width="11" customWidth="1"/>
    <col min="11" max="11" width="28" customWidth="1"/>
    <col min="12" max="12" width="26" customWidth="1"/>
  </cols>
  <sheetData>
    <row r="1" spans="1:12" ht="21" x14ac:dyDescent="0.4">
      <c r="A1" s="40" t="s">
        <v>488</v>
      </c>
    </row>
    <row r="2" spans="1:12" x14ac:dyDescent="0.3">
      <c r="A2" s="41" t="s">
        <v>489</v>
      </c>
    </row>
    <row r="4" spans="1:12" ht="31.5" customHeight="1" x14ac:dyDescent="0.3">
      <c r="A4" s="42" t="s">
        <v>490</v>
      </c>
      <c r="B4" s="42" t="s">
        <v>308</v>
      </c>
      <c r="C4" s="42" t="s">
        <v>258</v>
      </c>
      <c r="D4" s="42" t="s">
        <v>491</v>
      </c>
      <c r="E4" s="42" t="s">
        <v>492</v>
      </c>
      <c r="F4" s="42" t="s">
        <v>150</v>
      </c>
      <c r="G4" s="42" t="s">
        <v>99</v>
      </c>
      <c r="H4" s="42" t="s">
        <v>493</v>
      </c>
      <c r="I4" s="42" t="s">
        <v>494</v>
      </c>
      <c r="J4" s="42" t="s">
        <v>495</v>
      </c>
      <c r="K4" s="42" t="s">
        <v>496</v>
      </c>
      <c r="L4" s="42" t="s">
        <v>269</v>
      </c>
    </row>
    <row r="5" spans="1:12" x14ac:dyDescent="0.3">
      <c r="A5" s="69" t="s">
        <v>497</v>
      </c>
      <c r="B5" s="69" t="s">
        <v>341</v>
      </c>
      <c r="C5" s="68">
        <v>46181</v>
      </c>
      <c r="D5" s="69" t="s">
        <v>498</v>
      </c>
      <c r="E5" s="69" t="s">
        <v>499</v>
      </c>
      <c r="F5" s="69" t="s">
        <v>188</v>
      </c>
      <c r="G5" s="69" t="s">
        <v>500</v>
      </c>
      <c r="H5" s="68">
        <v>46182</v>
      </c>
      <c r="I5" s="80">
        <f t="shared" ref="I5:I68" si="0">IF(OR(C5="",H5=""),"",H5-C5)</f>
        <v>1</v>
      </c>
      <c r="J5" s="80" t="str">
        <f t="shared" ref="J5:J68" ca="1" si="1">IF(OR(C5="",H5&lt;&gt;""),"",TODAY()-C5)</f>
        <v/>
      </c>
      <c r="K5" s="69" t="s">
        <v>501</v>
      </c>
      <c r="L5" s="69"/>
    </row>
    <row r="6" spans="1:12" x14ac:dyDescent="0.3">
      <c r="A6" s="69" t="s">
        <v>502</v>
      </c>
      <c r="B6" s="69" t="s">
        <v>282</v>
      </c>
      <c r="C6" s="68">
        <v>46210</v>
      </c>
      <c r="D6" s="69" t="s">
        <v>503</v>
      </c>
      <c r="E6" s="69" t="s">
        <v>504</v>
      </c>
      <c r="F6" s="69" t="s">
        <v>176</v>
      </c>
      <c r="G6" s="69" t="s">
        <v>500</v>
      </c>
      <c r="H6" s="68">
        <v>46223</v>
      </c>
      <c r="I6" s="80">
        <f t="shared" si="0"/>
        <v>13</v>
      </c>
      <c r="J6" s="80" t="str">
        <f t="shared" ca="1" si="1"/>
        <v/>
      </c>
      <c r="K6" s="69" t="s">
        <v>505</v>
      </c>
      <c r="L6" s="69"/>
    </row>
    <row r="7" spans="1:12" x14ac:dyDescent="0.3">
      <c r="A7" s="69" t="s">
        <v>506</v>
      </c>
      <c r="B7" s="69" t="s">
        <v>335</v>
      </c>
      <c r="C7" s="68">
        <v>46241</v>
      </c>
      <c r="D7" s="69" t="s">
        <v>507</v>
      </c>
      <c r="E7" s="69" t="s">
        <v>508</v>
      </c>
      <c r="F7" s="69" t="s">
        <v>201</v>
      </c>
      <c r="G7" s="69" t="s">
        <v>500</v>
      </c>
      <c r="H7" s="68">
        <v>46254</v>
      </c>
      <c r="I7" s="80">
        <f t="shared" si="0"/>
        <v>13</v>
      </c>
      <c r="J7" s="80" t="str">
        <f t="shared" ca="1" si="1"/>
        <v/>
      </c>
      <c r="K7" s="69" t="s">
        <v>509</v>
      </c>
      <c r="L7" s="69"/>
    </row>
    <row r="8" spans="1:12" x14ac:dyDescent="0.3">
      <c r="A8" s="69" t="s">
        <v>510</v>
      </c>
      <c r="B8" s="69" t="s">
        <v>345</v>
      </c>
      <c r="C8" s="68">
        <v>46121</v>
      </c>
      <c r="D8" s="69" t="s">
        <v>507</v>
      </c>
      <c r="E8" s="69" t="s">
        <v>508</v>
      </c>
      <c r="F8" s="69" t="s">
        <v>176</v>
      </c>
      <c r="G8" s="69" t="s">
        <v>500</v>
      </c>
      <c r="H8" s="68">
        <v>46123</v>
      </c>
      <c r="I8" s="80">
        <f t="shared" si="0"/>
        <v>2</v>
      </c>
      <c r="J8" s="80" t="str">
        <f t="shared" ca="1" si="1"/>
        <v/>
      </c>
      <c r="K8" s="69" t="s">
        <v>509</v>
      </c>
      <c r="L8" s="69"/>
    </row>
    <row r="9" spans="1:12" x14ac:dyDescent="0.3">
      <c r="A9" s="69" t="s">
        <v>511</v>
      </c>
      <c r="B9" s="69" t="s">
        <v>332</v>
      </c>
      <c r="C9" s="68">
        <v>46248</v>
      </c>
      <c r="D9" s="69" t="s">
        <v>503</v>
      </c>
      <c r="E9" s="69" t="s">
        <v>499</v>
      </c>
      <c r="F9" s="69" t="s">
        <v>159</v>
      </c>
      <c r="G9" s="69" t="s">
        <v>500</v>
      </c>
      <c r="H9" s="68">
        <v>46258</v>
      </c>
      <c r="I9" s="80">
        <f t="shared" si="0"/>
        <v>10</v>
      </c>
      <c r="J9" s="80" t="str">
        <f t="shared" ca="1" si="1"/>
        <v/>
      </c>
      <c r="K9" s="69" t="s">
        <v>505</v>
      </c>
      <c r="L9" s="69"/>
    </row>
    <row r="10" spans="1:12" x14ac:dyDescent="0.3">
      <c r="A10" s="69" t="s">
        <v>512</v>
      </c>
      <c r="B10" s="69" t="s">
        <v>271</v>
      </c>
      <c r="C10" s="68">
        <v>46113</v>
      </c>
      <c r="D10" s="69" t="s">
        <v>513</v>
      </c>
      <c r="E10" s="69" t="s">
        <v>504</v>
      </c>
      <c r="F10" s="69" t="s">
        <v>170</v>
      </c>
      <c r="G10" s="69" t="s">
        <v>500</v>
      </c>
      <c r="H10" s="68">
        <v>46120</v>
      </c>
      <c r="I10" s="80">
        <f t="shared" si="0"/>
        <v>7</v>
      </c>
      <c r="J10" s="80" t="str">
        <f t="shared" ca="1" si="1"/>
        <v/>
      </c>
      <c r="K10" s="69" t="s">
        <v>514</v>
      </c>
      <c r="L10" s="69"/>
    </row>
    <row r="11" spans="1:12" x14ac:dyDescent="0.3">
      <c r="A11" s="69" t="s">
        <v>515</v>
      </c>
      <c r="B11" s="69" t="s">
        <v>329</v>
      </c>
      <c r="C11" s="68">
        <v>46218</v>
      </c>
      <c r="D11" s="69" t="s">
        <v>516</v>
      </c>
      <c r="E11" s="69" t="s">
        <v>504</v>
      </c>
      <c r="F11" s="69" t="s">
        <v>170</v>
      </c>
      <c r="G11" s="69" t="s">
        <v>500</v>
      </c>
      <c r="H11" s="68">
        <v>46230</v>
      </c>
      <c r="I11" s="80">
        <f t="shared" si="0"/>
        <v>12</v>
      </c>
      <c r="J11" s="80" t="str">
        <f t="shared" ca="1" si="1"/>
        <v/>
      </c>
      <c r="K11" s="69" t="s">
        <v>517</v>
      </c>
      <c r="L11" s="69"/>
    </row>
    <row r="12" spans="1:12" x14ac:dyDescent="0.3">
      <c r="A12" s="69" t="s">
        <v>518</v>
      </c>
      <c r="B12" s="69" t="s">
        <v>345</v>
      </c>
      <c r="C12" s="68">
        <v>46180</v>
      </c>
      <c r="D12" s="69" t="s">
        <v>513</v>
      </c>
      <c r="E12" s="69" t="s">
        <v>504</v>
      </c>
      <c r="F12" s="69" t="s">
        <v>183</v>
      </c>
      <c r="G12" s="69" t="s">
        <v>500</v>
      </c>
      <c r="H12" s="68">
        <v>46191</v>
      </c>
      <c r="I12" s="80">
        <f t="shared" si="0"/>
        <v>11</v>
      </c>
      <c r="J12" s="80" t="str">
        <f t="shared" ca="1" si="1"/>
        <v/>
      </c>
      <c r="K12" s="69" t="s">
        <v>514</v>
      </c>
      <c r="L12" s="69"/>
    </row>
    <row r="13" spans="1:12" x14ac:dyDescent="0.3">
      <c r="A13" s="69" t="s">
        <v>519</v>
      </c>
      <c r="B13" s="69" t="s">
        <v>332</v>
      </c>
      <c r="C13" s="68">
        <v>46215</v>
      </c>
      <c r="D13" s="69" t="s">
        <v>516</v>
      </c>
      <c r="E13" s="69" t="s">
        <v>504</v>
      </c>
      <c r="F13" s="69" t="s">
        <v>159</v>
      </c>
      <c r="G13" s="69" t="s">
        <v>500</v>
      </c>
      <c r="H13" s="68">
        <v>46223</v>
      </c>
      <c r="I13" s="80">
        <f t="shared" si="0"/>
        <v>8</v>
      </c>
      <c r="J13" s="80" t="str">
        <f t="shared" ca="1" si="1"/>
        <v/>
      </c>
      <c r="K13" s="69" t="s">
        <v>517</v>
      </c>
      <c r="L13" s="69"/>
    </row>
    <row r="14" spans="1:12" x14ac:dyDescent="0.3">
      <c r="A14" s="69" t="s">
        <v>520</v>
      </c>
      <c r="B14" s="69" t="s">
        <v>292</v>
      </c>
      <c r="C14" s="68">
        <v>46062</v>
      </c>
      <c r="D14" s="69" t="s">
        <v>521</v>
      </c>
      <c r="E14" s="69" t="s">
        <v>504</v>
      </c>
      <c r="F14" s="69" t="s">
        <v>176</v>
      </c>
      <c r="G14" s="69" t="s">
        <v>500</v>
      </c>
      <c r="H14" s="68">
        <v>46074</v>
      </c>
      <c r="I14" s="80">
        <f t="shared" si="0"/>
        <v>12</v>
      </c>
      <c r="J14" s="80" t="str">
        <f t="shared" ca="1" si="1"/>
        <v/>
      </c>
      <c r="K14" s="69" t="s">
        <v>522</v>
      </c>
      <c r="L14" s="69"/>
    </row>
    <row r="15" spans="1:12" x14ac:dyDescent="0.3">
      <c r="A15" s="69" t="s">
        <v>523</v>
      </c>
      <c r="B15" s="69" t="s">
        <v>292</v>
      </c>
      <c r="C15" s="68">
        <v>46215</v>
      </c>
      <c r="D15" s="69" t="s">
        <v>507</v>
      </c>
      <c r="E15" s="69" t="s">
        <v>504</v>
      </c>
      <c r="F15" s="69" t="s">
        <v>159</v>
      </c>
      <c r="G15" s="69" t="s">
        <v>500</v>
      </c>
      <c r="H15" s="68">
        <v>46229</v>
      </c>
      <c r="I15" s="80">
        <f t="shared" si="0"/>
        <v>14</v>
      </c>
      <c r="J15" s="80" t="str">
        <f t="shared" ca="1" si="1"/>
        <v/>
      </c>
      <c r="K15" s="69" t="s">
        <v>509</v>
      </c>
      <c r="L15" s="69"/>
    </row>
    <row r="16" spans="1:12" x14ac:dyDescent="0.3">
      <c r="A16" s="69" t="s">
        <v>524</v>
      </c>
      <c r="B16" s="69" t="s">
        <v>345</v>
      </c>
      <c r="C16" s="68">
        <v>46241</v>
      </c>
      <c r="D16" s="69" t="s">
        <v>516</v>
      </c>
      <c r="E16" s="69" t="s">
        <v>508</v>
      </c>
      <c r="F16" s="69" t="s">
        <v>188</v>
      </c>
      <c r="G16" s="69" t="s">
        <v>500</v>
      </c>
      <c r="H16" s="68">
        <v>46250</v>
      </c>
      <c r="I16" s="80">
        <f t="shared" si="0"/>
        <v>9</v>
      </c>
      <c r="J16" s="80" t="str">
        <f t="shared" ca="1" si="1"/>
        <v/>
      </c>
      <c r="K16" s="69" t="s">
        <v>517</v>
      </c>
      <c r="L16" s="69"/>
    </row>
    <row r="17" spans="1:12" x14ac:dyDescent="0.3">
      <c r="A17" s="69" t="s">
        <v>525</v>
      </c>
      <c r="B17" s="69" t="s">
        <v>292</v>
      </c>
      <c r="C17" s="68">
        <v>46197</v>
      </c>
      <c r="D17" s="69" t="s">
        <v>498</v>
      </c>
      <c r="E17" s="69" t="s">
        <v>508</v>
      </c>
      <c r="F17" s="69" t="s">
        <v>194</v>
      </c>
      <c r="G17" s="69" t="s">
        <v>500</v>
      </c>
      <c r="H17" s="68">
        <v>46198</v>
      </c>
      <c r="I17" s="80">
        <f t="shared" si="0"/>
        <v>1</v>
      </c>
      <c r="J17" s="80" t="str">
        <f t="shared" ca="1" si="1"/>
        <v/>
      </c>
      <c r="K17" s="69" t="s">
        <v>501</v>
      </c>
      <c r="L17" s="69"/>
    </row>
    <row r="18" spans="1:12" x14ac:dyDescent="0.3">
      <c r="A18" s="69" t="s">
        <v>526</v>
      </c>
      <c r="B18" s="69" t="s">
        <v>329</v>
      </c>
      <c r="C18" s="68">
        <v>46035</v>
      </c>
      <c r="D18" s="69" t="s">
        <v>503</v>
      </c>
      <c r="E18" s="69" t="s">
        <v>504</v>
      </c>
      <c r="F18" s="69" t="s">
        <v>183</v>
      </c>
      <c r="G18" s="69" t="s">
        <v>500</v>
      </c>
      <c r="H18" s="68">
        <v>46050</v>
      </c>
      <c r="I18" s="80">
        <f t="shared" si="0"/>
        <v>15</v>
      </c>
      <c r="J18" s="80" t="str">
        <f t="shared" ca="1" si="1"/>
        <v/>
      </c>
      <c r="K18" s="69" t="s">
        <v>505</v>
      </c>
      <c r="L18" s="69"/>
    </row>
    <row r="19" spans="1:12" x14ac:dyDescent="0.3">
      <c r="A19" s="69" t="s">
        <v>527</v>
      </c>
      <c r="B19" s="69" t="s">
        <v>341</v>
      </c>
      <c r="C19" s="68">
        <v>46136</v>
      </c>
      <c r="D19" s="69" t="s">
        <v>521</v>
      </c>
      <c r="E19" s="69" t="s">
        <v>528</v>
      </c>
      <c r="F19" s="69" t="s">
        <v>183</v>
      </c>
      <c r="G19" s="69" t="s">
        <v>500</v>
      </c>
      <c r="H19" s="68">
        <v>46146</v>
      </c>
      <c r="I19" s="80">
        <f t="shared" si="0"/>
        <v>10</v>
      </c>
      <c r="J19" s="80" t="str">
        <f t="shared" ca="1" si="1"/>
        <v/>
      </c>
      <c r="K19" s="69" t="s">
        <v>522</v>
      </c>
      <c r="L19" s="69"/>
    </row>
    <row r="20" spans="1:12" x14ac:dyDescent="0.3">
      <c r="A20" s="69" t="s">
        <v>529</v>
      </c>
      <c r="B20" s="69" t="s">
        <v>341</v>
      </c>
      <c r="C20" s="68">
        <v>46193</v>
      </c>
      <c r="D20" s="69" t="s">
        <v>503</v>
      </c>
      <c r="E20" s="69" t="s">
        <v>528</v>
      </c>
      <c r="F20" s="69" t="s">
        <v>183</v>
      </c>
      <c r="G20" s="69" t="s">
        <v>500</v>
      </c>
      <c r="H20" s="68">
        <v>46198</v>
      </c>
      <c r="I20" s="80">
        <f t="shared" si="0"/>
        <v>5</v>
      </c>
      <c r="J20" s="80" t="str">
        <f t="shared" ca="1" si="1"/>
        <v/>
      </c>
      <c r="K20" s="69" t="s">
        <v>505</v>
      </c>
      <c r="L20" s="69"/>
    </row>
    <row r="21" spans="1:12" x14ac:dyDescent="0.3">
      <c r="A21" s="69" t="s">
        <v>530</v>
      </c>
      <c r="B21" s="69" t="s">
        <v>335</v>
      </c>
      <c r="C21" s="68">
        <v>46046</v>
      </c>
      <c r="D21" s="69" t="s">
        <v>521</v>
      </c>
      <c r="E21" s="69" t="s">
        <v>504</v>
      </c>
      <c r="F21" s="69" t="s">
        <v>201</v>
      </c>
      <c r="G21" s="69" t="s">
        <v>500</v>
      </c>
      <c r="H21" s="68">
        <v>46047</v>
      </c>
      <c r="I21" s="80">
        <f t="shared" si="0"/>
        <v>1</v>
      </c>
      <c r="J21" s="80" t="str">
        <f t="shared" ca="1" si="1"/>
        <v/>
      </c>
      <c r="K21" s="69" t="s">
        <v>522</v>
      </c>
      <c r="L21" s="69"/>
    </row>
    <row r="22" spans="1:12" x14ac:dyDescent="0.3">
      <c r="A22" s="69" t="s">
        <v>531</v>
      </c>
      <c r="B22" s="69" t="s">
        <v>282</v>
      </c>
      <c r="C22" s="68">
        <v>46259</v>
      </c>
      <c r="D22" s="69" t="s">
        <v>532</v>
      </c>
      <c r="E22" s="69" t="s">
        <v>499</v>
      </c>
      <c r="F22" s="69" t="s">
        <v>201</v>
      </c>
      <c r="G22" s="69" t="s">
        <v>500</v>
      </c>
      <c r="H22" s="68">
        <v>46272</v>
      </c>
      <c r="I22" s="80">
        <f t="shared" si="0"/>
        <v>13</v>
      </c>
      <c r="J22" s="80" t="str">
        <f t="shared" ca="1" si="1"/>
        <v/>
      </c>
      <c r="K22" s="69" t="s">
        <v>533</v>
      </c>
      <c r="L22" s="69"/>
    </row>
    <row r="23" spans="1:12" x14ac:dyDescent="0.3">
      <c r="A23" s="69" t="s">
        <v>534</v>
      </c>
      <c r="B23" s="69" t="s">
        <v>282</v>
      </c>
      <c r="C23" s="68">
        <v>46097</v>
      </c>
      <c r="D23" s="69" t="s">
        <v>513</v>
      </c>
      <c r="E23" s="69" t="s">
        <v>508</v>
      </c>
      <c r="F23" s="69" t="s">
        <v>176</v>
      </c>
      <c r="G23" s="69" t="s">
        <v>500</v>
      </c>
      <c r="H23" s="68">
        <v>46098</v>
      </c>
      <c r="I23" s="80">
        <f t="shared" si="0"/>
        <v>1</v>
      </c>
      <c r="J23" s="80" t="str">
        <f t="shared" ca="1" si="1"/>
        <v/>
      </c>
      <c r="K23" s="69" t="s">
        <v>514</v>
      </c>
      <c r="L23" s="69"/>
    </row>
    <row r="24" spans="1:12" x14ac:dyDescent="0.3">
      <c r="A24" s="69" t="s">
        <v>535</v>
      </c>
      <c r="B24" s="69" t="s">
        <v>329</v>
      </c>
      <c r="C24" s="68">
        <v>46184</v>
      </c>
      <c r="D24" s="69" t="s">
        <v>498</v>
      </c>
      <c r="E24" s="69" t="s">
        <v>508</v>
      </c>
      <c r="F24" s="69" t="s">
        <v>194</v>
      </c>
      <c r="G24" s="69" t="s">
        <v>500</v>
      </c>
      <c r="H24" s="68">
        <v>46190</v>
      </c>
      <c r="I24" s="80">
        <f t="shared" si="0"/>
        <v>6</v>
      </c>
      <c r="J24" s="80" t="str">
        <f t="shared" ca="1" si="1"/>
        <v/>
      </c>
      <c r="K24" s="69" t="s">
        <v>501</v>
      </c>
      <c r="L24" s="69"/>
    </row>
    <row r="25" spans="1:12" x14ac:dyDescent="0.3">
      <c r="A25" s="69" t="s">
        <v>536</v>
      </c>
      <c r="B25" s="69" t="s">
        <v>271</v>
      </c>
      <c r="C25" s="68">
        <v>46089</v>
      </c>
      <c r="D25" s="69" t="s">
        <v>532</v>
      </c>
      <c r="E25" s="69" t="s">
        <v>499</v>
      </c>
      <c r="F25" s="69" t="s">
        <v>188</v>
      </c>
      <c r="G25" s="69" t="s">
        <v>500</v>
      </c>
      <c r="H25" s="68">
        <v>46092</v>
      </c>
      <c r="I25" s="80">
        <f t="shared" si="0"/>
        <v>3</v>
      </c>
      <c r="J25" s="80" t="str">
        <f t="shared" ca="1" si="1"/>
        <v/>
      </c>
      <c r="K25" s="69" t="s">
        <v>533</v>
      </c>
      <c r="L25" s="69"/>
    </row>
    <row r="26" spans="1:12" x14ac:dyDescent="0.3">
      <c r="A26" s="69" t="s">
        <v>537</v>
      </c>
      <c r="B26" s="69" t="s">
        <v>282</v>
      </c>
      <c r="C26" s="68">
        <v>46095</v>
      </c>
      <c r="D26" s="69" t="s">
        <v>521</v>
      </c>
      <c r="E26" s="69" t="s">
        <v>504</v>
      </c>
      <c r="F26" s="69" t="s">
        <v>176</v>
      </c>
      <c r="G26" s="69" t="s">
        <v>500</v>
      </c>
      <c r="H26" s="68">
        <v>46098</v>
      </c>
      <c r="I26" s="80">
        <f t="shared" si="0"/>
        <v>3</v>
      </c>
      <c r="J26" s="80" t="str">
        <f t="shared" ca="1" si="1"/>
        <v/>
      </c>
      <c r="K26" s="69" t="s">
        <v>522</v>
      </c>
      <c r="L26" s="69"/>
    </row>
    <row r="27" spans="1:12" x14ac:dyDescent="0.3">
      <c r="A27" s="69" t="s">
        <v>538</v>
      </c>
      <c r="B27" s="69" t="s">
        <v>332</v>
      </c>
      <c r="C27" s="68">
        <v>46067</v>
      </c>
      <c r="D27" s="69" t="s">
        <v>498</v>
      </c>
      <c r="E27" s="69" t="s">
        <v>508</v>
      </c>
      <c r="F27" s="69" t="s">
        <v>170</v>
      </c>
      <c r="G27" s="69" t="s">
        <v>500</v>
      </c>
      <c r="H27" s="68">
        <v>46082</v>
      </c>
      <c r="I27" s="80">
        <f t="shared" si="0"/>
        <v>15</v>
      </c>
      <c r="J27" s="80" t="str">
        <f t="shared" ca="1" si="1"/>
        <v/>
      </c>
      <c r="K27" s="69" t="s">
        <v>501</v>
      </c>
      <c r="L27" s="69"/>
    </row>
    <row r="28" spans="1:12" x14ac:dyDescent="0.3">
      <c r="A28" s="69" t="s">
        <v>539</v>
      </c>
      <c r="B28" s="69" t="s">
        <v>329</v>
      </c>
      <c r="C28" s="68">
        <v>46218</v>
      </c>
      <c r="D28" s="69" t="s">
        <v>540</v>
      </c>
      <c r="E28" s="69" t="s">
        <v>528</v>
      </c>
      <c r="F28" s="69" t="s">
        <v>183</v>
      </c>
      <c r="G28" s="69" t="s">
        <v>500</v>
      </c>
      <c r="H28" s="68">
        <v>46230</v>
      </c>
      <c r="I28" s="80">
        <f t="shared" si="0"/>
        <v>12</v>
      </c>
      <c r="J28" s="80" t="str">
        <f t="shared" ca="1" si="1"/>
        <v/>
      </c>
      <c r="K28" s="69" t="s">
        <v>541</v>
      </c>
      <c r="L28" s="69"/>
    </row>
    <row r="29" spans="1:12" x14ac:dyDescent="0.3">
      <c r="A29" s="69" t="s">
        <v>542</v>
      </c>
      <c r="B29" s="69" t="s">
        <v>282</v>
      </c>
      <c r="C29" s="68">
        <v>46161</v>
      </c>
      <c r="D29" s="69" t="s">
        <v>507</v>
      </c>
      <c r="E29" s="69" t="s">
        <v>528</v>
      </c>
      <c r="F29" s="69" t="s">
        <v>176</v>
      </c>
      <c r="G29" s="69" t="s">
        <v>500</v>
      </c>
      <c r="H29" s="68">
        <v>46167</v>
      </c>
      <c r="I29" s="80">
        <f t="shared" si="0"/>
        <v>6</v>
      </c>
      <c r="J29" s="80" t="str">
        <f t="shared" ca="1" si="1"/>
        <v/>
      </c>
      <c r="K29" s="69" t="s">
        <v>509</v>
      </c>
      <c r="L29" s="69"/>
    </row>
    <row r="30" spans="1:12" x14ac:dyDescent="0.3">
      <c r="A30" s="69" t="s">
        <v>543</v>
      </c>
      <c r="B30" s="69" t="s">
        <v>335</v>
      </c>
      <c r="C30" s="68">
        <v>46242</v>
      </c>
      <c r="D30" s="69" t="s">
        <v>513</v>
      </c>
      <c r="E30" s="69" t="s">
        <v>508</v>
      </c>
      <c r="F30" s="69" t="s">
        <v>183</v>
      </c>
      <c r="G30" s="69" t="s">
        <v>500</v>
      </c>
      <c r="H30" s="68">
        <v>46246</v>
      </c>
      <c r="I30" s="80">
        <f t="shared" si="0"/>
        <v>4</v>
      </c>
      <c r="J30" s="80" t="str">
        <f t="shared" ca="1" si="1"/>
        <v/>
      </c>
      <c r="K30" s="69" t="s">
        <v>514</v>
      </c>
      <c r="L30" s="69"/>
    </row>
    <row r="31" spans="1:12" x14ac:dyDescent="0.3">
      <c r="A31" s="69" t="s">
        <v>544</v>
      </c>
      <c r="B31" s="69" t="s">
        <v>335</v>
      </c>
      <c r="C31" s="68">
        <v>46302</v>
      </c>
      <c r="D31" s="69" t="s">
        <v>516</v>
      </c>
      <c r="E31" s="69" t="s">
        <v>508</v>
      </c>
      <c r="F31" s="69" t="s">
        <v>164</v>
      </c>
      <c r="G31" s="69" t="s">
        <v>500</v>
      </c>
      <c r="H31" s="68">
        <v>46307</v>
      </c>
      <c r="I31" s="80">
        <f t="shared" si="0"/>
        <v>5</v>
      </c>
      <c r="J31" s="80" t="str">
        <f t="shared" ca="1" si="1"/>
        <v/>
      </c>
      <c r="K31" s="69" t="s">
        <v>517</v>
      </c>
      <c r="L31" s="69"/>
    </row>
    <row r="32" spans="1:12" x14ac:dyDescent="0.3">
      <c r="A32" s="69" t="s">
        <v>545</v>
      </c>
      <c r="B32" s="69" t="s">
        <v>345</v>
      </c>
      <c r="C32" s="68">
        <v>46236</v>
      </c>
      <c r="D32" s="69" t="s">
        <v>521</v>
      </c>
      <c r="E32" s="69" t="s">
        <v>508</v>
      </c>
      <c r="F32" s="69" t="s">
        <v>201</v>
      </c>
      <c r="G32" s="69" t="s">
        <v>500</v>
      </c>
      <c r="H32" s="68">
        <v>46237</v>
      </c>
      <c r="I32" s="80">
        <f t="shared" si="0"/>
        <v>1</v>
      </c>
      <c r="J32" s="80" t="str">
        <f t="shared" ca="1" si="1"/>
        <v/>
      </c>
      <c r="K32" s="69" t="s">
        <v>522</v>
      </c>
      <c r="L32" s="69"/>
    </row>
    <row r="33" spans="1:12" x14ac:dyDescent="0.3">
      <c r="A33" s="69" t="s">
        <v>546</v>
      </c>
      <c r="B33" s="69" t="s">
        <v>329</v>
      </c>
      <c r="C33" s="68">
        <v>46175</v>
      </c>
      <c r="D33" s="69" t="s">
        <v>507</v>
      </c>
      <c r="E33" s="69" t="s">
        <v>504</v>
      </c>
      <c r="F33" s="69" t="s">
        <v>176</v>
      </c>
      <c r="G33" s="69" t="s">
        <v>500</v>
      </c>
      <c r="H33" s="68">
        <v>46179</v>
      </c>
      <c r="I33" s="80">
        <f t="shared" si="0"/>
        <v>4</v>
      </c>
      <c r="J33" s="80" t="str">
        <f t="shared" ca="1" si="1"/>
        <v/>
      </c>
      <c r="K33" s="69" t="s">
        <v>509</v>
      </c>
      <c r="L33" s="69"/>
    </row>
    <row r="34" spans="1:12" x14ac:dyDescent="0.3">
      <c r="A34" s="69" t="s">
        <v>547</v>
      </c>
      <c r="B34" s="69" t="s">
        <v>332</v>
      </c>
      <c r="C34" s="68">
        <v>46314</v>
      </c>
      <c r="D34" s="69" t="s">
        <v>540</v>
      </c>
      <c r="E34" s="69" t="s">
        <v>499</v>
      </c>
      <c r="F34" s="69" t="s">
        <v>183</v>
      </c>
      <c r="G34" s="69" t="s">
        <v>298</v>
      </c>
      <c r="H34" s="68"/>
      <c r="I34" s="80" t="str">
        <f t="shared" si="0"/>
        <v/>
      </c>
      <c r="J34" s="80">
        <f t="shared" ca="1" si="1"/>
        <v>10</v>
      </c>
      <c r="K34" s="69" t="s">
        <v>541</v>
      </c>
      <c r="L34" s="69"/>
    </row>
    <row r="35" spans="1:12" x14ac:dyDescent="0.3">
      <c r="A35" s="69" t="s">
        <v>548</v>
      </c>
      <c r="B35" s="69" t="s">
        <v>271</v>
      </c>
      <c r="C35" s="68">
        <v>46026</v>
      </c>
      <c r="D35" s="69" t="s">
        <v>516</v>
      </c>
      <c r="E35" s="69" t="s">
        <v>528</v>
      </c>
      <c r="F35" s="69" t="s">
        <v>188</v>
      </c>
      <c r="G35" s="69" t="s">
        <v>500</v>
      </c>
      <c r="H35" s="68">
        <v>46033</v>
      </c>
      <c r="I35" s="80">
        <f t="shared" si="0"/>
        <v>7</v>
      </c>
      <c r="J35" s="80" t="str">
        <f t="shared" ca="1" si="1"/>
        <v/>
      </c>
      <c r="K35" s="69" t="s">
        <v>517</v>
      </c>
      <c r="L35" s="69"/>
    </row>
    <row r="36" spans="1:12" x14ac:dyDescent="0.3">
      <c r="A36" s="69" t="s">
        <v>549</v>
      </c>
      <c r="B36" s="69" t="s">
        <v>271</v>
      </c>
      <c r="C36" s="68">
        <v>46083</v>
      </c>
      <c r="D36" s="69" t="s">
        <v>540</v>
      </c>
      <c r="E36" s="69" t="s">
        <v>508</v>
      </c>
      <c r="F36" s="69" t="s">
        <v>159</v>
      </c>
      <c r="G36" s="69" t="s">
        <v>500</v>
      </c>
      <c r="H36" s="68">
        <v>46092</v>
      </c>
      <c r="I36" s="80">
        <f t="shared" si="0"/>
        <v>9</v>
      </c>
      <c r="J36" s="80" t="str">
        <f t="shared" ca="1" si="1"/>
        <v/>
      </c>
      <c r="K36" s="69" t="s">
        <v>541</v>
      </c>
      <c r="L36" s="69"/>
    </row>
    <row r="37" spans="1:12" x14ac:dyDescent="0.3">
      <c r="A37" s="69" t="s">
        <v>550</v>
      </c>
      <c r="B37" s="69" t="s">
        <v>282</v>
      </c>
      <c r="C37" s="68">
        <v>46187</v>
      </c>
      <c r="D37" s="69" t="s">
        <v>516</v>
      </c>
      <c r="E37" s="69" t="s">
        <v>504</v>
      </c>
      <c r="F37" s="69" t="s">
        <v>176</v>
      </c>
      <c r="G37" s="69" t="s">
        <v>500</v>
      </c>
      <c r="H37" s="68">
        <v>46190</v>
      </c>
      <c r="I37" s="80">
        <f t="shared" si="0"/>
        <v>3</v>
      </c>
      <c r="J37" s="80" t="str">
        <f t="shared" ca="1" si="1"/>
        <v/>
      </c>
      <c r="K37" s="69" t="s">
        <v>517</v>
      </c>
      <c r="L37" s="69"/>
    </row>
    <row r="38" spans="1:12" x14ac:dyDescent="0.3">
      <c r="A38" s="69" t="s">
        <v>551</v>
      </c>
      <c r="B38" s="69" t="s">
        <v>345</v>
      </c>
      <c r="C38" s="68">
        <v>46048</v>
      </c>
      <c r="D38" s="69" t="s">
        <v>498</v>
      </c>
      <c r="E38" s="69" t="s">
        <v>504</v>
      </c>
      <c r="F38" s="69" t="s">
        <v>194</v>
      </c>
      <c r="G38" s="69" t="s">
        <v>500</v>
      </c>
      <c r="H38" s="68">
        <v>46066</v>
      </c>
      <c r="I38" s="80">
        <f t="shared" si="0"/>
        <v>18</v>
      </c>
      <c r="J38" s="80" t="str">
        <f t="shared" ca="1" si="1"/>
        <v/>
      </c>
      <c r="K38" s="69" t="s">
        <v>501</v>
      </c>
      <c r="L38" s="69"/>
    </row>
    <row r="39" spans="1:12" x14ac:dyDescent="0.3">
      <c r="A39" s="69" t="s">
        <v>552</v>
      </c>
      <c r="B39" s="69" t="s">
        <v>332</v>
      </c>
      <c r="C39" s="68">
        <v>46079</v>
      </c>
      <c r="D39" s="69" t="s">
        <v>532</v>
      </c>
      <c r="E39" s="69" t="s">
        <v>504</v>
      </c>
      <c r="F39" s="69" t="s">
        <v>170</v>
      </c>
      <c r="G39" s="69" t="s">
        <v>500</v>
      </c>
      <c r="H39" s="68">
        <v>46097</v>
      </c>
      <c r="I39" s="80">
        <f t="shared" si="0"/>
        <v>18</v>
      </c>
      <c r="J39" s="80" t="str">
        <f t="shared" ca="1" si="1"/>
        <v/>
      </c>
      <c r="K39" s="69" t="s">
        <v>533</v>
      </c>
      <c r="L39" s="69"/>
    </row>
    <row r="40" spans="1:12" x14ac:dyDescent="0.3">
      <c r="A40" s="69" t="s">
        <v>553</v>
      </c>
      <c r="B40" s="69" t="s">
        <v>282</v>
      </c>
      <c r="C40" s="68">
        <v>46226</v>
      </c>
      <c r="D40" s="69" t="s">
        <v>507</v>
      </c>
      <c r="E40" s="69" t="s">
        <v>528</v>
      </c>
      <c r="F40" s="69" t="s">
        <v>194</v>
      </c>
      <c r="G40" s="69" t="s">
        <v>500</v>
      </c>
      <c r="H40" s="68">
        <v>46233</v>
      </c>
      <c r="I40" s="80">
        <f t="shared" si="0"/>
        <v>7</v>
      </c>
      <c r="J40" s="80" t="str">
        <f t="shared" ca="1" si="1"/>
        <v/>
      </c>
      <c r="K40" s="69" t="s">
        <v>509</v>
      </c>
      <c r="L40" s="69"/>
    </row>
    <row r="41" spans="1:12" x14ac:dyDescent="0.3">
      <c r="A41" s="69" t="s">
        <v>554</v>
      </c>
      <c r="B41" s="69" t="s">
        <v>292</v>
      </c>
      <c r="C41" s="68">
        <v>46032</v>
      </c>
      <c r="D41" s="69" t="s">
        <v>516</v>
      </c>
      <c r="E41" s="69" t="s">
        <v>504</v>
      </c>
      <c r="F41" s="69" t="s">
        <v>188</v>
      </c>
      <c r="G41" s="69" t="s">
        <v>500</v>
      </c>
      <c r="H41" s="68">
        <v>46046</v>
      </c>
      <c r="I41" s="80">
        <f t="shared" si="0"/>
        <v>14</v>
      </c>
      <c r="J41" s="80" t="str">
        <f t="shared" ca="1" si="1"/>
        <v/>
      </c>
      <c r="K41" s="69" t="s">
        <v>517</v>
      </c>
      <c r="L41" s="69"/>
    </row>
    <row r="42" spans="1:12" x14ac:dyDescent="0.3">
      <c r="A42" s="69" t="s">
        <v>555</v>
      </c>
      <c r="B42" s="69" t="s">
        <v>271</v>
      </c>
      <c r="C42" s="68">
        <v>46125</v>
      </c>
      <c r="D42" s="69" t="s">
        <v>532</v>
      </c>
      <c r="E42" s="69" t="s">
        <v>499</v>
      </c>
      <c r="F42" s="69" t="s">
        <v>170</v>
      </c>
      <c r="G42" s="69" t="s">
        <v>500</v>
      </c>
      <c r="H42" s="68">
        <v>46129</v>
      </c>
      <c r="I42" s="80">
        <f t="shared" si="0"/>
        <v>4</v>
      </c>
      <c r="J42" s="80" t="str">
        <f t="shared" ca="1" si="1"/>
        <v/>
      </c>
      <c r="K42" s="69" t="s">
        <v>533</v>
      </c>
      <c r="L42" s="69"/>
    </row>
    <row r="43" spans="1:12" x14ac:dyDescent="0.3">
      <c r="A43" s="69" t="s">
        <v>556</v>
      </c>
      <c r="B43" s="69" t="s">
        <v>341</v>
      </c>
      <c r="C43" s="68">
        <v>46207</v>
      </c>
      <c r="D43" s="69" t="s">
        <v>521</v>
      </c>
      <c r="E43" s="69" t="s">
        <v>499</v>
      </c>
      <c r="F43" s="69" t="s">
        <v>170</v>
      </c>
      <c r="G43" s="69" t="s">
        <v>500</v>
      </c>
      <c r="H43" s="68">
        <v>46214</v>
      </c>
      <c r="I43" s="80">
        <f t="shared" si="0"/>
        <v>7</v>
      </c>
      <c r="J43" s="80" t="str">
        <f t="shared" ca="1" si="1"/>
        <v/>
      </c>
      <c r="K43" s="69" t="s">
        <v>522</v>
      </c>
      <c r="L43" s="69"/>
    </row>
    <row r="44" spans="1:12" x14ac:dyDescent="0.3">
      <c r="A44" s="69" t="s">
        <v>557</v>
      </c>
      <c r="B44" s="69" t="s">
        <v>332</v>
      </c>
      <c r="C44" s="68">
        <v>46082</v>
      </c>
      <c r="D44" s="69" t="s">
        <v>503</v>
      </c>
      <c r="E44" s="69" t="s">
        <v>499</v>
      </c>
      <c r="F44" s="69" t="s">
        <v>164</v>
      </c>
      <c r="G44" s="69" t="s">
        <v>500</v>
      </c>
      <c r="H44" s="68">
        <v>46100</v>
      </c>
      <c r="I44" s="80">
        <f t="shared" si="0"/>
        <v>18</v>
      </c>
      <c r="J44" s="80" t="str">
        <f t="shared" ca="1" si="1"/>
        <v/>
      </c>
      <c r="K44" s="69" t="s">
        <v>505</v>
      </c>
      <c r="L44" s="69"/>
    </row>
    <row r="45" spans="1:12" x14ac:dyDescent="0.3">
      <c r="A45" s="69"/>
      <c r="B45" s="69"/>
      <c r="C45" s="68"/>
      <c r="D45" s="69"/>
      <c r="E45" s="69"/>
      <c r="F45" s="69"/>
      <c r="G45" s="69"/>
      <c r="H45" s="68"/>
      <c r="I45" s="80" t="str">
        <f t="shared" si="0"/>
        <v/>
      </c>
      <c r="J45" s="80" t="str">
        <f t="shared" ca="1" si="1"/>
        <v/>
      </c>
      <c r="K45" s="69"/>
      <c r="L45" s="69"/>
    </row>
    <row r="46" spans="1:12" x14ac:dyDescent="0.3">
      <c r="A46" s="69"/>
      <c r="B46" s="69"/>
      <c r="C46" s="68"/>
      <c r="D46" s="69"/>
      <c r="E46" s="69"/>
      <c r="F46" s="69"/>
      <c r="G46" s="69"/>
      <c r="H46" s="68"/>
      <c r="I46" s="80" t="str">
        <f t="shared" si="0"/>
        <v/>
      </c>
      <c r="J46" s="80" t="str">
        <f t="shared" ca="1" si="1"/>
        <v/>
      </c>
      <c r="K46" s="69"/>
      <c r="L46" s="69"/>
    </row>
    <row r="47" spans="1:12" x14ac:dyDescent="0.3">
      <c r="A47" s="69"/>
      <c r="B47" s="69"/>
      <c r="C47" s="68"/>
      <c r="D47" s="69"/>
      <c r="E47" s="69"/>
      <c r="F47" s="69"/>
      <c r="G47" s="69"/>
      <c r="H47" s="68"/>
      <c r="I47" s="80" t="str">
        <f t="shared" si="0"/>
        <v/>
      </c>
      <c r="J47" s="80" t="str">
        <f t="shared" ca="1" si="1"/>
        <v/>
      </c>
      <c r="K47" s="69"/>
      <c r="L47" s="69"/>
    </row>
    <row r="48" spans="1:12" x14ac:dyDescent="0.3">
      <c r="A48" s="69"/>
      <c r="B48" s="69"/>
      <c r="C48" s="68"/>
      <c r="D48" s="69"/>
      <c r="E48" s="69"/>
      <c r="F48" s="69"/>
      <c r="G48" s="69"/>
      <c r="H48" s="68"/>
      <c r="I48" s="80" t="str">
        <f t="shared" si="0"/>
        <v/>
      </c>
      <c r="J48" s="80" t="str">
        <f t="shared" ca="1" si="1"/>
        <v/>
      </c>
      <c r="K48" s="69"/>
      <c r="L48" s="69"/>
    </row>
    <row r="49" spans="1:12" x14ac:dyDescent="0.3">
      <c r="A49" s="69"/>
      <c r="B49" s="69"/>
      <c r="C49" s="68"/>
      <c r="D49" s="69"/>
      <c r="E49" s="69"/>
      <c r="F49" s="69"/>
      <c r="G49" s="69"/>
      <c r="H49" s="68"/>
      <c r="I49" s="80" t="str">
        <f t="shared" si="0"/>
        <v/>
      </c>
      <c r="J49" s="80" t="str">
        <f t="shared" ca="1" si="1"/>
        <v/>
      </c>
      <c r="K49" s="69"/>
      <c r="L49" s="69"/>
    </row>
    <row r="50" spans="1:12" x14ac:dyDescent="0.3">
      <c r="A50" s="69"/>
      <c r="B50" s="69"/>
      <c r="C50" s="68"/>
      <c r="D50" s="69"/>
      <c r="E50" s="69"/>
      <c r="F50" s="69"/>
      <c r="G50" s="69"/>
      <c r="H50" s="68"/>
      <c r="I50" s="80" t="str">
        <f t="shared" si="0"/>
        <v/>
      </c>
      <c r="J50" s="80" t="str">
        <f t="shared" ca="1" si="1"/>
        <v/>
      </c>
      <c r="K50" s="69"/>
      <c r="L50" s="69"/>
    </row>
    <row r="51" spans="1:12" x14ac:dyDescent="0.3">
      <c r="A51" s="69"/>
      <c r="B51" s="69"/>
      <c r="C51" s="68"/>
      <c r="D51" s="69"/>
      <c r="E51" s="69"/>
      <c r="F51" s="69"/>
      <c r="G51" s="69"/>
      <c r="H51" s="68"/>
      <c r="I51" s="80" t="str">
        <f t="shared" si="0"/>
        <v/>
      </c>
      <c r="J51" s="80" t="str">
        <f t="shared" ca="1" si="1"/>
        <v/>
      </c>
      <c r="K51" s="69"/>
      <c r="L51" s="69"/>
    </row>
    <row r="52" spans="1:12" x14ac:dyDescent="0.3">
      <c r="A52" s="69"/>
      <c r="B52" s="69"/>
      <c r="C52" s="68"/>
      <c r="D52" s="69"/>
      <c r="E52" s="69"/>
      <c r="F52" s="69"/>
      <c r="G52" s="69"/>
      <c r="H52" s="68"/>
      <c r="I52" s="80" t="str">
        <f t="shared" si="0"/>
        <v/>
      </c>
      <c r="J52" s="80" t="str">
        <f t="shared" ca="1" si="1"/>
        <v/>
      </c>
      <c r="K52" s="69"/>
      <c r="L52" s="69"/>
    </row>
    <row r="53" spans="1:12" x14ac:dyDescent="0.3">
      <c r="A53" s="69"/>
      <c r="B53" s="69"/>
      <c r="C53" s="68"/>
      <c r="D53" s="69"/>
      <c r="E53" s="69"/>
      <c r="F53" s="69"/>
      <c r="G53" s="69"/>
      <c r="H53" s="68"/>
      <c r="I53" s="80" t="str">
        <f t="shared" si="0"/>
        <v/>
      </c>
      <c r="J53" s="80" t="str">
        <f t="shared" ca="1" si="1"/>
        <v/>
      </c>
      <c r="K53" s="69"/>
      <c r="L53" s="69"/>
    </row>
    <row r="54" spans="1:12" x14ac:dyDescent="0.3">
      <c r="A54" s="69"/>
      <c r="B54" s="69"/>
      <c r="C54" s="68"/>
      <c r="D54" s="69"/>
      <c r="E54" s="69"/>
      <c r="F54" s="69"/>
      <c r="G54" s="69"/>
      <c r="H54" s="68"/>
      <c r="I54" s="80" t="str">
        <f t="shared" si="0"/>
        <v/>
      </c>
      <c r="J54" s="80" t="str">
        <f t="shared" ca="1" si="1"/>
        <v/>
      </c>
      <c r="K54" s="69"/>
      <c r="L54" s="69"/>
    </row>
    <row r="55" spans="1:12" x14ac:dyDescent="0.3">
      <c r="A55" s="69"/>
      <c r="B55" s="69"/>
      <c r="C55" s="68"/>
      <c r="D55" s="69"/>
      <c r="E55" s="69"/>
      <c r="F55" s="69"/>
      <c r="G55" s="69"/>
      <c r="H55" s="68"/>
      <c r="I55" s="80" t="str">
        <f t="shared" si="0"/>
        <v/>
      </c>
      <c r="J55" s="80" t="str">
        <f t="shared" ca="1" si="1"/>
        <v/>
      </c>
      <c r="K55" s="69"/>
      <c r="L55" s="69"/>
    </row>
    <row r="56" spans="1:12" x14ac:dyDescent="0.3">
      <c r="A56" s="69"/>
      <c r="B56" s="69"/>
      <c r="C56" s="68"/>
      <c r="D56" s="69"/>
      <c r="E56" s="69"/>
      <c r="F56" s="69"/>
      <c r="G56" s="69"/>
      <c r="H56" s="68"/>
      <c r="I56" s="80" t="str">
        <f t="shared" si="0"/>
        <v/>
      </c>
      <c r="J56" s="80" t="str">
        <f t="shared" ca="1" si="1"/>
        <v/>
      </c>
      <c r="K56" s="69"/>
      <c r="L56" s="69"/>
    </row>
    <row r="57" spans="1:12" x14ac:dyDescent="0.3">
      <c r="A57" s="69"/>
      <c r="B57" s="69"/>
      <c r="C57" s="68"/>
      <c r="D57" s="69"/>
      <c r="E57" s="69"/>
      <c r="F57" s="69"/>
      <c r="G57" s="69"/>
      <c r="H57" s="68"/>
      <c r="I57" s="80" t="str">
        <f t="shared" si="0"/>
        <v/>
      </c>
      <c r="J57" s="80" t="str">
        <f t="shared" ca="1" si="1"/>
        <v/>
      </c>
      <c r="K57" s="69"/>
      <c r="L57" s="69"/>
    </row>
    <row r="58" spans="1:12" x14ac:dyDescent="0.3">
      <c r="A58" s="69"/>
      <c r="B58" s="69"/>
      <c r="C58" s="68"/>
      <c r="D58" s="69"/>
      <c r="E58" s="69"/>
      <c r="F58" s="69"/>
      <c r="G58" s="69"/>
      <c r="H58" s="68"/>
      <c r="I58" s="80" t="str">
        <f t="shared" si="0"/>
        <v/>
      </c>
      <c r="J58" s="80" t="str">
        <f t="shared" ca="1" si="1"/>
        <v/>
      </c>
      <c r="K58" s="69"/>
      <c r="L58" s="69"/>
    </row>
    <row r="59" spans="1:12" x14ac:dyDescent="0.3">
      <c r="A59" s="69"/>
      <c r="B59" s="69"/>
      <c r="C59" s="68"/>
      <c r="D59" s="69"/>
      <c r="E59" s="69"/>
      <c r="F59" s="69"/>
      <c r="G59" s="69"/>
      <c r="H59" s="68"/>
      <c r="I59" s="80" t="str">
        <f t="shared" si="0"/>
        <v/>
      </c>
      <c r="J59" s="80" t="str">
        <f t="shared" ca="1" si="1"/>
        <v/>
      </c>
      <c r="K59" s="69"/>
      <c r="L59" s="69"/>
    </row>
    <row r="60" spans="1:12" x14ac:dyDescent="0.3">
      <c r="A60" s="69"/>
      <c r="B60" s="69"/>
      <c r="C60" s="68"/>
      <c r="D60" s="69"/>
      <c r="E60" s="69"/>
      <c r="F60" s="69"/>
      <c r="G60" s="69"/>
      <c r="H60" s="68"/>
      <c r="I60" s="80" t="str">
        <f t="shared" si="0"/>
        <v/>
      </c>
      <c r="J60" s="80" t="str">
        <f t="shared" ca="1" si="1"/>
        <v/>
      </c>
      <c r="K60" s="69"/>
      <c r="L60" s="69"/>
    </row>
    <row r="61" spans="1:12" x14ac:dyDescent="0.3">
      <c r="A61" s="69"/>
      <c r="B61" s="69"/>
      <c r="C61" s="68"/>
      <c r="D61" s="69"/>
      <c r="E61" s="69"/>
      <c r="F61" s="69"/>
      <c r="G61" s="69"/>
      <c r="H61" s="68"/>
      <c r="I61" s="80" t="str">
        <f t="shared" si="0"/>
        <v/>
      </c>
      <c r="J61" s="80" t="str">
        <f t="shared" ca="1" si="1"/>
        <v/>
      </c>
      <c r="K61" s="69"/>
      <c r="L61" s="69"/>
    </row>
    <row r="62" spans="1:12" x14ac:dyDescent="0.3">
      <c r="A62" s="69"/>
      <c r="B62" s="69"/>
      <c r="C62" s="68"/>
      <c r="D62" s="69"/>
      <c r="E62" s="69"/>
      <c r="F62" s="69"/>
      <c r="G62" s="69"/>
      <c r="H62" s="68"/>
      <c r="I62" s="80" t="str">
        <f t="shared" si="0"/>
        <v/>
      </c>
      <c r="J62" s="80" t="str">
        <f t="shared" ca="1" si="1"/>
        <v/>
      </c>
      <c r="K62" s="69"/>
      <c r="L62" s="69"/>
    </row>
    <row r="63" spans="1:12" x14ac:dyDescent="0.3">
      <c r="A63" s="69"/>
      <c r="B63" s="69"/>
      <c r="C63" s="68"/>
      <c r="D63" s="69"/>
      <c r="E63" s="69"/>
      <c r="F63" s="69"/>
      <c r="G63" s="69"/>
      <c r="H63" s="68"/>
      <c r="I63" s="80" t="str">
        <f t="shared" si="0"/>
        <v/>
      </c>
      <c r="J63" s="80" t="str">
        <f t="shared" ca="1" si="1"/>
        <v/>
      </c>
      <c r="K63" s="69"/>
      <c r="L63" s="69"/>
    </row>
    <row r="64" spans="1:12" x14ac:dyDescent="0.3">
      <c r="A64" s="69"/>
      <c r="B64" s="69"/>
      <c r="C64" s="68"/>
      <c r="D64" s="69"/>
      <c r="E64" s="69"/>
      <c r="F64" s="69"/>
      <c r="G64" s="69"/>
      <c r="H64" s="68"/>
      <c r="I64" s="80" t="str">
        <f t="shared" si="0"/>
        <v/>
      </c>
      <c r="J64" s="80" t="str">
        <f t="shared" ca="1" si="1"/>
        <v/>
      </c>
      <c r="K64" s="69"/>
      <c r="L64" s="69"/>
    </row>
    <row r="65" spans="1:12" x14ac:dyDescent="0.3">
      <c r="A65" s="69"/>
      <c r="B65" s="69"/>
      <c r="C65" s="68"/>
      <c r="D65" s="69"/>
      <c r="E65" s="69"/>
      <c r="F65" s="69"/>
      <c r="G65" s="69"/>
      <c r="H65" s="68"/>
      <c r="I65" s="80" t="str">
        <f t="shared" si="0"/>
        <v/>
      </c>
      <c r="J65" s="80" t="str">
        <f t="shared" ca="1" si="1"/>
        <v/>
      </c>
      <c r="K65" s="69"/>
      <c r="L65" s="69"/>
    </row>
    <row r="66" spans="1:12" x14ac:dyDescent="0.3">
      <c r="A66" s="69"/>
      <c r="B66" s="69"/>
      <c r="C66" s="68"/>
      <c r="D66" s="69"/>
      <c r="E66" s="69"/>
      <c r="F66" s="69"/>
      <c r="G66" s="69"/>
      <c r="H66" s="68"/>
      <c r="I66" s="80" t="str">
        <f t="shared" si="0"/>
        <v/>
      </c>
      <c r="J66" s="80" t="str">
        <f t="shared" ca="1" si="1"/>
        <v/>
      </c>
      <c r="K66" s="69"/>
      <c r="L66" s="69"/>
    </row>
    <row r="67" spans="1:12" x14ac:dyDescent="0.3">
      <c r="A67" s="69"/>
      <c r="B67" s="69"/>
      <c r="C67" s="68"/>
      <c r="D67" s="69"/>
      <c r="E67" s="69"/>
      <c r="F67" s="69"/>
      <c r="G67" s="69"/>
      <c r="H67" s="68"/>
      <c r="I67" s="80" t="str">
        <f t="shared" si="0"/>
        <v/>
      </c>
      <c r="J67" s="80" t="str">
        <f t="shared" ca="1" si="1"/>
        <v/>
      </c>
      <c r="K67" s="69"/>
      <c r="L67" s="69"/>
    </row>
    <row r="68" spans="1:12" x14ac:dyDescent="0.3">
      <c r="A68" s="69"/>
      <c r="B68" s="69"/>
      <c r="C68" s="68"/>
      <c r="D68" s="69"/>
      <c r="E68" s="69"/>
      <c r="F68" s="69"/>
      <c r="G68" s="69"/>
      <c r="H68" s="68"/>
      <c r="I68" s="80" t="str">
        <f t="shared" si="0"/>
        <v/>
      </c>
      <c r="J68" s="80" t="str">
        <f t="shared" ca="1" si="1"/>
        <v/>
      </c>
      <c r="K68" s="69"/>
      <c r="L68" s="69"/>
    </row>
    <row r="69" spans="1:12" x14ac:dyDescent="0.3">
      <c r="A69" s="69"/>
      <c r="B69" s="69"/>
      <c r="C69" s="68"/>
      <c r="D69" s="69"/>
      <c r="E69" s="69"/>
      <c r="F69" s="69"/>
      <c r="G69" s="69"/>
      <c r="H69" s="68"/>
      <c r="I69" s="80" t="str">
        <f t="shared" ref="I69:I132" si="2">IF(OR(C69="",H69=""),"",H69-C69)</f>
        <v/>
      </c>
      <c r="J69" s="80" t="str">
        <f t="shared" ref="J69:J132" ca="1" si="3">IF(OR(C69="",H69&lt;&gt;""),"",TODAY()-C69)</f>
        <v/>
      </c>
      <c r="K69" s="69"/>
      <c r="L69" s="69"/>
    </row>
    <row r="70" spans="1:12" x14ac:dyDescent="0.3">
      <c r="A70" s="69"/>
      <c r="B70" s="69"/>
      <c r="C70" s="68"/>
      <c r="D70" s="69"/>
      <c r="E70" s="69"/>
      <c r="F70" s="69"/>
      <c r="G70" s="69"/>
      <c r="H70" s="68"/>
      <c r="I70" s="80" t="str">
        <f t="shared" si="2"/>
        <v/>
      </c>
      <c r="J70" s="80" t="str">
        <f t="shared" ca="1" si="3"/>
        <v/>
      </c>
      <c r="K70" s="69"/>
      <c r="L70" s="69"/>
    </row>
    <row r="71" spans="1:12" x14ac:dyDescent="0.3">
      <c r="A71" s="69"/>
      <c r="B71" s="69"/>
      <c r="C71" s="68"/>
      <c r="D71" s="69"/>
      <c r="E71" s="69"/>
      <c r="F71" s="69"/>
      <c r="G71" s="69"/>
      <c r="H71" s="68"/>
      <c r="I71" s="80" t="str">
        <f t="shared" si="2"/>
        <v/>
      </c>
      <c r="J71" s="80" t="str">
        <f t="shared" ca="1" si="3"/>
        <v/>
      </c>
      <c r="K71" s="69"/>
      <c r="L71" s="69"/>
    </row>
    <row r="72" spans="1:12" x14ac:dyDescent="0.3">
      <c r="A72" s="69"/>
      <c r="B72" s="69"/>
      <c r="C72" s="68"/>
      <c r="D72" s="69"/>
      <c r="E72" s="69"/>
      <c r="F72" s="69"/>
      <c r="G72" s="69"/>
      <c r="H72" s="68"/>
      <c r="I72" s="80" t="str">
        <f t="shared" si="2"/>
        <v/>
      </c>
      <c r="J72" s="80" t="str">
        <f t="shared" ca="1" si="3"/>
        <v/>
      </c>
      <c r="K72" s="69"/>
      <c r="L72" s="69"/>
    </row>
    <row r="73" spans="1:12" x14ac:dyDescent="0.3">
      <c r="A73" s="69"/>
      <c r="B73" s="69"/>
      <c r="C73" s="68"/>
      <c r="D73" s="69"/>
      <c r="E73" s="69"/>
      <c r="F73" s="69"/>
      <c r="G73" s="69"/>
      <c r="H73" s="68"/>
      <c r="I73" s="80" t="str">
        <f t="shared" si="2"/>
        <v/>
      </c>
      <c r="J73" s="80" t="str">
        <f t="shared" ca="1" si="3"/>
        <v/>
      </c>
      <c r="K73" s="69"/>
      <c r="L73" s="69"/>
    </row>
    <row r="74" spans="1:12" x14ac:dyDescent="0.3">
      <c r="A74" s="69"/>
      <c r="B74" s="69"/>
      <c r="C74" s="68"/>
      <c r="D74" s="69"/>
      <c r="E74" s="69"/>
      <c r="F74" s="69"/>
      <c r="G74" s="69"/>
      <c r="H74" s="68"/>
      <c r="I74" s="80" t="str">
        <f t="shared" si="2"/>
        <v/>
      </c>
      <c r="J74" s="80" t="str">
        <f t="shared" ca="1" si="3"/>
        <v/>
      </c>
      <c r="K74" s="69"/>
      <c r="L74" s="69"/>
    </row>
    <row r="75" spans="1:12" x14ac:dyDescent="0.3">
      <c r="A75" s="69"/>
      <c r="B75" s="69"/>
      <c r="C75" s="68"/>
      <c r="D75" s="69"/>
      <c r="E75" s="69"/>
      <c r="F75" s="69"/>
      <c r="G75" s="69"/>
      <c r="H75" s="68"/>
      <c r="I75" s="80" t="str">
        <f t="shared" si="2"/>
        <v/>
      </c>
      <c r="J75" s="80" t="str">
        <f t="shared" ca="1" si="3"/>
        <v/>
      </c>
      <c r="K75" s="69"/>
      <c r="L75" s="69"/>
    </row>
    <row r="76" spans="1:12" x14ac:dyDescent="0.3">
      <c r="A76" s="69"/>
      <c r="B76" s="69"/>
      <c r="C76" s="68"/>
      <c r="D76" s="69"/>
      <c r="E76" s="69"/>
      <c r="F76" s="69"/>
      <c r="G76" s="69"/>
      <c r="H76" s="68"/>
      <c r="I76" s="80" t="str">
        <f t="shared" si="2"/>
        <v/>
      </c>
      <c r="J76" s="80" t="str">
        <f t="shared" ca="1" si="3"/>
        <v/>
      </c>
      <c r="K76" s="69"/>
      <c r="L76" s="69"/>
    </row>
    <row r="77" spans="1:12" x14ac:dyDescent="0.3">
      <c r="A77" s="69"/>
      <c r="B77" s="69"/>
      <c r="C77" s="68"/>
      <c r="D77" s="69"/>
      <c r="E77" s="69"/>
      <c r="F77" s="69"/>
      <c r="G77" s="69"/>
      <c r="H77" s="68"/>
      <c r="I77" s="80" t="str">
        <f t="shared" si="2"/>
        <v/>
      </c>
      <c r="J77" s="80" t="str">
        <f t="shared" ca="1" si="3"/>
        <v/>
      </c>
      <c r="K77" s="69"/>
      <c r="L77" s="69"/>
    </row>
    <row r="78" spans="1:12" x14ac:dyDescent="0.3">
      <c r="A78" s="69"/>
      <c r="B78" s="69"/>
      <c r="C78" s="68"/>
      <c r="D78" s="69"/>
      <c r="E78" s="69"/>
      <c r="F78" s="69"/>
      <c r="G78" s="69"/>
      <c r="H78" s="68"/>
      <c r="I78" s="80" t="str">
        <f t="shared" si="2"/>
        <v/>
      </c>
      <c r="J78" s="80" t="str">
        <f t="shared" ca="1" si="3"/>
        <v/>
      </c>
      <c r="K78" s="69"/>
      <c r="L78" s="69"/>
    </row>
    <row r="79" spans="1:12" x14ac:dyDescent="0.3">
      <c r="A79" s="69"/>
      <c r="B79" s="69"/>
      <c r="C79" s="68"/>
      <c r="D79" s="69"/>
      <c r="E79" s="69"/>
      <c r="F79" s="69"/>
      <c r="G79" s="69"/>
      <c r="H79" s="68"/>
      <c r="I79" s="80" t="str">
        <f t="shared" si="2"/>
        <v/>
      </c>
      <c r="J79" s="80" t="str">
        <f t="shared" ca="1" si="3"/>
        <v/>
      </c>
      <c r="K79" s="69"/>
      <c r="L79" s="69"/>
    </row>
    <row r="80" spans="1:12" x14ac:dyDescent="0.3">
      <c r="A80" s="69"/>
      <c r="B80" s="69"/>
      <c r="C80" s="68"/>
      <c r="D80" s="69"/>
      <c r="E80" s="69"/>
      <c r="F80" s="69"/>
      <c r="G80" s="69"/>
      <c r="H80" s="68"/>
      <c r="I80" s="80" t="str">
        <f t="shared" si="2"/>
        <v/>
      </c>
      <c r="J80" s="80" t="str">
        <f t="shared" ca="1" si="3"/>
        <v/>
      </c>
      <c r="K80" s="69"/>
      <c r="L80" s="69"/>
    </row>
    <row r="81" spans="1:12" x14ac:dyDescent="0.3">
      <c r="A81" s="69"/>
      <c r="B81" s="69"/>
      <c r="C81" s="68"/>
      <c r="D81" s="69"/>
      <c r="E81" s="69"/>
      <c r="F81" s="69"/>
      <c r="G81" s="69"/>
      <c r="H81" s="68"/>
      <c r="I81" s="80" t="str">
        <f t="shared" si="2"/>
        <v/>
      </c>
      <c r="J81" s="80" t="str">
        <f t="shared" ca="1" si="3"/>
        <v/>
      </c>
      <c r="K81" s="69"/>
      <c r="L81" s="69"/>
    </row>
    <row r="82" spans="1:12" x14ac:dyDescent="0.3">
      <c r="A82" s="69"/>
      <c r="B82" s="69"/>
      <c r="C82" s="68"/>
      <c r="D82" s="69"/>
      <c r="E82" s="69"/>
      <c r="F82" s="69"/>
      <c r="G82" s="69"/>
      <c r="H82" s="68"/>
      <c r="I82" s="80" t="str">
        <f t="shared" si="2"/>
        <v/>
      </c>
      <c r="J82" s="80" t="str">
        <f t="shared" ca="1" si="3"/>
        <v/>
      </c>
      <c r="K82" s="69"/>
      <c r="L82" s="69"/>
    </row>
    <row r="83" spans="1:12" x14ac:dyDescent="0.3">
      <c r="A83" s="69"/>
      <c r="B83" s="69"/>
      <c r="C83" s="68"/>
      <c r="D83" s="69"/>
      <c r="E83" s="69"/>
      <c r="F83" s="69"/>
      <c r="G83" s="69"/>
      <c r="H83" s="68"/>
      <c r="I83" s="80" t="str">
        <f t="shared" si="2"/>
        <v/>
      </c>
      <c r="J83" s="80" t="str">
        <f t="shared" ca="1" si="3"/>
        <v/>
      </c>
      <c r="K83" s="69"/>
      <c r="L83" s="69"/>
    </row>
    <row r="84" spans="1:12" x14ac:dyDescent="0.3">
      <c r="A84" s="69"/>
      <c r="B84" s="69"/>
      <c r="C84" s="68"/>
      <c r="D84" s="69"/>
      <c r="E84" s="69"/>
      <c r="F84" s="69"/>
      <c r="G84" s="69"/>
      <c r="H84" s="68"/>
      <c r="I84" s="80" t="str">
        <f t="shared" si="2"/>
        <v/>
      </c>
      <c r="J84" s="80" t="str">
        <f t="shared" ca="1" si="3"/>
        <v/>
      </c>
      <c r="K84" s="69"/>
      <c r="L84" s="69"/>
    </row>
    <row r="85" spans="1:12" x14ac:dyDescent="0.3">
      <c r="A85" s="69"/>
      <c r="B85" s="69"/>
      <c r="C85" s="68"/>
      <c r="D85" s="69"/>
      <c r="E85" s="69"/>
      <c r="F85" s="69"/>
      <c r="G85" s="69"/>
      <c r="H85" s="68"/>
      <c r="I85" s="80" t="str">
        <f t="shared" si="2"/>
        <v/>
      </c>
      <c r="J85" s="80" t="str">
        <f t="shared" ca="1" si="3"/>
        <v/>
      </c>
      <c r="K85" s="69"/>
      <c r="L85" s="69"/>
    </row>
    <row r="86" spans="1:12" x14ac:dyDescent="0.3">
      <c r="A86" s="69"/>
      <c r="B86" s="69"/>
      <c r="C86" s="68"/>
      <c r="D86" s="69"/>
      <c r="E86" s="69"/>
      <c r="F86" s="69"/>
      <c r="G86" s="69"/>
      <c r="H86" s="68"/>
      <c r="I86" s="80" t="str">
        <f t="shared" si="2"/>
        <v/>
      </c>
      <c r="J86" s="80" t="str">
        <f t="shared" ca="1" si="3"/>
        <v/>
      </c>
      <c r="K86" s="69"/>
      <c r="L86" s="69"/>
    </row>
    <row r="87" spans="1:12" x14ac:dyDescent="0.3">
      <c r="A87" s="69"/>
      <c r="B87" s="69"/>
      <c r="C87" s="68"/>
      <c r="D87" s="69"/>
      <c r="E87" s="69"/>
      <c r="F87" s="69"/>
      <c r="G87" s="69"/>
      <c r="H87" s="68"/>
      <c r="I87" s="80" t="str">
        <f t="shared" si="2"/>
        <v/>
      </c>
      <c r="J87" s="80" t="str">
        <f t="shared" ca="1" si="3"/>
        <v/>
      </c>
      <c r="K87" s="69"/>
      <c r="L87" s="69"/>
    </row>
    <row r="88" spans="1:12" x14ac:dyDescent="0.3">
      <c r="A88" s="69"/>
      <c r="B88" s="69"/>
      <c r="C88" s="68"/>
      <c r="D88" s="69"/>
      <c r="E88" s="69"/>
      <c r="F88" s="69"/>
      <c r="G88" s="69"/>
      <c r="H88" s="68"/>
      <c r="I88" s="80" t="str">
        <f t="shared" si="2"/>
        <v/>
      </c>
      <c r="J88" s="80" t="str">
        <f t="shared" ca="1" si="3"/>
        <v/>
      </c>
      <c r="K88" s="69"/>
      <c r="L88" s="69"/>
    </row>
    <row r="89" spans="1:12" x14ac:dyDescent="0.3">
      <c r="A89" s="69"/>
      <c r="B89" s="69"/>
      <c r="C89" s="68"/>
      <c r="D89" s="69"/>
      <c r="E89" s="69"/>
      <c r="F89" s="69"/>
      <c r="G89" s="69"/>
      <c r="H89" s="68"/>
      <c r="I89" s="80" t="str">
        <f t="shared" si="2"/>
        <v/>
      </c>
      <c r="J89" s="80" t="str">
        <f t="shared" ca="1" si="3"/>
        <v/>
      </c>
      <c r="K89" s="69"/>
      <c r="L89" s="69"/>
    </row>
    <row r="90" spans="1:12" x14ac:dyDescent="0.3">
      <c r="A90" s="69"/>
      <c r="B90" s="69"/>
      <c r="C90" s="68"/>
      <c r="D90" s="69"/>
      <c r="E90" s="69"/>
      <c r="F90" s="69"/>
      <c r="G90" s="69"/>
      <c r="H90" s="68"/>
      <c r="I90" s="80" t="str">
        <f t="shared" si="2"/>
        <v/>
      </c>
      <c r="J90" s="80" t="str">
        <f t="shared" ca="1" si="3"/>
        <v/>
      </c>
      <c r="K90" s="69"/>
      <c r="L90" s="69"/>
    </row>
    <row r="91" spans="1:12" x14ac:dyDescent="0.3">
      <c r="A91" s="69"/>
      <c r="B91" s="69"/>
      <c r="C91" s="68"/>
      <c r="D91" s="69"/>
      <c r="E91" s="69"/>
      <c r="F91" s="69"/>
      <c r="G91" s="69"/>
      <c r="H91" s="68"/>
      <c r="I91" s="80" t="str">
        <f t="shared" si="2"/>
        <v/>
      </c>
      <c r="J91" s="80" t="str">
        <f t="shared" ca="1" si="3"/>
        <v/>
      </c>
      <c r="K91" s="69"/>
      <c r="L91" s="69"/>
    </row>
    <row r="92" spans="1:12" x14ac:dyDescent="0.3">
      <c r="A92" s="69"/>
      <c r="B92" s="69"/>
      <c r="C92" s="68"/>
      <c r="D92" s="69"/>
      <c r="E92" s="69"/>
      <c r="F92" s="69"/>
      <c r="G92" s="69"/>
      <c r="H92" s="68"/>
      <c r="I92" s="80" t="str">
        <f t="shared" si="2"/>
        <v/>
      </c>
      <c r="J92" s="80" t="str">
        <f t="shared" ca="1" si="3"/>
        <v/>
      </c>
      <c r="K92" s="69"/>
      <c r="L92" s="69"/>
    </row>
    <row r="93" spans="1:12" x14ac:dyDescent="0.3">
      <c r="A93" s="69"/>
      <c r="B93" s="69"/>
      <c r="C93" s="68"/>
      <c r="D93" s="69"/>
      <c r="E93" s="69"/>
      <c r="F93" s="69"/>
      <c r="G93" s="69"/>
      <c r="H93" s="68"/>
      <c r="I93" s="80" t="str">
        <f t="shared" si="2"/>
        <v/>
      </c>
      <c r="J93" s="80" t="str">
        <f t="shared" ca="1" si="3"/>
        <v/>
      </c>
      <c r="K93" s="69"/>
      <c r="L93" s="69"/>
    </row>
    <row r="94" spans="1:12" x14ac:dyDescent="0.3">
      <c r="A94" s="69"/>
      <c r="B94" s="69"/>
      <c r="C94" s="68"/>
      <c r="D94" s="69"/>
      <c r="E94" s="69"/>
      <c r="F94" s="69"/>
      <c r="G94" s="69"/>
      <c r="H94" s="68"/>
      <c r="I94" s="80" t="str">
        <f t="shared" si="2"/>
        <v/>
      </c>
      <c r="J94" s="80" t="str">
        <f t="shared" ca="1" si="3"/>
        <v/>
      </c>
      <c r="K94" s="69"/>
      <c r="L94" s="69"/>
    </row>
    <row r="95" spans="1:12" x14ac:dyDescent="0.3">
      <c r="A95" s="69"/>
      <c r="B95" s="69"/>
      <c r="C95" s="68"/>
      <c r="D95" s="69"/>
      <c r="E95" s="69"/>
      <c r="F95" s="69"/>
      <c r="G95" s="69"/>
      <c r="H95" s="68"/>
      <c r="I95" s="80" t="str">
        <f t="shared" si="2"/>
        <v/>
      </c>
      <c r="J95" s="80" t="str">
        <f t="shared" ca="1" si="3"/>
        <v/>
      </c>
      <c r="K95" s="69"/>
      <c r="L95" s="69"/>
    </row>
    <row r="96" spans="1:12" x14ac:dyDescent="0.3">
      <c r="A96" s="69"/>
      <c r="B96" s="69"/>
      <c r="C96" s="68"/>
      <c r="D96" s="69"/>
      <c r="E96" s="69"/>
      <c r="F96" s="69"/>
      <c r="G96" s="69"/>
      <c r="H96" s="68"/>
      <c r="I96" s="80" t="str">
        <f t="shared" si="2"/>
        <v/>
      </c>
      <c r="J96" s="80" t="str">
        <f t="shared" ca="1" si="3"/>
        <v/>
      </c>
      <c r="K96" s="69"/>
      <c r="L96" s="69"/>
    </row>
    <row r="97" spans="1:12" x14ac:dyDescent="0.3">
      <c r="A97" s="69"/>
      <c r="B97" s="69"/>
      <c r="C97" s="68"/>
      <c r="D97" s="69"/>
      <c r="E97" s="69"/>
      <c r="F97" s="69"/>
      <c r="G97" s="69"/>
      <c r="H97" s="68"/>
      <c r="I97" s="80" t="str">
        <f t="shared" si="2"/>
        <v/>
      </c>
      <c r="J97" s="80" t="str">
        <f t="shared" ca="1" si="3"/>
        <v/>
      </c>
      <c r="K97" s="69"/>
      <c r="L97" s="69"/>
    </row>
    <row r="98" spans="1:12" x14ac:dyDescent="0.3">
      <c r="A98" s="69"/>
      <c r="B98" s="69"/>
      <c r="C98" s="68"/>
      <c r="D98" s="69"/>
      <c r="E98" s="69"/>
      <c r="F98" s="69"/>
      <c r="G98" s="69"/>
      <c r="H98" s="68"/>
      <c r="I98" s="80" t="str">
        <f t="shared" si="2"/>
        <v/>
      </c>
      <c r="J98" s="80" t="str">
        <f t="shared" ca="1" si="3"/>
        <v/>
      </c>
      <c r="K98" s="69"/>
      <c r="L98" s="69"/>
    </row>
    <row r="99" spans="1:12" x14ac:dyDescent="0.3">
      <c r="A99" s="69"/>
      <c r="B99" s="69"/>
      <c r="C99" s="68"/>
      <c r="D99" s="69"/>
      <c r="E99" s="69"/>
      <c r="F99" s="69"/>
      <c r="G99" s="69"/>
      <c r="H99" s="68"/>
      <c r="I99" s="80" t="str">
        <f t="shared" si="2"/>
        <v/>
      </c>
      <c r="J99" s="80" t="str">
        <f t="shared" ca="1" si="3"/>
        <v/>
      </c>
      <c r="K99" s="69"/>
      <c r="L99" s="69"/>
    </row>
    <row r="100" spans="1:12" x14ac:dyDescent="0.3">
      <c r="A100" s="69"/>
      <c r="B100" s="69"/>
      <c r="C100" s="68"/>
      <c r="D100" s="69"/>
      <c r="E100" s="69"/>
      <c r="F100" s="69"/>
      <c r="G100" s="69"/>
      <c r="H100" s="68"/>
      <c r="I100" s="80" t="str">
        <f t="shared" si="2"/>
        <v/>
      </c>
      <c r="J100" s="80" t="str">
        <f t="shared" ca="1" si="3"/>
        <v/>
      </c>
      <c r="K100" s="69"/>
      <c r="L100" s="69"/>
    </row>
    <row r="101" spans="1:12" x14ac:dyDescent="0.3">
      <c r="A101" s="69"/>
      <c r="B101" s="69"/>
      <c r="C101" s="68"/>
      <c r="D101" s="69"/>
      <c r="E101" s="69"/>
      <c r="F101" s="69"/>
      <c r="G101" s="69"/>
      <c r="H101" s="68"/>
      <c r="I101" s="80" t="str">
        <f t="shared" si="2"/>
        <v/>
      </c>
      <c r="J101" s="80" t="str">
        <f t="shared" ca="1" si="3"/>
        <v/>
      </c>
      <c r="K101" s="69"/>
      <c r="L101" s="69"/>
    </row>
    <row r="102" spans="1:12" x14ac:dyDescent="0.3">
      <c r="A102" s="69"/>
      <c r="B102" s="69"/>
      <c r="C102" s="68"/>
      <c r="D102" s="69"/>
      <c r="E102" s="69"/>
      <c r="F102" s="69"/>
      <c r="G102" s="69"/>
      <c r="H102" s="68"/>
      <c r="I102" s="80" t="str">
        <f t="shared" si="2"/>
        <v/>
      </c>
      <c r="J102" s="80" t="str">
        <f t="shared" ca="1" si="3"/>
        <v/>
      </c>
      <c r="K102" s="69"/>
      <c r="L102" s="69"/>
    </row>
    <row r="103" spans="1:12" x14ac:dyDescent="0.3">
      <c r="A103" s="69"/>
      <c r="B103" s="69"/>
      <c r="C103" s="68"/>
      <c r="D103" s="69"/>
      <c r="E103" s="69"/>
      <c r="F103" s="69"/>
      <c r="G103" s="69"/>
      <c r="H103" s="68"/>
      <c r="I103" s="80" t="str">
        <f t="shared" si="2"/>
        <v/>
      </c>
      <c r="J103" s="80" t="str">
        <f t="shared" ca="1" si="3"/>
        <v/>
      </c>
      <c r="K103" s="69"/>
      <c r="L103" s="69"/>
    </row>
    <row r="104" spans="1:12" x14ac:dyDescent="0.3">
      <c r="A104" s="69"/>
      <c r="B104" s="69"/>
      <c r="C104" s="68"/>
      <c r="D104" s="69"/>
      <c r="E104" s="69"/>
      <c r="F104" s="69"/>
      <c r="G104" s="69"/>
      <c r="H104" s="68"/>
      <c r="I104" s="80" t="str">
        <f t="shared" si="2"/>
        <v/>
      </c>
      <c r="J104" s="80" t="str">
        <f t="shared" ca="1" si="3"/>
        <v/>
      </c>
      <c r="K104" s="69"/>
      <c r="L104" s="69"/>
    </row>
    <row r="105" spans="1:12" x14ac:dyDescent="0.3">
      <c r="A105" s="69"/>
      <c r="B105" s="69"/>
      <c r="C105" s="68"/>
      <c r="D105" s="69"/>
      <c r="E105" s="69"/>
      <c r="F105" s="69"/>
      <c r="G105" s="69"/>
      <c r="H105" s="68"/>
      <c r="I105" s="80" t="str">
        <f t="shared" si="2"/>
        <v/>
      </c>
      <c r="J105" s="80" t="str">
        <f t="shared" ca="1" si="3"/>
        <v/>
      </c>
      <c r="K105" s="69"/>
      <c r="L105" s="69"/>
    </row>
    <row r="106" spans="1:12" x14ac:dyDescent="0.3">
      <c r="A106" s="69"/>
      <c r="B106" s="69"/>
      <c r="C106" s="68"/>
      <c r="D106" s="69"/>
      <c r="E106" s="69"/>
      <c r="F106" s="69"/>
      <c r="G106" s="69"/>
      <c r="H106" s="68"/>
      <c r="I106" s="80" t="str">
        <f t="shared" si="2"/>
        <v/>
      </c>
      <c r="J106" s="80" t="str">
        <f t="shared" ca="1" si="3"/>
        <v/>
      </c>
      <c r="K106" s="69"/>
      <c r="L106" s="69"/>
    </row>
    <row r="107" spans="1:12" x14ac:dyDescent="0.3">
      <c r="A107" s="69"/>
      <c r="B107" s="69"/>
      <c r="C107" s="68"/>
      <c r="D107" s="69"/>
      <c r="E107" s="69"/>
      <c r="F107" s="69"/>
      <c r="G107" s="69"/>
      <c r="H107" s="68"/>
      <c r="I107" s="80" t="str">
        <f t="shared" si="2"/>
        <v/>
      </c>
      <c r="J107" s="80" t="str">
        <f t="shared" ca="1" si="3"/>
        <v/>
      </c>
      <c r="K107" s="69"/>
      <c r="L107" s="69"/>
    </row>
    <row r="108" spans="1:12" x14ac:dyDescent="0.3">
      <c r="A108" s="69"/>
      <c r="B108" s="69"/>
      <c r="C108" s="68"/>
      <c r="D108" s="69"/>
      <c r="E108" s="69"/>
      <c r="F108" s="69"/>
      <c r="G108" s="69"/>
      <c r="H108" s="68"/>
      <c r="I108" s="80" t="str">
        <f t="shared" si="2"/>
        <v/>
      </c>
      <c r="J108" s="80" t="str">
        <f t="shared" ca="1" si="3"/>
        <v/>
      </c>
      <c r="K108" s="69"/>
      <c r="L108" s="69"/>
    </row>
    <row r="109" spans="1:12" x14ac:dyDescent="0.3">
      <c r="A109" s="69"/>
      <c r="B109" s="69"/>
      <c r="C109" s="68"/>
      <c r="D109" s="69"/>
      <c r="E109" s="69"/>
      <c r="F109" s="69"/>
      <c r="G109" s="69"/>
      <c r="H109" s="68"/>
      <c r="I109" s="80" t="str">
        <f t="shared" si="2"/>
        <v/>
      </c>
      <c r="J109" s="80" t="str">
        <f t="shared" ca="1" si="3"/>
        <v/>
      </c>
      <c r="K109" s="69"/>
      <c r="L109" s="69"/>
    </row>
    <row r="110" spans="1:12" x14ac:dyDescent="0.3">
      <c r="A110" s="69"/>
      <c r="B110" s="69"/>
      <c r="C110" s="68"/>
      <c r="D110" s="69"/>
      <c r="E110" s="69"/>
      <c r="F110" s="69"/>
      <c r="G110" s="69"/>
      <c r="H110" s="68"/>
      <c r="I110" s="80" t="str">
        <f t="shared" si="2"/>
        <v/>
      </c>
      <c r="J110" s="80" t="str">
        <f t="shared" ca="1" si="3"/>
        <v/>
      </c>
      <c r="K110" s="69"/>
      <c r="L110" s="69"/>
    </row>
    <row r="111" spans="1:12" x14ac:dyDescent="0.3">
      <c r="A111" s="69"/>
      <c r="B111" s="69"/>
      <c r="C111" s="68"/>
      <c r="D111" s="69"/>
      <c r="E111" s="69"/>
      <c r="F111" s="69"/>
      <c r="G111" s="69"/>
      <c r="H111" s="68"/>
      <c r="I111" s="80" t="str">
        <f t="shared" si="2"/>
        <v/>
      </c>
      <c r="J111" s="80" t="str">
        <f t="shared" ca="1" si="3"/>
        <v/>
      </c>
      <c r="K111" s="69"/>
      <c r="L111" s="69"/>
    </row>
    <row r="112" spans="1:12" x14ac:dyDescent="0.3">
      <c r="A112" s="69"/>
      <c r="B112" s="69"/>
      <c r="C112" s="68"/>
      <c r="D112" s="69"/>
      <c r="E112" s="69"/>
      <c r="F112" s="69"/>
      <c r="G112" s="69"/>
      <c r="H112" s="68"/>
      <c r="I112" s="80" t="str">
        <f t="shared" si="2"/>
        <v/>
      </c>
      <c r="J112" s="80" t="str">
        <f t="shared" ca="1" si="3"/>
        <v/>
      </c>
      <c r="K112" s="69"/>
      <c r="L112" s="69"/>
    </row>
    <row r="113" spans="1:12" x14ac:dyDescent="0.3">
      <c r="A113" s="69"/>
      <c r="B113" s="69"/>
      <c r="C113" s="68"/>
      <c r="D113" s="69"/>
      <c r="E113" s="69"/>
      <c r="F113" s="69"/>
      <c r="G113" s="69"/>
      <c r="H113" s="68"/>
      <c r="I113" s="80" t="str">
        <f t="shared" si="2"/>
        <v/>
      </c>
      <c r="J113" s="80" t="str">
        <f t="shared" ca="1" si="3"/>
        <v/>
      </c>
      <c r="K113" s="69"/>
      <c r="L113" s="69"/>
    </row>
    <row r="114" spans="1:12" x14ac:dyDescent="0.3">
      <c r="A114" s="69"/>
      <c r="B114" s="69"/>
      <c r="C114" s="68"/>
      <c r="D114" s="69"/>
      <c r="E114" s="69"/>
      <c r="F114" s="69"/>
      <c r="G114" s="69"/>
      <c r="H114" s="68"/>
      <c r="I114" s="80" t="str">
        <f t="shared" si="2"/>
        <v/>
      </c>
      <c r="J114" s="80" t="str">
        <f t="shared" ca="1" si="3"/>
        <v/>
      </c>
      <c r="K114" s="69"/>
      <c r="L114" s="69"/>
    </row>
    <row r="115" spans="1:12" x14ac:dyDescent="0.3">
      <c r="A115" s="69"/>
      <c r="B115" s="69"/>
      <c r="C115" s="68"/>
      <c r="D115" s="69"/>
      <c r="E115" s="69"/>
      <c r="F115" s="69"/>
      <c r="G115" s="69"/>
      <c r="H115" s="68"/>
      <c r="I115" s="80" t="str">
        <f t="shared" si="2"/>
        <v/>
      </c>
      <c r="J115" s="80" t="str">
        <f t="shared" ca="1" si="3"/>
        <v/>
      </c>
      <c r="K115" s="69"/>
      <c r="L115" s="69"/>
    </row>
    <row r="116" spans="1:12" x14ac:dyDescent="0.3">
      <c r="A116" s="69"/>
      <c r="B116" s="69"/>
      <c r="C116" s="68"/>
      <c r="D116" s="69"/>
      <c r="E116" s="69"/>
      <c r="F116" s="69"/>
      <c r="G116" s="69"/>
      <c r="H116" s="68"/>
      <c r="I116" s="80" t="str">
        <f t="shared" si="2"/>
        <v/>
      </c>
      <c r="J116" s="80" t="str">
        <f t="shared" ca="1" si="3"/>
        <v/>
      </c>
      <c r="K116" s="69"/>
      <c r="L116" s="69"/>
    </row>
    <row r="117" spans="1:12" x14ac:dyDescent="0.3">
      <c r="A117" s="69"/>
      <c r="B117" s="69"/>
      <c r="C117" s="68"/>
      <c r="D117" s="69"/>
      <c r="E117" s="69"/>
      <c r="F117" s="69"/>
      <c r="G117" s="69"/>
      <c r="H117" s="68"/>
      <c r="I117" s="80" t="str">
        <f t="shared" si="2"/>
        <v/>
      </c>
      <c r="J117" s="80" t="str">
        <f t="shared" ca="1" si="3"/>
        <v/>
      </c>
      <c r="K117" s="69"/>
      <c r="L117" s="69"/>
    </row>
    <row r="118" spans="1:12" x14ac:dyDescent="0.3">
      <c r="A118" s="69"/>
      <c r="B118" s="69"/>
      <c r="C118" s="68"/>
      <c r="D118" s="69"/>
      <c r="E118" s="69"/>
      <c r="F118" s="69"/>
      <c r="G118" s="69"/>
      <c r="H118" s="68"/>
      <c r="I118" s="80" t="str">
        <f t="shared" si="2"/>
        <v/>
      </c>
      <c r="J118" s="80" t="str">
        <f t="shared" ca="1" si="3"/>
        <v/>
      </c>
      <c r="K118" s="69"/>
      <c r="L118" s="69"/>
    </row>
    <row r="119" spans="1:12" x14ac:dyDescent="0.3">
      <c r="A119" s="69"/>
      <c r="B119" s="69"/>
      <c r="C119" s="68"/>
      <c r="D119" s="69"/>
      <c r="E119" s="69"/>
      <c r="F119" s="69"/>
      <c r="G119" s="69"/>
      <c r="H119" s="68"/>
      <c r="I119" s="80" t="str">
        <f t="shared" si="2"/>
        <v/>
      </c>
      <c r="J119" s="80" t="str">
        <f t="shared" ca="1" si="3"/>
        <v/>
      </c>
      <c r="K119" s="69"/>
      <c r="L119" s="69"/>
    </row>
    <row r="120" spans="1:12" x14ac:dyDescent="0.3">
      <c r="A120" s="69"/>
      <c r="B120" s="69"/>
      <c r="C120" s="68"/>
      <c r="D120" s="69"/>
      <c r="E120" s="69"/>
      <c r="F120" s="69"/>
      <c r="G120" s="69"/>
      <c r="H120" s="68"/>
      <c r="I120" s="80" t="str">
        <f t="shared" si="2"/>
        <v/>
      </c>
      <c r="J120" s="80" t="str">
        <f t="shared" ca="1" si="3"/>
        <v/>
      </c>
      <c r="K120" s="69"/>
      <c r="L120" s="69"/>
    </row>
    <row r="121" spans="1:12" x14ac:dyDescent="0.3">
      <c r="A121" s="69"/>
      <c r="B121" s="69"/>
      <c r="C121" s="68"/>
      <c r="D121" s="69"/>
      <c r="E121" s="69"/>
      <c r="F121" s="69"/>
      <c r="G121" s="69"/>
      <c r="H121" s="68"/>
      <c r="I121" s="80" t="str">
        <f t="shared" si="2"/>
        <v/>
      </c>
      <c r="J121" s="80" t="str">
        <f t="shared" ca="1" si="3"/>
        <v/>
      </c>
      <c r="K121" s="69"/>
      <c r="L121" s="69"/>
    </row>
    <row r="122" spans="1:12" x14ac:dyDescent="0.3">
      <c r="A122" s="69"/>
      <c r="B122" s="69"/>
      <c r="C122" s="68"/>
      <c r="D122" s="69"/>
      <c r="E122" s="69"/>
      <c r="F122" s="69"/>
      <c r="G122" s="69"/>
      <c r="H122" s="68"/>
      <c r="I122" s="80" t="str">
        <f t="shared" si="2"/>
        <v/>
      </c>
      <c r="J122" s="80" t="str">
        <f t="shared" ca="1" si="3"/>
        <v/>
      </c>
      <c r="K122" s="69"/>
      <c r="L122" s="69"/>
    </row>
    <row r="123" spans="1:12" x14ac:dyDescent="0.3">
      <c r="A123" s="69"/>
      <c r="B123" s="69"/>
      <c r="C123" s="68"/>
      <c r="D123" s="69"/>
      <c r="E123" s="69"/>
      <c r="F123" s="69"/>
      <c r="G123" s="69"/>
      <c r="H123" s="68"/>
      <c r="I123" s="80" t="str">
        <f t="shared" si="2"/>
        <v/>
      </c>
      <c r="J123" s="80" t="str">
        <f t="shared" ca="1" si="3"/>
        <v/>
      </c>
      <c r="K123" s="69"/>
      <c r="L123" s="69"/>
    </row>
    <row r="124" spans="1:12" x14ac:dyDescent="0.3">
      <c r="A124" s="69"/>
      <c r="B124" s="69"/>
      <c r="C124" s="68"/>
      <c r="D124" s="69"/>
      <c r="E124" s="69"/>
      <c r="F124" s="69"/>
      <c r="G124" s="69"/>
      <c r="H124" s="68"/>
      <c r="I124" s="80" t="str">
        <f t="shared" si="2"/>
        <v/>
      </c>
      <c r="J124" s="80" t="str">
        <f t="shared" ca="1" si="3"/>
        <v/>
      </c>
      <c r="K124" s="69"/>
      <c r="L124" s="69"/>
    </row>
    <row r="125" spans="1:12" x14ac:dyDescent="0.3">
      <c r="A125" s="69"/>
      <c r="B125" s="69"/>
      <c r="C125" s="68"/>
      <c r="D125" s="69"/>
      <c r="E125" s="69"/>
      <c r="F125" s="69"/>
      <c r="G125" s="69"/>
      <c r="H125" s="68"/>
      <c r="I125" s="80" t="str">
        <f t="shared" si="2"/>
        <v/>
      </c>
      <c r="J125" s="80" t="str">
        <f t="shared" ca="1" si="3"/>
        <v/>
      </c>
      <c r="K125" s="69"/>
      <c r="L125" s="69"/>
    </row>
    <row r="126" spans="1:12" x14ac:dyDescent="0.3">
      <c r="A126" s="69"/>
      <c r="B126" s="69"/>
      <c r="C126" s="68"/>
      <c r="D126" s="69"/>
      <c r="E126" s="69"/>
      <c r="F126" s="69"/>
      <c r="G126" s="69"/>
      <c r="H126" s="68"/>
      <c r="I126" s="80" t="str">
        <f t="shared" si="2"/>
        <v/>
      </c>
      <c r="J126" s="80" t="str">
        <f t="shared" ca="1" si="3"/>
        <v/>
      </c>
      <c r="K126" s="69"/>
      <c r="L126" s="69"/>
    </row>
    <row r="127" spans="1:12" x14ac:dyDescent="0.3">
      <c r="A127" s="69"/>
      <c r="B127" s="69"/>
      <c r="C127" s="68"/>
      <c r="D127" s="69"/>
      <c r="E127" s="69"/>
      <c r="F127" s="69"/>
      <c r="G127" s="69"/>
      <c r="H127" s="68"/>
      <c r="I127" s="80" t="str">
        <f t="shared" si="2"/>
        <v/>
      </c>
      <c r="J127" s="80" t="str">
        <f t="shared" ca="1" si="3"/>
        <v/>
      </c>
      <c r="K127" s="69"/>
      <c r="L127" s="69"/>
    </row>
    <row r="128" spans="1:12" x14ac:dyDescent="0.3">
      <c r="A128" s="69"/>
      <c r="B128" s="69"/>
      <c r="C128" s="68"/>
      <c r="D128" s="69"/>
      <c r="E128" s="69"/>
      <c r="F128" s="69"/>
      <c r="G128" s="69"/>
      <c r="H128" s="68"/>
      <c r="I128" s="80" t="str">
        <f t="shared" si="2"/>
        <v/>
      </c>
      <c r="J128" s="80" t="str">
        <f t="shared" ca="1" si="3"/>
        <v/>
      </c>
      <c r="K128" s="69"/>
      <c r="L128" s="69"/>
    </row>
    <row r="129" spans="1:12" x14ac:dyDescent="0.3">
      <c r="A129" s="69"/>
      <c r="B129" s="69"/>
      <c r="C129" s="68"/>
      <c r="D129" s="69"/>
      <c r="E129" s="69"/>
      <c r="F129" s="69"/>
      <c r="G129" s="69"/>
      <c r="H129" s="68"/>
      <c r="I129" s="80" t="str">
        <f t="shared" si="2"/>
        <v/>
      </c>
      <c r="J129" s="80" t="str">
        <f t="shared" ca="1" si="3"/>
        <v/>
      </c>
      <c r="K129" s="69"/>
      <c r="L129" s="69"/>
    </row>
    <row r="130" spans="1:12" x14ac:dyDescent="0.3">
      <c r="A130" s="69"/>
      <c r="B130" s="69"/>
      <c r="C130" s="68"/>
      <c r="D130" s="69"/>
      <c r="E130" s="69"/>
      <c r="F130" s="69"/>
      <c r="G130" s="69"/>
      <c r="H130" s="68"/>
      <c r="I130" s="80" t="str">
        <f t="shared" si="2"/>
        <v/>
      </c>
      <c r="J130" s="80" t="str">
        <f t="shared" ca="1" si="3"/>
        <v/>
      </c>
      <c r="K130" s="69"/>
      <c r="L130" s="69"/>
    </row>
    <row r="131" spans="1:12" x14ac:dyDescent="0.3">
      <c r="A131" s="69"/>
      <c r="B131" s="69"/>
      <c r="C131" s="68"/>
      <c r="D131" s="69"/>
      <c r="E131" s="69"/>
      <c r="F131" s="69"/>
      <c r="G131" s="69"/>
      <c r="H131" s="68"/>
      <c r="I131" s="80" t="str">
        <f t="shared" si="2"/>
        <v/>
      </c>
      <c r="J131" s="80" t="str">
        <f t="shared" ca="1" si="3"/>
        <v/>
      </c>
      <c r="K131" s="69"/>
      <c r="L131" s="69"/>
    </row>
    <row r="132" spans="1:12" x14ac:dyDescent="0.3">
      <c r="A132" s="69"/>
      <c r="B132" s="69"/>
      <c r="C132" s="68"/>
      <c r="D132" s="69"/>
      <c r="E132" s="69"/>
      <c r="F132" s="69"/>
      <c r="G132" s="69"/>
      <c r="H132" s="68"/>
      <c r="I132" s="80" t="str">
        <f t="shared" si="2"/>
        <v/>
      </c>
      <c r="J132" s="80" t="str">
        <f t="shared" ca="1" si="3"/>
        <v/>
      </c>
      <c r="K132" s="69"/>
      <c r="L132" s="69"/>
    </row>
    <row r="133" spans="1:12" x14ac:dyDescent="0.3">
      <c r="A133" s="69"/>
      <c r="B133" s="69"/>
      <c r="C133" s="68"/>
      <c r="D133" s="69"/>
      <c r="E133" s="69"/>
      <c r="F133" s="69"/>
      <c r="G133" s="69"/>
      <c r="H133" s="68"/>
      <c r="I133" s="80" t="str">
        <f t="shared" ref="I133:I196" si="4">IF(OR(C133="",H133=""),"",H133-C133)</f>
        <v/>
      </c>
      <c r="J133" s="80" t="str">
        <f t="shared" ref="J133:J196" ca="1" si="5">IF(OR(C133="",H133&lt;&gt;""),"",TODAY()-C133)</f>
        <v/>
      </c>
      <c r="K133" s="69"/>
      <c r="L133" s="69"/>
    </row>
    <row r="134" spans="1:12" x14ac:dyDescent="0.3">
      <c r="A134" s="69"/>
      <c r="B134" s="69"/>
      <c r="C134" s="68"/>
      <c r="D134" s="69"/>
      <c r="E134" s="69"/>
      <c r="F134" s="69"/>
      <c r="G134" s="69"/>
      <c r="H134" s="68"/>
      <c r="I134" s="80" t="str">
        <f t="shared" si="4"/>
        <v/>
      </c>
      <c r="J134" s="80" t="str">
        <f t="shared" ca="1" si="5"/>
        <v/>
      </c>
      <c r="K134" s="69"/>
      <c r="L134" s="69"/>
    </row>
    <row r="135" spans="1:12" x14ac:dyDescent="0.3">
      <c r="A135" s="69"/>
      <c r="B135" s="69"/>
      <c r="C135" s="68"/>
      <c r="D135" s="69"/>
      <c r="E135" s="69"/>
      <c r="F135" s="69"/>
      <c r="G135" s="69"/>
      <c r="H135" s="68"/>
      <c r="I135" s="80" t="str">
        <f t="shared" si="4"/>
        <v/>
      </c>
      <c r="J135" s="80" t="str">
        <f t="shared" ca="1" si="5"/>
        <v/>
      </c>
      <c r="K135" s="69"/>
      <c r="L135" s="69"/>
    </row>
    <row r="136" spans="1:12" x14ac:dyDescent="0.3">
      <c r="A136" s="69"/>
      <c r="B136" s="69"/>
      <c r="C136" s="68"/>
      <c r="D136" s="69"/>
      <c r="E136" s="69"/>
      <c r="F136" s="69"/>
      <c r="G136" s="69"/>
      <c r="H136" s="68"/>
      <c r="I136" s="80" t="str">
        <f t="shared" si="4"/>
        <v/>
      </c>
      <c r="J136" s="80" t="str">
        <f t="shared" ca="1" si="5"/>
        <v/>
      </c>
      <c r="K136" s="69"/>
      <c r="L136" s="69"/>
    </row>
    <row r="137" spans="1:12" x14ac:dyDescent="0.3">
      <c r="A137" s="69"/>
      <c r="B137" s="69"/>
      <c r="C137" s="68"/>
      <c r="D137" s="69"/>
      <c r="E137" s="69"/>
      <c r="F137" s="69"/>
      <c r="G137" s="69"/>
      <c r="H137" s="68"/>
      <c r="I137" s="80" t="str">
        <f t="shared" si="4"/>
        <v/>
      </c>
      <c r="J137" s="80" t="str">
        <f t="shared" ca="1" si="5"/>
        <v/>
      </c>
      <c r="K137" s="69"/>
      <c r="L137" s="69"/>
    </row>
    <row r="138" spans="1:12" x14ac:dyDescent="0.3">
      <c r="A138" s="69"/>
      <c r="B138" s="69"/>
      <c r="C138" s="68"/>
      <c r="D138" s="69"/>
      <c r="E138" s="69"/>
      <c r="F138" s="69"/>
      <c r="G138" s="69"/>
      <c r="H138" s="68"/>
      <c r="I138" s="80" t="str">
        <f t="shared" si="4"/>
        <v/>
      </c>
      <c r="J138" s="80" t="str">
        <f t="shared" ca="1" si="5"/>
        <v/>
      </c>
      <c r="K138" s="69"/>
      <c r="L138" s="69"/>
    </row>
    <row r="139" spans="1:12" x14ac:dyDescent="0.3">
      <c r="A139" s="69"/>
      <c r="B139" s="69"/>
      <c r="C139" s="68"/>
      <c r="D139" s="69"/>
      <c r="E139" s="69"/>
      <c r="F139" s="69"/>
      <c r="G139" s="69"/>
      <c r="H139" s="68"/>
      <c r="I139" s="80" t="str">
        <f t="shared" si="4"/>
        <v/>
      </c>
      <c r="J139" s="80" t="str">
        <f t="shared" ca="1" si="5"/>
        <v/>
      </c>
      <c r="K139" s="69"/>
      <c r="L139" s="69"/>
    </row>
    <row r="140" spans="1:12" x14ac:dyDescent="0.3">
      <c r="A140" s="69"/>
      <c r="B140" s="69"/>
      <c r="C140" s="68"/>
      <c r="D140" s="69"/>
      <c r="E140" s="69"/>
      <c r="F140" s="69"/>
      <c r="G140" s="69"/>
      <c r="H140" s="68"/>
      <c r="I140" s="80" t="str">
        <f t="shared" si="4"/>
        <v/>
      </c>
      <c r="J140" s="80" t="str">
        <f t="shared" ca="1" si="5"/>
        <v/>
      </c>
      <c r="K140" s="69"/>
      <c r="L140" s="69"/>
    </row>
    <row r="141" spans="1:12" x14ac:dyDescent="0.3">
      <c r="A141" s="69"/>
      <c r="B141" s="69"/>
      <c r="C141" s="68"/>
      <c r="D141" s="69"/>
      <c r="E141" s="69"/>
      <c r="F141" s="69"/>
      <c r="G141" s="69"/>
      <c r="H141" s="68"/>
      <c r="I141" s="80" t="str">
        <f t="shared" si="4"/>
        <v/>
      </c>
      <c r="J141" s="80" t="str">
        <f t="shared" ca="1" si="5"/>
        <v/>
      </c>
      <c r="K141" s="69"/>
      <c r="L141" s="69"/>
    </row>
    <row r="142" spans="1:12" x14ac:dyDescent="0.3">
      <c r="A142" s="69"/>
      <c r="B142" s="69"/>
      <c r="C142" s="68"/>
      <c r="D142" s="69"/>
      <c r="E142" s="69"/>
      <c r="F142" s="69"/>
      <c r="G142" s="69"/>
      <c r="H142" s="68"/>
      <c r="I142" s="80" t="str">
        <f t="shared" si="4"/>
        <v/>
      </c>
      <c r="J142" s="80" t="str">
        <f t="shared" ca="1" si="5"/>
        <v/>
      </c>
      <c r="K142" s="69"/>
      <c r="L142" s="69"/>
    </row>
    <row r="143" spans="1:12" x14ac:dyDescent="0.3">
      <c r="A143" s="69"/>
      <c r="B143" s="69"/>
      <c r="C143" s="68"/>
      <c r="D143" s="69"/>
      <c r="E143" s="69"/>
      <c r="F143" s="69"/>
      <c r="G143" s="69"/>
      <c r="H143" s="68"/>
      <c r="I143" s="80" t="str">
        <f t="shared" si="4"/>
        <v/>
      </c>
      <c r="J143" s="80" t="str">
        <f t="shared" ca="1" si="5"/>
        <v/>
      </c>
      <c r="K143" s="69"/>
      <c r="L143" s="69"/>
    </row>
    <row r="144" spans="1:12" x14ac:dyDescent="0.3">
      <c r="A144" s="69"/>
      <c r="B144" s="69"/>
      <c r="C144" s="68"/>
      <c r="D144" s="69"/>
      <c r="E144" s="69"/>
      <c r="F144" s="69"/>
      <c r="G144" s="69"/>
      <c r="H144" s="68"/>
      <c r="I144" s="80" t="str">
        <f t="shared" si="4"/>
        <v/>
      </c>
      <c r="J144" s="80" t="str">
        <f t="shared" ca="1" si="5"/>
        <v/>
      </c>
      <c r="K144" s="69"/>
      <c r="L144" s="69"/>
    </row>
    <row r="145" spans="1:12" x14ac:dyDescent="0.3">
      <c r="A145" s="69"/>
      <c r="B145" s="69"/>
      <c r="C145" s="68"/>
      <c r="D145" s="69"/>
      <c r="E145" s="69"/>
      <c r="F145" s="69"/>
      <c r="G145" s="69"/>
      <c r="H145" s="68"/>
      <c r="I145" s="80" t="str">
        <f t="shared" si="4"/>
        <v/>
      </c>
      <c r="J145" s="80" t="str">
        <f t="shared" ca="1" si="5"/>
        <v/>
      </c>
      <c r="K145" s="69"/>
      <c r="L145" s="69"/>
    </row>
    <row r="146" spans="1:12" x14ac:dyDescent="0.3">
      <c r="A146" s="69"/>
      <c r="B146" s="69"/>
      <c r="C146" s="68"/>
      <c r="D146" s="69"/>
      <c r="E146" s="69"/>
      <c r="F146" s="69"/>
      <c r="G146" s="69"/>
      <c r="H146" s="68"/>
      <c r="I146" s="80" t="str">
        <f t="shared" si="4"/>
        <v/>
      </c>
      <c r="J146" s="80" t="str">
        <f t="shared" ca="1" si="5"/>
        <v/>
      </c>
      <c r="K146" s="69"/>
      <c r="L146" s="69"/>
    </row>
    <row r="147" spans="1:12" x14ac:dyDescent="0.3">
      <c r="A147" s="69"/>
      <c r="B147" s="69"/>
      <c r="C147" s="68"/>
      <c r="D147" s="69"/>
      <c r="E147" s="69"/>
      <c r="F147" s="69"/>
      <c r="G147" s="69"/>
      <c r="H147" s="68"/>
      <c r="I147" s="80" t="str">
        <f t="shared" si="4"/>
        <v/>
      </c>
      <c r="J147" s="80" t="str">
        <f t="shared" ca="1" si="5"/>
        <v/>
      </c>
      <c r="K147" s="69"/>
      <c r="L147" s="69"/>
    </row>
    <row r="148" spans="1:12" x14ac:dyDescent="0.3">
      <c r="A148" s="69"/>
      <c r="B148" s="69"/>
      <c r="C148" s="68"/>
      <c r="D148" s="69"/>
      <c r="E148" s="69"/>
      <c r="F148" s="69"/>
      <c r="G148" s="69"/>
      <c r="H148" s="68"/>
      <c r="I148" s="80" t="str">
        <f t="shared" si="4"/>
        <v/>
      </c>
      <c r="J148" s="80" t="str">
        <f t="shared" ca="1" si="5"/>
        <v/>
      </c>
      <c r="K148" s="69"/>
      <c r="L148" s="69"/>
    </row>
    <row r="149" spans="1:12" x14ac:dyDescent="0.3">
      <c r="A149" s="69"/>
      <c r="B149" s="69"/>
      <c r="C149" s="68"/>
      <c r="D149" s="69"/>
      <c r="E149" s="69"/>
      <c r="F149" s="69"/>
      <c r="G149" s="69"/>
      <c r="H149" s="68"/>
      <c r="I149" s="80" t="str">
        <f t="shared" si="4"/>
        <v/>
      </c>
      <c r="J149" s="80" t="str">
        <f t="shared" ca="1" si="5"/>
        <v/>
      </c>
      <c r="K149" s="69"/>
      <c r="L149" s="69"/>
    </row>
    <row r="150" spans="1:12" x14ac:dyDescent="0.3">
      <c r="A150" s="69"/>
      <c r="B150" s="69"/>
      <c r="C150" s="68"/>
      <c r="D150" s="69"/>
      <c r="E150" s="69"/>
      <c r="F150" s="69"/>
      <c r="G150" s="69"/>
      <c r="H150" s="68"/>
      <c r="I150" s="80" t="str">
        <f t="shared" si="4"/>
        <v/>
      </c>
      <c r="J150" s="80" t="str">
        <f t="shared" ca="1" si="5"/>
        <v/>
      </c>
      <c r="K150" s="69"/>
      <c r="L150" s="69"/>
    </row>
    <row r="151" spans="1:12" x14ac:dyDescent="0.3">
      <c r="A151" s="69"/>
      <c r="B151" s="69"/>
      <c r="C151" s="68"/>
      <c r="D151" s="69"/>
      <c r="E151" s="69"/>
      <c r="F151" s="69"/>
      <c r="G151" s="69"/>
      <c r="H151" s="68"/>
      <c r="I151" s="80" t="str">
        <f t="shared" si="4"/>
        <v/>
      </c>
      <c r="J151" s="80" t="str">
        <f t="shared" ca="1" si="5"/>
        <v/>
      </c>
      <c r="K151" s="69"/>
      <c r="L151" s="69"/>
    </row>
    <row r="152" spans="1:12" x14ac:dyDescent="0.3">
      <c r="A152" s="69"/>
      <c r="B152" s="69"/>
      <c r="C152" s="68"/>
      <c r="D152" s="69"/>
      <c r="E152" s="69"/>
      <c r="F152" s="69"/>
      <c r="G152" s="69"/>
      <c r="H152" s="68"/>
      <c r="I152" s="80" t="str">
        <f t="shared" si="4"/>
        <v/>
      </c>
      <c r="J152" s="80" t="str">
        <f t="shared" ca="1" si="5"/>
        <v/>
      </c>
      <c r="K152" s="69"/>
      <c r="L152" s="69"/>
    </row>
    <row r="153" spans="1:12" x14ac:dyDescent="0.3">
      <c r="A153" s="69"/>
      <c r="B153" s="69"/>
      <c r="C153" s="68"/>
      <c r="D153" s="69"/>
      <c r="E153" s="69"/>
      <c r="F153" s="69"/>
      <c r="G153" s="69"/>
      <c r="H153" s="68"/>
      <c r="I153" s="80" t="str">
        <f t="shared" si="4"/>
        <v/>
      </c>
      <c r="J153" s="80" t="str">
        <f t="shared" ca="1" si="5"/>
        <v/>
      </c>
      <c r="K153" s="69"/>
      <c r="L153" s="69"/>
    </row>
    <row r="154" spans="1:12" x14ac:dyDescent="0.3">
      <c r="A154" s="69"/>
      <c r="B154" s="69"/>
      <c r="C154" s="68"/>
      <c r="D154" s="69"/>
      <c r="E154" s="69"/>
      <c r="F154" s="69"/>
      <c r="G154" s="69"/>
      <c r="H154" s="68"/>
      <c r="I154" s="80" t="str">
        <f t="shared" si="4"/>
        <v/>
      </c>
      <c r="J154" s="80" t="str">
        <f t="shared" ca="1" si="5"/>
        <v/>
      </c>
      <c r="K154" s="69"/>
      <c r="L154" s="69"/>
    </row>
    <row r="155" spans="1:12" x14ac:dyDescent="0.3">
      <c r="A155" s="69"/>
      <c r="B155" s="69"/>
      <c r="C155" s="68"/>
      <c r="D155" s="69"/>
      <c r="E155" s="69"/>
      <c r="F155" s="69"/>
      <c r="G155" s="69"/>
      <c r="H155" s="68"/>
      <c r="I155" s="80" t="str">
        <f t="shared" si="4"/>
        <v/>
      </c>
      <c r="J155" s="80" t="str">
        <f t="shared" ca="1" si="5"/>
        <v/>
      </c>
      <c r="K155" s="69"/>
      <c r="L155" s="69"/>
    </row>
    <row r="156" spans="1:12" x14ac:dyDescent="0.3">
      <c r="A156" s="69"/>
      <c r="B156" s="69"/>
      <c r="C156" s="68"/>
      <c r="D156" s="69"/>
      <c r="E156" s="69"/>
      <c r="F156" s="69"/>
      <c r="G156" s="69"/>
      <c r="H156" s="68"/>
      <c r="I156" s="80" t="str">
        <f t="shared" si="4"/>
        <v/>
      </c>
      <c r="J156" s="80" t="str">
        <f t="shared" ca="1" si="5"/>
        <v/>
      </c>
      <c r="K156" s="69"/>
      <c r="L156" s="69"/>
    </row>
    <row r="157" spans="1:12" x14ac:dyDescent="0.3">
      <c r="A157" s="69"/>
      <c r="B157" s="69"/>
      <c r="C157" s="68"/>
      <c r="D157" s="69"/>
      <c r="E157" s="69"/>
      <c r="F157" s="69"/>
      <c r="G157" s="69"/>
      <c r="H157" s="68"/>
      <c r="I157" s="80" t="str">
        <f t="shared" si="4"/>
        <v/>
      </c>
      <c r="J157" s="80" t="str">
        <f t="shared" ca="1" si="5"/>
        <v/>
      </c>
      <c r="K157" s="69"/>
      <c r="L157" s="69"/>
    </row>
    <row r="158" spans="1:12" x14ac:dyDescent="0.3">
      <c r="A158" s="69"/>
      <c r="B158" s="69"/>
      <c r="C158" s="68"/>
      <c r="D158" s="69"/>
      <c r="E158" s="69"/>
      <c r="F158" s="69"/>
      <c r="G158" s="69"/>
      <c r="H158" s="68"/>
      <c r="I158" s="80" t="str">
        <f t="shared" si="4"/>
        <v/>
      </c>
      <c r="J158" s="80" t="str">
        <f t="shared" ca="1" si="5"/>
        <v/>
      </c>
      <c r="K158" s="69"/>
      <c r="L158" s="69"/>
    </row>
    <row r="159" spans="1:12" x14ac:dyDescent="0.3">
      <c r="A159" s="69"/>
      <c r="B159" s="69"/>
      <c r="C159" s="68"/>
      <c r="D159" s="69"/>
      <c r="E159" s="69"/>
      <c r="F159" s="69"/>
      <c r="G159" s="69"/>
      <c r="H159" s="68"/>
      <c r="I159" s="80" t="str">
        <f t="shared" si="4"/>
        <v/>
      </c>
      <c r="J159" s="80" t="str">
        <f t="shared" ca="1" si="5"/>
        <v/>
      </c>
      <c r="K159" s="69"/>
      <c r="L159" s="69"/>
    </row>
    <row r="160" spans="1:12" x14ac:dyDescent="0.3">
      <c r="A160" s="69"/>
      <c r="B160" s="69"/>
      <c r="C160" s="68"/>
      <c r="D160" s="69"/>
      <c r="E160" s="69"/>
      <c r="F160" s="69"/>
      <c r="G160" s="69"/>
      <c r="H160" s="68"/>
      <c r="I160" s="80" t="str">
        <f t="shared" si="4"/>
        <v/>
      </c>
      <c r="J160" s="80" t="str">
        <f t="shared" ca="1" si="5"/>
        <v/>
      </c>
      <c r="K160" s="69"/>
      <c r="L160" s="69"/>
    </row>
    <row r="161" spans="1:12" x14ac:dyDescent="0.3">
      <c r="A161" s="69"/>
      <c r="B161" s="69"/>
      <c r="C161" s="68"/>
      <c r="D161" s="69"/>
      <c r="E161" s="69"/>
      <c r="F161" s="69"/>
      <c r="G161" s="69"/>
      <c r="H161" s="68"/>
      <c r="I161" s="80" t="str">
        <f t="shared" si="4"/>
        <v/>
      </c>
      <c r="J161" s="80" t="str">
        <f t="shared" ca="1" si="5"/>
        <v/>
      </c>
      <c r="K161" s="69"/>
      <c r="L161" s="69"/>
    </row>
    <row r="162" spans="1:12" x14ac:dyDescent="0.3">
      <c r="A162" s="69"/>
      <c r="B162" s="69"/>
      <c r="C162" s="68"/>
      <c r="D162" s="69"/>
      <c r="E162" s="69"/>
      <c r="F162" s="69"/>
      <c r="G162" s="69"/>
      <c r="H162" s="68"/>
      <c r="I162" s="80" t="str">
        <f t="shared" si="4"/>
        <v/>
      </c>
      <c r="J162" s="80" t="str">
        <f t="shared" ca="1" si="5"/>
        <v/>
      </c>
      <c r="K162" s="69"/>
      <c r="L162" s="69"/>
    </row>
    <row r="163" spans="1:12" x14ac:dyDescent="0.3">
      <c r="A163" s="69"/>
      <c r="B163" s="69"/>
      <c r="C163" s="68"/>
      <c r="D163" s="69"/>
      <c r="E163" s="69"/>
      <c r="F163" s="69"/>
      <c r="G163" s="69"/>
      <c r="H163" s="68"/>
      <c r="I163" s="80" t="str">
        <f t="shared" si="4"/>
        <v/>
      </c>
      <c r="J163" s="80" t="str">
        <f t="shared" ca="1" si="5"/>
        <v/>
      </c>
      <c r="K163" s="69"/>
      <c r="L163" s="69"/>
    </row>
    <row r="164" spans="1:12" x14ac:dyDescent="0.3">
      <c r="A164" s="69"/>
      <c r="B164" s="69"/>
      <c r="C164" s="68"/>
      <c r="D164" s="69"/>
      <c r="E164" s="69"/>
      <c r="F164" s="69"/>
      <c r="G164" s="69"/>
      <c r="H164" s="68"/>
      <c r="I164" s="80" t="str">
        <f t="shared" si="4"/>
        <v/>
      </c>
      <c r="J164" s="80" t="str">
        <f t="shared" ca="1" si="5"/>
        <v/>
      </c>
      <c r="K164" s="69"/>
      <c r="L164" s="69"/>
    </row>
    <row r="165" spans="1:12" x14ac:dyDescent="0.3">
      <c r="A165" s="69"/>
      <c r="B165" s="69"/>
      <c r="C165" s="68"/>
      <c r="D165" s="69"/>
      <c r="E165" s="69"/>
      <c r="F165" s="69"/>
      <c r="G165" s="69"/>
      <c r="H165" s="68"/>
      <c r="I165" s="80" t="str">
        <f t="shared" si="4"/>
        <v/>
      </c>
      <c r="J165" s="80" t="str">
        <f t="shared" ca="1" si="5"/>
        <v/>
      </c>
      <c r="K165" s="69"/>
      <c r="L165" s="69"/>
    </row>
    <row r="166" spans="1:12" x14ac:dyDescent="0.3">
      <c r="A166" s="69"/>
      <c r="B166" s="69"/>
      <c r="C166" s="68"/>
      <c r="D166" s="69"/>
      <c r="E166" s="69"/>
      <c r="F166" s="69"/>
      <c r="G166" s="69"/>
      <c r="H166" s="68"/>
      <c r="I166" s="80" t="str">
        <f t="shared" si="4"/>
        <v/>
      </c>
      <c r="J166" s="80" t="str">
        <f t="shared" ca="1" si="5"/>
        <v/>
      </c>
      <c r="K166" s="69"/>
      <c r="L166" s="69"/>
    </row>
    <row r="167" spans="1:12" x14ac:dyDescent="0.3">
      <c r="A167" s="69"/>
      <c r="B167" s="69"/>
      <c r="C167" s="68"/>
      <c r="D167" s="69"/>
      <c r="E167" s="69"/>
      <c r="F167" s="69"/>
      <c r="G167" s="69"/>
      <c r="H167" s="68"/>
      <c r="I167" s="80" t="str">
        <f t="shared" si="4"/>
        <v/>
      </c>
      <c r="J167" s="80" t="str">
        <f t="shared" ca="1" si="5"/>
        <v/>
      </c>
      <c r="K167" s="69"/>
      <c r="L167" s="69"/>
    </row>
    <row r="168" spans="1:12" x14ac:dyDescent="0.3">
      <c r="A168" s="69"/>
      <c r="B168" s="69"/>
      <c r="C168" s="68"/>
      <c r="D168" s="69"/>
      <c r="E168" s="69"/>
      <c r="F168" s="69"/>
      <c r="G168" s="69"/>
      <c r="H168" s="68"/>
      <c r="I168" s="80" t="str">
        <f t="shared" si="4"/>
        <v/>
      </c>
      <c r="J168" s="80" t="str">
        <f t="shared" ca="1" si="5"/>
        <v/>
      </c>
      <c r="K168" s="69"/>
      <c r="L168" s="69"/>
    </row>
    <row r="169" spans="1:12" x14ac:dyDescent="0.3">
      <c r="A169" s="69"/>
      <c r="B169" s="69"/>
      <c r="C169" s="68"/>
      <c r="D169" s="69"/>
      <c r="E169" s="69"/>
      <c r="F169" s="69"/>
      <c r="G169" s="69"/>
      <c r="H169" s="68"/>
      <c r="I169" s="80" t="str">
        <f t="shared" si="4"/>
        <v/>
      </c>
      <c r="J169" s="80" t="str">
        <f t="shared" ca="1" si="5"/>
        <v/>
      </c>
      <c r="K169" s="69"/>
      <c r="L169" s="69"/>
    </row>
    <row r="170" spans="1:12" x14ac:dyDescent="0.3">
      <c r="A170" s="69"/>
      <c r="B170" s="69"/>
      <c r="C170" s="68"/>
      <c r="D170" s="69"/>
      <c r="E170" s="69"/>
      <c r="F170" s="69"/>
      <c r="G170" s="69"/>
      <c r="H170" s="68"/>
      <c r="I170" s="80" t="str">
        <f t="shared" si="4"/>
        <v/>
      </c>
      <c r="J170" s="80" t="str">
        <f t="shared" ca="1" si="5"/>
        <v/>
      </c>
      <c r="K170" s="69"/>
      <c r="L170" s="69"/>
    </row>
    <row r="171" spans="1:12" x14ac:dyDescent="0.3">
      <c r="A171" s="69"/>
      <c r="B171" s="69"/>
      <c r="C171" s="68"/>
      <c r="D171" s="69"/>
      <c r="E171" s="69"/>
      <c r="F171" s="69"/>
      <c r="G171" s="69"/>
      <c r="H171" s="68"/>
      <c r="I171" s="80" t="str">
        <f t="shared" si="4"/>
        <v/>
      </c>
      <c r="J171" s="80" t="str">
        <f t="shared" ca="1" si="5"/>
        <v/>
      </c>
      <c r="K171" s="69"/>
      <c r="L171" s="69"/>
    </row>
    <row r="172" spans="1:12" x14ac:dyDescent="0.3">
      <c r="A172" s="69"/>
      <c r="B172" s="69"/>
      <c r="C172" s="68"/>
      <c r="D172" s="69"/>
      <c r="E172" s="69"/>
      <c r="F172" s="69"/>
      <c r="G172" s="69"/>
      <c r="H172" s="68"/>
      <c r="I172" s="80" t="str">
        <f t="shared" si="4"/>
        <v/>
      </c>
      <c r="J172" s="80" t="str">
        <f t="shared" ca="1" si="5"/>
        <v/>
      </c>
      <c r="K172" s="69"/>
      <c r="L172" s="69"/>
    </row>
    <row r="173" spans="1:12" x14ac:dyDescent="0.3">
      <c r="A173" s="69"/>
      <c r="B173" s="69"/>
      <c r="C173" s="68"/>
      <c r="D173" s="69"/>
      <c r="E173" s="69"/>
      <c r="F173" s="69"/>
      <c r="G173" s="69"/>
      <c r="H173" s="68"/>
      <c r="I173" s="80" t="str">
        <f t="shared" si="4"/>
        <v/>
      </c>
      <c r="J173" s="80" t="str">
        <f t="shared" ca="1" si="5"/>
        <v/>
      </c>
      <c r="K173" s="69"/>
      <c r="L173" s="69"/>
    </row>
    <row r="174" spans="1:12" x14ac:dyDescent="0.3">
      <c r="A174" s="69"/>
      <c r="B174" s="69"/>
      <c r="C174" s="68"/>
      <c r="D174" s="69"/>
      <c r="E174" s="69"/>
      <c r="F174" s="69"/>
      <c r="G174" s="69"/>
      <c r="H174" s="68"/>
      <c r="I174" s="80" t="str">
        <f t="shared" si="4"/>
        <v/>
      </c>
      <c r="J174" s="80" t="str">
        <f t="shared" ca="1" si="5"/>
        <v/>
      </c>
      <c r="K174" s="69"/>
      <c r="L174" s="69"/>
    </row>
    <row r="175" spans="1:12" x14ac:dyDescent="0.3">
      <c r="A175" s="69"/>
      <c r="B175" s="69"/>
      <c r="C175" s="68"/>
      <c r="D175" s="69"/>
      <c r="E175" s="69"/>
      <c r="F175" s="69"/>
      <c r="G175" s="69"/>
      <c r="H175" s="68"/>
      <c r="I175" s="80" t="str">
        <f t="shared" si="4"/>
        <v/>
      </c>
      <c r="J175" s="80" t="str">
        <f t="shared" ca="1" si="5"/>
        <v/>
      </c>
      <c r="K175" s="69"/>
      <c r="L175" s="69"/>
    </row>
    <row r="176" spans="1:12" x14ac:dyDescent="0.3">
      <c r="A176" s="69"/>
      <c r="B176" s="69"/>
      <c r="C176" s="68"/>
      <c r="D176" s="69"/>
      <c r="E176" s="69"/>
      <c r="F176" s="69"/>
      <c r="G176" s="69"/>
      <c r="H176" s="68"/>
      <c r="I176" s="80" t="str">
        <f t="shared" si="4"/>
        <v/>
      </c>
      <c r="J176" s="80" t="str">
        <f t="shared" ca="1" si="5"/>
        <v/>
      </c>
      <c r="K176" s="69"/>
      <c r="L176" s="69"/>
    </row>
    <row r="177" spans="1:12" x14ac:dyDescent="0.3">
      <c r="A177" s="69"/>
      <c r="B177" s="69"/>
      <c r="C177" s="68"/>
      <c r="D177" s="69"/>
      <c r="E177" s="69"/>
      <c r="F177" s="69"/>
      <c r="G177" s="69"/>
      <c r="H177" s="68"/>
      <c r="I177" s="80" t="str">
        <f t="shared" si="4"/>
        <v/>
      </c>
      <c r="J177" s="80" t="str">
        <f t="shared" ca="1" si="5"/>
        <v/>
      </c>
      <c r="K177" s="69"/>
      <c r="L177" s="69"/>
    </row>
    <row r="178" spans="1:12" x14ac:dyDescent="0.3">
      <c r="A178" s="69"/>
      <c r="B178" s="69"/>
      <c r="C178" s="68"/>
      <c r="D178" s="69"/>
      <c r="E178" s="69"/>
      <c r="F178" s="69"/>
      <c r="G178" s="69"/>
      <c r="H178" s="68"/>
      <c r="I178" s="80" t="str">
        <f t="shared" si="4"/>
        <v/>
      </c>
      <c r="J178" s="80" t="str">
        <f t="shared" ca="1" si="5"/>
        <v/>
      </c>
      <c r="K178" s="69"/>
      <c r="L178" s="69"/>
    </row>
    <row r="179" spans="1:12" x14ac:dyDescent="0.3">
      <c r="A179" s="69"/>
      <c r="B179" s="69"/>
      <c r="C179" s="68"/>
      <c r="D179" s="69"/>
      <c r="E179" s="69"/>
      <c r="F179" s="69"/>
      <c r="G179" s="69"/>
      <c r="H179" s="68"/>
      <c r="I179" s="80" t="str">
        <f t="shared" si="4"/>
        <v/>
      </c>
      <c r="J179" s="80" t="str">
        <f t="shared" ca="1" si="5"/>
        <v/>
      </c>
      <c r="K179" s="69"/>
      <c r="L179" s="69"/>
    </row>
    <row r="180" spans="1:12" x14ac:dyDescent="0.3">
      <c r="A180" s="69"/>
      <c r="B180" s="69"/>
      <c r="C180" s="68"/>
      <c r="D180" s="69"/>
      <c r="E180" s="69"/>
      <c r="F180" s="69"/>
      <c r="G180" s="69"/>
      <c r="H180" s="68"/>
      <c r="I180" s="80" t="str">
        <f t="shared" si="4"/>
        <v/>
      </c>
      <c r="J180" s="80" t="str">
        <f t="shared" ca="1" si="5"/>
        <v/>
      </c>
      <c r="K180" s="69"/>
      <c r="L180" s="69"/>
    </row>
    <row r="181" spans="1:12" x14ac:dyDescent="0.3">
      <c r="A181" s="69"/>
      <c r="B181" s="69"/>
      <c r="C181" s="68"/>
      <c r="D181" s="69"/>
      <c r="E181" s="69"/>
      <c r="F181" s="69"/>
      <c r="G181" s="69"/>
      <c r="H181" s="68"/>
      <c r="I181" s="80" t="str">
        <f t="shared" si="4"/>
        <v/>
      </c>
      <c r="J181" s="80" t="str">
        <f t="shared" ca="1" si="5"/>
        <v/>
      </c>
      <c r="K181" s="69"/>
      <c r="L181" s="69"/>
    </row>
    <row r="182" spans="1:12" x14ac:dyDescent="0.3">
      <c r="A182" s="69"/>
      <c r="B182" s="69"/>
      <c r="C182" s="68"/>
      <c r="D182" s="69"/>
      <c r="E182" s="69"/>
      <c r="F182" s="69"/>
      <c r="G182" s="69"/>
      <c r="H182" s="68"/>
      <c r="I182" s="80" t="str">
        <f t="shared" si="4"/>
        <v/>
      </c>
      <c r="J182" s="80" t="str">
        <f t="shared" ca="1" si="5"/>
        <v/>
      </c>
      <c r="K182" s="69"/>
      <c r="L182" s="69"/>
    </row>
    <row r="183" spans="1:12" x14ac:dyDescent="0.3">
      <c r="A183" s="69"/>
      <c r="B183" s="69"/>
      <c r="C183" s="68"/>
      <c r="D183" s="69"/>
      <c r="E183" s="69"/>
      <c r="F183" s="69"/>
      <c r="G183" s="69"/>
      <c r="H183" s="68"/>
      <c r="I183" s="80" t="str">
        <f t="shared" si="4"/>
        <v/>
      </c>
      <c r="J183" s="80" t="str">
        <f t="shared" ca="1" si="5"/>
        <v/>
      </c>
      <c r="K183" s="69"/>
      <c r="L183" s="69"/>
    </row>
    <row r="184" spans="1:12" x14ac:dyDescent="0.3">
      <c r="A184" s="69"/>
      <c r="B184" s="69"/>
      <c r="C184" s="68"/>
      <c r="D184" s="69"/>
      <c r="E184" s="69"/>
      <c r="F184" s="69"/>
      <c r="G184" s="69"/>
      <c r="H184" s="68"/>
      <c r="I184" s="80" t="str">
        <f t="shared" si="4"/>
        <v/>
      </c>
      <c r="J184" s="80" t="str">
        <f t="shared" ca="1" si="5"/>
        <v/>
      </c>
      <c r="K184" s="69"/>
      <c r="L184" s="69"/>
    </row>
    <row r="185" spans="1:12" x14ac:dyDescent="0.3">
      <c r="A185" s="69"/>
      <c r="B185" s="69"/>
      <c r="C185" s="68"/>
      <c r="D185" s="69"/>
      <c r="E185" s="69"/>
      <c r="F185" s="69"/>
      <c r="G185" s="69"/>
      <c r="H185" s="68"/>
      <c r="I185" s="80" t="str">
        <f t="shared" si="4"/>
        <v/>
      </c>
      <c r="J185" s="80" t="str">
        <f t="shared" ca="1" si="5"/>
        <v/>
      </c>
      <c r="K185" s="69"/>
      <c r="L185" s="69"/>
    </row>
    <row r="186" spans="1:12" x14ac:dyDescent="0.3">
      <c r="A186" s="69"/>
      <c r="B186" s="69"/>
      <c r="C186" s="68"/>
      <c r="D186" s="69"/>
      <c r="E186" s="69"/>
      <c r="F186" s="69"/>
      <c r="G186" s="69"/>
      <c r="H186" s="68"/>
      <c r="I186" s="80" t="str">
        <f t="shared" si="4"/>
        <v/>
      </c>
      <c r="J186" s="80" t="str">
        <f t="shared" ca="1" si="5"/>
        <v/>
      </c>
      <c r="K186" s="69"/>
      <c r="L186" s="69"/>
    </row>
    <row r="187" spans="1:12" x14ac:dyDescent="0.3">
      <c r="A187" s="69"/>
      <c r="B187" s="69"/>
      <c r="C187" s="68"/>
      <c r="D187" s="69"/>
      <c r="E187" s="69"/>
      <c r="F187" s="69"/>
      <c r="G187" s="69"/>
      <c r="H187" s="68"/>
      <c r="I187" s="80" t="str">
        <f t="shared" si="4"/>
        <v/>
      </c>
      <c r="J187" s="80" t="str">
        <f t="shared" ca="1" si="5"/>
        <v/>
      </c>
      <c r="K187" s="69"/>
      <c r="L187" s="69"/>
    </row>
    <row r="188" spans="1:12" x14ac:dyDescent="0.3">
      <c r="A188" s="69"/>
      <c r="B188" s="69"/>
      <c r="C188" s="68"/>
      <c r="D188" s="69"/>
      <c r="E188" s="69"/>
      <c r="F188" s="69"/>
      <c r="G188" s="69"/>
      <c r="H188" s="68"/>
      <c r="I188" s="80" t="str">
        <f t="shared" si="4"/>
        <v/>
      </c>
      <c r="J188" s="80" t="str">
        <f t="shared" ca="1" si="5"/>
        <v/>
      </c>
      <c r="K188" s="69"/>
      <c r="L188" s="69"/>
    </row>
    <row r="189" spans="1:12" x14ac:dyDescent="0.3">
      <c r="A189" s="69"/>
      <c r="B189" s="69"/>
      <c r="C189" s="68"/>
      <c r="D189" s="69"/>
      <c r="E189" s="69"/>
      <c r="F189" s="69"/>
      <c r="G189" s="69"/>
      <c r="H189" s="68"/>
      <c r="I189" s="80" t="str">
        <f t="shared" si="4"/>
        <v/>
      </c>
      <c r="J189" s="80" t="str">
        <f t="shared" ca="1" si="5"/>
        <v/>
      </c>
      <c r="K189" s="69"/>
      <c r="L189" s="69"/>
    </row>
    <row r="190" spans="1:12" x14ac:dyDescent="0.3">
      <c r="A190" s="69"/>
      <c r="B190" s="69"/>
      <c r="C190" s="68"/>
      <c r="D190" s="69"/>
      <c r="E190" s="69"/>
      <c r="F190" s="69"/>
      <c r="G190" s="69"/>
      <c r="H190" s="68"/>
      <c r="I190" s="80" t="str">
        <f t="shared" si="4"/>
        <v/>
      </c>
      <c r="J190" s="80" t="str">
        <f t="shared" ca="1" si="5"/>
        <v/>
      </c>
      <c r="K190" s="69"/>
      <c r="L190" s="69"/>
    </row>
    <row r="191" spans="1:12" x14ac:dyDescent="0.3">
      <c r="A191" s="69"/>
      <c r="B191" s="69"/>
      <c r="C191" s="68"/>
      <c r="D191" s="69"/>
      <c r="E191" s="69"/>
      <c r="F191" s="69"/>
      <c r="G191" s="69"/>
      <c r="H191" s="68"/>
      <c r="I191" s="80" t="str">
        <f t="shared" si="4"/>
        <v/>
      </c>
      <c r="J191" s="80" t="str">
        <f t="shared" ca="1" si="5"/>
        <v/>
      </c>
      <c r="K191" s="69"/>
      <c r="L191" s="69"/>
    </row>
    <row r="192" spans="1:12" x14ac:dyDescent="0.3">
      <c r="A192" s="69"/>
      <c r="B192" s="69"/>
      <c r="C192" s="68"/>
      <c r="D192" s="69"/>
      <c r="E192" s="69"/>
      <c r="F192" s="69"/>
      <c r="G192" s="69"/>
      <c r="H192" s="68"/>
      <c r="I192" s="80" t="str">
        <f t="shared" si="4"/>
        <v/>
      </c>
      <c r="J192" s="80" t="str">
        <f t="shared" ca="1" si="5"/>
        <v/>
      </c>
      <c r="K192" s="69"/>
      <c r="L192" s="69"/>
    </row>
    <row r="193" spans="1:12" x14ac:dyDescent="0.3">
      <c r="A193" s="69"/>
      <c r="B193" s="69"/>
      <c r="C193" s="68"/>
      <c r="D193" s="69"/>
      <c r="E193" s="69"/>
      <c r="F193" s="69"/>
      <c r="G193" s="69"/>
      <c r="H193" s="68"/>
      <c r="I193" s="80" t="str">
        <f t="shared" si="4"/>
        <v/>
      </c>
      <c r="J193" s="80" t="str">
        <f t="shared" ca="1" si="5"/>
        <v/>
      </c>
      <c r="K193" s="69"/>
      <c r="L193" s="69"/>
    </row>
    <row r="194" spans="1:12" x14ac:dyDescent="0.3">
      <c r="A194" s="69"/>
      <c r="B194" s="69"/>
      <c r="C194" s="68"/>
      <c r="D194" s="69"/>
      <c r="E194" s="69"/>
      <c r="F194" s="69"/>
      <c r="G194" s="69"/>
      <c r="H194" s="68"/>
      <c r="I194" s="80" t="str">
        <f t="shared" si="4"/>
        <v/>
      </c>
      <c r="J194" s="80" t="str">
        <f t="shared" ca="1" si="5"/>
        <v/>
      </c>
      <c r="K194" s="69"/>
      <c r="L194" s="69"/>
    </row>
    <row r="195" spans="1:12" x14ac:dyDescent="0.3">
      <c r="A195" s="69"/>
      <c r="B195" s="69"/>
      <c r="C195" s="68"/>
      <c r="D195" s="69"/>
      <c r="E195" s="69"/>
      <c r="F195" s="69"/>
      <c r="G195" s="69"/>
      <c r="H195" s="68"/>
      <c r="I195" s="80" t="str">
        <f t="shared" si="4"/>
        <v/>
      </c>
      <c r="J195" s="80" t="str">
        <f t="shared" ca="1" si="5"/>
        <v/>
      </c>
      <c r="K195" s="69"/>
      <c r="L195" s="69"/>
    </row>
    <row r="196" spans="1:12" x14ac:dyDescent="0.3">
      <c r="A196" s="69"/>
      <c r="B196" s="69"/>
      <c r="C196" s="68"/>
      <c r="D196" s="69"/>
      <c r="E196" s="69"/>
      <c r="F196" s="69"/>
      <c r="G196" s="69"/>
      <c r="H196" s="68"/>
      <c r="I196" s="80" t="str">
        <f t="shared" si="4"/>
        <v/>
      </c>
      <c r="J196" s="80" t="str">
        <f t="shared" ca="1" si="5"/>
        <v/>
      </c>
      <c r="K196" s="69"/>
      <c r="L196" s="69"/>
    </row>
    <row r="197" spans="1:12" x14ac:dyDescent="0.3">
      <c r="A197" s="69"/>
      <c r="B197" s="69"/>
      <c r="C197" s="68"/>
      <c r="D197" s="69"/>
      <c r="E197" s="69"/>
      <c r="F197" s="69"/>
      <c r="G197" s="69"/>
      <c r="H197" s="68"/>
      <c r="I197" s="80" t="str">
        <f t="shared" ref="I197:I260" si="6">IF(OR(C197="",H197=""),"",H197-C197)</f>
        <v/>
      </c>
      <c r="J197" s="80" t="str">
        <f t="shared" ref="J197:J260" ca="1" si="7">IF(OR(C197="",H197&lt;&gt;""),"",TODAY()-C197)</f>
        <v/>
      </c>
      <c r="K197" s="69"/>
      <c r="L197" s="69"/>
    </row>
    <row r="198" spans="1:12" x14ac:dyDescent="0.3">
      <c r="A198" s="69"/>
      <c r="B198" s="69"/>
      <c r="C198" s="68"/>
      <c r="D198" s="69"/>
      <c r="E198" s="69"/>
      <c r="F198" s="69"/>
      <c r="G198" s="69"/>
      <c r="H198" s="68"/>
      <c r="I198" s="80" t="str">
        <f t="shared" si="6"/>
        <v/>
      </c>
      <c r="J198" s="80" t="str">
        <f t="shared" ca="1" si="7"/>
        <v/>
      </c>
      <c r="K198" s="69"/>
      <c r="L198" s="69"/>
    </row>
    <row r="199" spans="1:12" x14ac:dyDescent="0.3">
      <c r="A199" s="69"/>
      <c r="B199" s="69"/>
      <c r="C199" s="68"/>
      <c r="D199" s="69"/>
      <c r="E199" s="69"/>
      <c r="F199" s="69"/>
      <c r="G199" s="69"/>
      <c r="H199" s="68"/>
      <c r="I199" s="80" t="str">
        <f t="shared" si="6"/>
        <v/>
      </c>
      <c r="J199" s="80" t="str">
        <f t="shared" ca="1" si="7"/>
        <v/>
      </c>
      <c r="K199" s="69"/>
      <c r="L199" s="69"/>
    </row>
    <row r="200" spans="1:12" x14ac:dyDescent="0.3">
      <c r="A200" s="69"/>
      <c r="B200" s="69"/>
      <c r="C200" s="68"/>
      <c r="D200" s="69"/>
      <c r="E200" s="69"/>
      <c r="F200" s="69"/>
      <c r="G200" s="69"/>
      <c r="H200" s="68"/>
      <c r="I200" s="80" t="str">
        <f t="shared" si="6"/>
        <v/>
      </c>
      <c r="J200" s="80" t="str">
        <f t="shared" ca="1" si="7"/>
        <v/>
      </c>
      <c r="K200" s="69"/>
      <c r="L200" s="69"/>
    </row>
    <row r="201" spans="1:12" x14ac:dyDescent="0.3">
      <c r="A201" s="69"/>
      <c r="B201" s="69"/>
      <c r="C201" s="68"/>
      <c r="D201" s="69"/>
      <c r="E201" s="69"/>
      <c r="F201" s="69"/>
      <c r="G201" s="69"/>
      <c r="H201" s="68"/>
      <c r="I201" s="80" t="str">
        <f t="shared" si="6"/>
        <v/>
      </c>
      <c r="J201" s="80" t="str">
        <f t="shared" ca="1" si="7"/>
        <v/>
      </c>
      <c r="K201" s="69"/>
      <c r="L201" s="69"/>
    </row>
    <row r="202" spans="1:12" x14ac:dyDescent="0.3">
      <c r="A202" s="69"/>
      <c r="B202" s="69"/>
      <c r="C202" s="68"/>
      <c r="D202" s="69"/>
      <c r="E202" s="69"/>
      <c r="F202" s="69"/>
      <c r="G202" s="69"/>
      <c r="H202" s="68"/>
      <c r="I202" s="80" t="str">
        <f t="shared" si="6"/>
        <v/>
      </c>
      <c r="J202" s="80" t="str">
        <f t="shared" ca="1" si="7"/>
        <v/>
      </c>
      <c r="K202" s="69"/>
      <c r="L202" s="69"/>
    </row>
    <row r="203" spans="1:12" x14ac:dyDescent="0.3">
      <c r="A203" s="69"/>
      <c r="B203" s="69"/>
      <c r="C203" s="68"/>
      <c r="D203" s="69"/>
      <c r="E203" s="69"/>
      <c r="F203" s="69"/>
      <c r="G203" s="69"/>
      <c r="H203" s="68"/>
      <c r="I203" s="80" t="str">
        <f t="shared" si="6"/>
        <v/>
      </c>
      <c r="J203" s="80" t="str">
        <f t="shared" ca="1" si="7"/>
        <v/>
      </c>
      <c r="K203" s="69"/>
      <c r="L203" s="69"/>
    </row>
    <row r="204" spans="1:12" x14ac:dyDescent="0.3">
      <c r="A204" s="69"/>
      <c r="B204" s="69"/>
      <c r="C204" s="68"/>
      <c r="D204" s="69"/>
      <c r="E204" s="69"/>
      <c r="F204" s="69"/>
      <c r="G204" s="69"/>
      <c r="H204" s="68"/>
      <c r="I204" s="80" t="str">
        <f t="shared" si="6"/>
        <v/>
      </c>
      <c r="J204" s="80" t="str">
        <f t="shared" ca="1" si="7"/>
        <v/>
      </c>
      <c r="K204" s="69"/>
      <c r="L204" s="69"/>
    </row>
    <row r="205" spans="1:12" x14ac:dyDescent="0.3">
      <c r="A205" s="69"/>
      <c r="B205" s="69"/>
      <c r="C205" s="68"/>
      <c r="D205" s="69"/>
      <c r="E205" s="69"/>
      <c r="F205" s="69"/>
      <c r="G205" s="69"/>
      <c r="H205" s="68"/>
      <c r="I205" s="80" t="str">
        <f t="shared" si="6"/>
        <v/>
      </c>
      <c r="J205" s="80" t="str">
        <f t="shared" ca="1" si="7"/>
        <v/>
      </c>
      <c r="K205" s="69"/>
      <c r="L205" s="69"/>
    </row>
    <row r="206" spans="1:12" x14ac:dyDescent="0.3">
      <c r="A206" s="69"/>
      <c r="B206" s="69"/>
      <c r="C206" s="68"/>
      <c r="D206" s="69"/>
      <c r="E206" s="69"/>
      <c r="F206" s="69"/>
      <c r="G206" s="69"/>
      <c r="H206" s="68"/>
      <c r="I206" s="80" t="str">
        <f t="shared" si="6"/>
        <v/>
      </c>
      <c r="J206" s="80" t="str">
        <f t="shared" ca="1" si="7"/>
        <v/>
      </c>
      <c r="K206" s="69"/>
      <c r="L206" s="69"/>
    </row>
    <row r="207" spans="1:12" x14ac:dyDescent="0.3">
      <c r="A207" s="69"/>
      <c r="B207" s="69"/>
      <c r="C207" s="68"/>
      <c r="D207" s="69"/>
      <c r="E207" s="69"/>
      <c r="F207" s="69"/>
      <c r="G207" s="69"/>
      <c r="H207" s="68"/>
      <c r="I207" s="80" t="str">
        <f t="shared" si="6"/>
        <v/>
      </c>
      <c r="J207" s="80" t="str">
        <f t="shared" ca="1" si="7"/>
        <v/>
      </c>
      <c r="K207" s="69"/>
      <c r="L207" s="69"/>
    </row>
    <row r="208" spans="1:12" x14ac:dyDescent="0.3">
      <c r="A208" s="69"/>
      <c r="B208" s="69"/>
      <c r="C208" s="68"/>
      <c r="D208" s="69"/>
      <c r="E208" s="69"/>
      <c r="F208" s="69"/>
      <c r="G208" s="69"/>
      <c r="H208" s="68"/>
      <c r="I208" s="80" t="str">
        <f t="shared" si="6"/>
        <v/>
      </c>
      <c r="J208" s="80" t="str">
        <f t="shared" ca="1" si="7"/>
        <v/>
      </c>
      <c r="K208" s="69"/>
      <c r="L208" s="69"/>
    </row>
    <row r="209" spans="1:12" x14ac:dyDescent="0.3">
      <c r="A209" s="69"/>
      <c r="B209" s="69"/>
      <c r="C209" s="68"/>
      <c r="D209" s="69"/>
      <c r="E209" s="69"/>
      <c r="F209" s="69"/>
      <c r="G209" s="69"/>
      <c r="H209" s="68"/>
      <c r="I209" s="80" t="str">
        <f t="shared" si="6"/>
        <v/>
      </c>
      <c r="J209" s="80" t="str">
        <f t="shared" ca="1" si="7"/>
        <v/>
      </c>
      <c r="K209" s="69"/>
      <c r="L209" s="69"/>
    </row>
    <row r="210" spans="1:12" x14ac:dyDescent="0.3">
      <c r="A210" s="69"/>
      <c r="B210" s="69"/>
      <c r="C210" s="68"/>
      <c r="D210" s="69"/>
      <c r="E210" s="69"/>
      <c r="F210" s="69"/>
      <c r="G210" s="69"/>
      <c r="H210" s="68"/>
      <c r="I210" s="80" t="str">
        <f t="shared" si="6"/>
        <v/>
      </c>
      <c r="J210" s="80" t="str">
        <f t="shared" ca="1" si="7"/>
        <v/>
      </c>
      <c r="K210" s="69"/>
      <c r="L210" s="69"/>
    </row>
    <row r="211" spans="1:12" x14ac:dyDescent="0.3">
      <c r="A211" s="69"/>
      <c r="B211" s="69"/>
      <c r="C211" s="68"/>
      <c r="D211" s="69"/>
      <c r="E211" s="69"/>
      <c r="F211" s="69"/>
      <c r="G211" s="69"/>
      <c r="H211" s="68"/>
      <c r="I211" s="80" t="str">
        <f t="shared" si="6"/>
        <v/>
      </c>
      <c r="J211" s="80" t="str">
        <f t="shared" ca="1" si="7"/>
        <v/>
      </c>
      <c r="K211" s="69"/>
      <c r="L211" s="69"/>
    </row>
    <row r="212" spans="1:12" x14ac:dyDescent="0.3">
      <c r="A212" s="69"/>
      <c r="B212" s="69"/>
      <c r="C212" s="68"/>
      <c r="D212" s="69"/>
      <c r="E212" s="69"/>
      <c r="F212" s="69"/>
      <c r="G212" s="69"/>
      <c r="H212" s="68"/>
      <c r="I212" s="80" t="str">
        <f t="shared" si="6"/>
        <v/>
      </c>
      <c r="J212" s="80" t="str">
        <f t="shared" ca="1" si="7"/>
        <v/>
      </c>
      <c r="K212" s="69"/>
      <c r="L212" s="69"/>
    </row>
    <row r="213" spans="1:12" x14ac:dyDescent="0.3">
      <c r="A213" s="69"/>
      <c r="B213" s="69"/>
      <c r="C213" s="68"/>
      <c r="D213" s="69"/>
      <c r="E213" s="69"/>
      <c r="F213" s="69"/>
      <c r="G213" s="69"/>
      <c r="H213" s="68"/>
      <c r="I213" s="80" t="str">
        <f t="shared" si="6"/>
        <v/>
      </c>
      <c r="J213" s="80" t="str">
        <f t="shared" ca="1" si="7"/>
        <v/>
      </c>
      <c r="K213" s="69"/>
      <c r="L213" s="69"/>
    </row>
    <row r="214" spans="1:12" x14ac:dyDescent="0.3">
      <c r="A214" s="69"/>
      <c r="B214" s="69"/>
      <c r="C214" s="68"/>
      <c r="D214" s="69"/>
      <c r="E214" s="69"/>
      <c r="F214" s="69"/>
      <c r="G214" s="69"/>
      <c r="H214" s="68"/>
      <c r="I214" s="80" t="str">
        <f t="shared" si="6"/>
        <v/>
      </c>
      <c r="J214" s="80" t="str">
        <f t="shared" ca="1" si="7"/>
        <v/>
      </c>
      <c r="K214" s="69"/>
      <c r="L214" s="69"/>
    </row>
    <row r="215" spans="1:12" x14ac:dyDescent="0.3">
      <c r="A215" s="69"/>
      <c r="B215" s="69"/>
      <c r="C215" s="68"/>
      <c r="D215" s="69"/>
      <c r="E215" s="69"/>
      <c r="F215" s="69"/>
      <c r="G215" s="69"/>
      <c r="H215" s="68"/>
      <c r="I215" s="80" t="str">
        <f t="shared" si="6"/>
        <v/>
      </c>
      <c r="J215" s="80" t="str">
        <f t="shared" ca="1" si="7"/>
        <v/>
      </c>
      <c r="K215" s="69"/>
      <c r="L215" s="69"/>
    </row>
    <row r="216" spans="1:12" x14ac:dyDescent="0.3">
      <c r="A216" s="69"/>
      <c r="B216" s="69"/>
      <c r="C216" s="68"/>
      <c r="D216" s="69"/>
      <c r="E216" s="69"/>
      <c r="F216" s="69"/>
      <c r="G216" s="69"/>
      <c r="H216" s="68"/>
      <c r="I216" s="80" t="str">
        <f t="shared" si="6"/>
        <v/>
      </c>
      <c r="J216" s="80" t="str">
        <f t="shared" ca="1" si="7"/>
        <v/>
      </c>
      <c r="K216" s="69"/>
      <c r="L216" s="69"/>
    </row>
    <row r="217" spans="1:12" x14ac:dyDescent="0.3">
      <c r="A217" s="69"/>
      <c r="B217" s="69"/>
      <c r="C217" s="68"/>
      <c r="D217" s="69"/>
      <c r="E217" s="69"/>
      <c r="F217" s="69"/>
      <c r="G217" s="69"/>
      <c r="H217" s="68"/>
      <c r="I217" s="80" t="str">
        <f t="shared" si="6"/>
        <v/>
      </c>
      <c r="J217" s="80" t="str">
        <f t="shared" ca="1" si="7"/>
        <v/>
      </c>
      <c r="K217" s="69"/>
      <c r="L217" s="69"/>
    </row>
    <row r="218" spans="1:12" x14ac:dyDescent="0.3">
      <c r="A218" s="69"/>
      <c r="B218" s="69"/>
      <c r="C218" s="68"/>
      <c r="D218" s="69"/>
      <c r="E218" s="69"/>
      <c r="F218" s="69"/>
      <c r="G218" s="69"/>
      <c r="H218" s="68"/>
      <c r="I218" s="80" t="str">
        <f t="shared" si="6"/>
        <v/>
      </c>
      <c r="J218" s="80" t="str">
        <f t="shared" ca="1" si="7"/>
        <v/>
      </c>
      <c r="K218" s="69"/>
      <c r="L218" s="69"/>
    </row>
    <row r="219" spans="1:12" x14ac:dyDescent="0.3">
      <c r="A219" s="69"/>
      <c r="B219" s="69"/>
      <c r="C219" s="68"/>
      <c r="D219" s="69"/>
      <c r="E219" s="69"/>
      <c r="F219" s="69"/>
      <c r="G219" s="69"/>
      <c r="H219" s="68"/>
      <c r="I219" s="80" t="str">
        <f t="shared" si="6"/>
        <v/>
      </c>
      <c r="J219" s="80" t="str">
        <f t="shared" ca="1" si="7"/>
        <v/>
      </c>
      <c r="K219" s="69"/>
      <c r="L219" s="69"/>
    </row>
    <row r="220" spans="1:12" x14ac:dyDescent="0.3">
      <c r="A220" s="69"/>
      <c r="B220" s="69"/>
      <c r="C220" s="68"/>
      <c r="D220" s="69"/>
      <c r="E220" s="69"/>
      <c r="F220" s="69"/>
      <c r="G220" s="69"/>
      <c r="H220" s="68"/>
      <c r="I220" s="80" t="str">
        <f t="shared" si="6"/>
        <v/>
      </c>
      <c r="J220" s="80" t="str">
        <f t="shared" ca="1" si="7"/>
        <v/>
      </c>
      <c r="K220" s="69"/>
      <c r="L220" s="69"/>
    </row>
    <row r="221" spans="1:12" x14ac:dyDescent="0.3">
      <c r="A221" s="69"/>
      <c r="B221" s="69"/>
      <c r="C221" s="68"/>
      <c r="D221" s="69"/>
      <c r="E221" s="69"/>
      <c r="F221" s="69"/>
      <c r="G221" s="69"/>
      <c r="H221" s="68"/>
      <c r="I221" s="80" t="str">
        <f t="shared" si="6"/>
        <v/>
      </c>
      <c r="J221" s="80" t="str">
        <f t="shared" ca="1" si="7"/>
        <v/>
      </c>
      <c r="K221" s="69"/>
      <c r="L221" s="69"/>
    </row>
    <row r="222" spans="1:12" x14ac:dyDescent="0.3">
      <c r="A222" s="69"/>
      <c r="B222" s="69"/>
      <c r="C222" s="68"/>
      <c r="D222" s="69"/>
      <c r="E222" s="69"/>
      <c r="F222" s="69"/>
      <c r="G222" s="69"/>
      <c r="H222" s="68"/>
      <c r="I222" s="80" t="str">
        <f t="shared" si="6"/>
        <v/>
      </c>
      <c r="J222" s="80" t="str">
        <f t="shared" ca="1" si="7"/>
        <v/>
      </c>
      <c r="K222" s="69"/>
      <c r="L222" s="69"/>
    </row>
    <row r="223" spans="1:12" x14ac:dyDescent="0.3">
      <c r="A223" s="69"/>
      <c r="B223" s="69"/>
      <c r="C223" s="68"/>
      <c r="D223" s="69"/>
      <c r="E223" s="69"/>
      <c r="F223" s="69"/>
      <c r="G223" s="69"/>
      <c r="H223" s="68"/>
      <c r="I223" s="80" t="str">
        <f t="shared" si="6"/>
        <v/>
      </c>
      <c r="J223" s="80" t="str">
        <f t="shared" ca="1" si="7"/>
        <v/>
      </c>
      <c r="K223" s="69"/>
      <c r="L223" s="69"/>
    </row>
    <row r="224" spans="1:12" x14ac:dyDescent="0.3">
      <c r="A224" s="69"/>
      <c r="B224" s="69"/>
      <c r="C224" s="68"/>
      <c r="D224" s="69"/>
      <c r="E224" s="69"/>
      <c r="F224" s="69"/>
      <c r="G224" s="69"/>
      <c r="H224" s="68"/>
      <c r="I224" s="80" t="str">
        <f t="shared" si="6"/>
        <v/>
      </c>
      <c r="J224" s="80" t="str">
        <f t="shared" ca="1" si="7"/>
        <v/>
      </c>
      <c r="K224" s="69"/>
      <c r="L224" s="69"/>
    </row>
    <row r="225" spans="1:12" x14ac:dyDescent="0.3">
      <c r="A225" s="69"/>
      <c r="B225" s="69"/>
      <c r="C225" s="68"/>
      <c r="D225" s="69"/>
      <c r="E225" s="69"/>
      <c r="F225" s="69"/>
      <c r="G225" s="69"/>
      <c r="H225" s="68"/>
      <c r="I225" s="80" t="str">
        <f t="shared" si="6"/>
        <v/>
      </c>
      <c r="J225" s="80" t="str">
        <f t="shared" ca="1" si="7"/>
        <v/>
      </c>
      <c r="K225" s="69"/>
      <c r="L225" s="69"/>
    </row>
    <row r="226" spans="1:12" x14ac:dyDescent="0.3">
      <c r="A226" s="69"/>
      <c r="B226" s="69"/>
      <c r="C226" s="68"/>
      <c r="D226" s="69"/>
      <c r="E226" s="69"/>
      <c r="F226" s="69"/>
      <c r="G226" s="69"/>
      <c r="H226" s="68"/>
      <c r="I226" s="80" t="str">
        <f t="shared" si="6"/>
        <v/>
      </c>
      <c r="J226" s="80" t="str">
        <f t="shared" ca="1" si="7"/>
        <v/>
      </c>
      <c r="K226" s="69"/>
      <c r="L226" s="69"/>
    </row>
    <row r="227" spans="1:12" x14ac:dyDescent="0.3">
      <c r="A227" s="69"/>
      <c r="B227" s="69"/>
      <c r="C227" s="68"/>
      <c r="D227" s="69"/>
      <c r="E227" s="69"/>
      <c r="F227" s="69"/>
      <c r="G227" s="69"/>
      <c r="H227" s="68"/>
      <c r="I227" s="80" t="str">
        <f t="shared" si="6"/>
        <v/>
      </c>
      <c r="J227" s="80" t="str">
        <f t="shared" ca="1" si="7"/>
        <v/>
      </c>
      <c r="K227" s="69"/>
      <c r="L227" s="69"/>
    </row>
    <row r="228" spans="1:12" x14ac:dyDescent="0.3">
      <c r="A228" s="69"/>
      <c r="B228" s="69"/>
      <c r="C228" s="68"/>
      <c r="D228" s="69"/>
      <c r="E228" s="69"/>
      <c r="F228" s="69"/>
      <c r="G228" s="69"/>
      <c r="H228" s="68"/>
      <c r="I228" s="80" t="str">
        <f t="shared" si="6"/>
        <v/>
      </c>
      <c r="J228" s="80" t="str">
        <f t="shared" ca="1" si="7"/>
        <v/>
      </c>
      <c r="K228" s="69"/>
      <c r="L228" s="69"/>
    </row>
    <row r="229" spans="1:12" x14ac:dyDescent="0.3">
      <c r="A229" s="69"/>
      <c r="B229" s="69"/>
      <c r="C229" s="68"/>
      <c r="D229" s="69"/>
      <c r="E229" s="69"/>
      <c r="F229" s="69"/>
      <c r="G229" s="69"/>
      <c r="H229" s="68"/>
      <c r="I229" s="80" t="str">
        <f t="shared" si="6"/>
        <v/>
      </c>
      <c r="J229" s="80" t="str">
        <f t="shared" ca="1" si="7"/>
        <v/>
      </c>
      <c r="K229" s="69"/>
      <c r="L229" s="69"/>
    </row>
    <row r="230" spans="1:12" x14ac:dyDescent="0.3">
      <c r="A230" s="69"/>
      <c r="B230" s="69"/>
      <c r="C230" s="68"/>
      <c r="D230" s="69"/>
      <c r="E230" s="69"/>
      <c r="F230" s="69"/>
      <c r="G230" s="69"/>
      <c r="H230" s="68"/>
      <c r="I230" s="80" t="str">
        <f t="shared" si="6"/>
        <v/>
      </c>
      <c r="J230" s="80" t="str">
        <f t="shared" ca="1" si="7"/>
        <v/>
      </c>
      <c r="K230" s="69"/>
      <c r="L230" s="69"/>
    </row>
    <row r="231" spans="1:12" x14ac:dyDescent="0.3">
      <c r="A231" s="69"/>
      <c r="B231" s="69"/>
      <c r="C231" s="68"/>
      <c r="D231" s="69"/>
      <c r="E231" s="69"/>
      <c r="F231" s="69"/>
      <c r="G231" s="69"/>
      <c r="H231" s="68"/>
      <c r="I231" s="80" t="str">
        <f t="shared" si="6"/>
        <v/>
      </c>
      <c r="J231" s="80" t="str">
        <f t="shared" ca="1" si="7"/>
        <v/>
      </c>
      <c r="K231" s="69"/>
      <c r="L231" s="69"/>
    </row>
    <row r="232" spans="1:12" x14ac:dyDescent="0.3">
      <c r="A232" s="69"/>
      <c r="B232" s="69"/>
      <c r="C232" s="68"/>
      <c r="D232" s="69"/>
      <c r="E232" s="69"/>
      <c r="F232" s="69"/>
      <c r="G232" s="69"/>
      <c r="H232" s="68"/>
      <c r="I232" s="80" t="str">
        <f t="shared" si="6"/>
        <v/>
      </c>
      <c r="J232" s="80" t="str">
        <f t="shared" ca="1" si="7"/>
        <v/>
      </c>
      <c r="K232" s="69"/>
      <c r="L232" s="69"/>
    </row>
    <row r="233" spans="1:12" x14ac:dyDescent="0.3">
      <c r="A233" s="69"/>
      <c r="B233" s="69"/>
      <c r="C233" s="68"/>
      <c r="D233" s="69"/>
      <c r="E233" s="69"/>
      <c r="F233" s="69"/>
      <c r="G233" s="69"/>
      <c r="H233" s="68"/>
      <c r="I233" s="80" t="str">
        <f t="shared" si="6"/>
        <v/>
      </c>
      <c r="J233" s="80" t="str">
        <f t="shared" ca="1" si="7"/>
        <v/>
      </c>
      <c r="K233" s="69"/>
      <c r="L233" s="69"/>
    </row>
    <row r="234" spans="1:12" x14ac:dyDescent="0.3">
      <c r="A234" s="69"/>
      <c r="B234" s="69"/>
      <c r="C234" s="68"/>
      <c r="D234" s="69"/>
      <c r="E234" s="69"/>
      <c r="F234" s="69"/>
      <c r="G234" s="69"/>
      <c r="H234" s="68"/>
      <c r="I234" s="80" t="str">
        <f t="shared" si="6"/>
        <v/>
      </c>
      <c r="J234" s="80" t="str">
        <f t="shared" ca="1" si="7"/>
        <v/>
      </c>
      <c r="K234" s="69"/>
      <c r="L234" s="69"/>
    </row>
    <row r="235" spans="1:12" x14ac:dyDescent="0.3">
      <c r="A235" s="69"/>
      <c r="B235" s="69"/>
      <c r="C235" s="68"/>
      <c r="D235" s="69"/>
      <c r="E235" s="69"/>
      <c r="F235" s="69"/>
      <c r="G235" s="69"/>
      <c r="H235" s="68"/>
      <c r="I235" s="80" t="str">
        <f t="shared" si="6"/>
        <v/>
      </c>
      <c r="J235" s="80" t="str">
        <f t="shared" ca="1" si="7"/>
        <v/>
      </c>
      <c r="K235" s="69"/>
      <c r="L235" s="69"/>
    </row>
    <row r="236" spans="1:12" x14ac:dyDescent="0.3">
      <c r="A236" s="69"/>
      <c r="B236" s="69"/>
      <c r="C236" s="68"/>
      <c r="D236" s="69"/>
      <c r="E236" s="69"/>
      <c r="F236" s="69"/>
      <c r="G236" s="69"/>
      <c r="H236" s="68"/>
      <c r="I236" s="80" t="str">
        <f t="shared" si="6"/>
        <v/>
      </c>
      <c r="J236" s="80" t="str">
        <f t="shared" ca="1" si="7"/>
        <v/>
      </c>
      <c r="K236" s="69"/>
      <c r="L236" s="69"/>
    </row>
    <row r="237" spans="1:12" x14ac:dyDescent="0.3">
      <c r="A237" s="69"/>
      <c r="B237" s="69"/>
      <c r="C237" s="68"/>
      <c r="D237" s="69"/>
      <c r="E237" s="69"/>
      <c r="F237" s="69"/>
      <c r="G237" s="69"/>
      <c r="H237" s="68"/>
      <c r="I237" s="80" t="str">
        <f t="shared" si="6"/>
        <v/>
      </c>
      <c r="J237" s="80" t="str">
        <f t="shared" ca="1" si="7"/>
        <v/>
      </c>
      <c r="K237" s="69"/>
      <c r="L237" s="69"/>
    </row>
    <row r="238" spans="1:12" x14ac:dyDescent="0.3">
      <c r="A238" s="69"/>
      <c r="B238" s="69"/>
      <c r="C238" s="68"/>
      <c r="D238" s="69"/>
      <c r="E238" s="69"/>
      <c r="F238" s="69"/>
      <c r="G238" s="69"/>
      <c r="H238" s="68"/>
      <c r="I238" s="80" t="str">
        <f t="shared" si="6"/>
        <v/>
      </c>
      <c r="J238" s="80" t="str">
        <f t="shared" ca="1" si="7"/>
        <v/>
      </c>
      <c r="K238" s="69"/>
      <c r="L238" s="69"/>
    </row>
    <row r="239" spans="1:12" x14ac:dyDescent="0.3">
      <c r="A239" s="69"/>
      <c r="B239" s="69"/>
      <c r="C239" s="68"/>
      <c r="D239" s="69"/>
      <c r="E239" s="69"/>
      <c r="F239" s="69"/>
      <c r="G239" s="69"/>
      <c r="H239" s="68"/>
      <c r="I239" s="80" t="str">
        <f t="shared" si="6"/>
        <v/>
      </c>
      <c r="J239" s="80" t="str">
        <f t="shared" ca="1" si="7"/>
        <v/>
      </c>
      <c r="K239" s="69"/>
      <c r="L239" s="69"/>
    </row>
    <row r="240" spans="1:12" x14ac:dyDescent="0.3">
      <c r="A240" s="69"/>
      <c r="B240" s="69"/>
      <c r="C240" s="68"/>
      <c r="D240" s="69"/>
      <c r="E240" s="69"/>
      <c r="F240" s="69"/>
      <c r="G240" s="69"/>
      <c r="H240" s="68"/>
      <c r="I240" s="80" t="str">
        <f t="shared" si="6"/>
        <v/>
      </c>
      <c r="J240" s="80" t="str">
        <f t="shared" ca="1" si="7"/>
        <v/>
      </c>
      <c r="K240" s="69"/>
      <c r="L240" s="69"/>
    </row>
    <row r="241" spans="1:12" x14ac:dyDescent="0.3">
      <c r="A241" s="69"/>
      <c r="B241" s="69"/>
      <c r="C241" s="68"/>
      <c r="D241" s="69"/>
      <c r="E241" s="69"/>
      <c r="F241" s="69"/>
      <c r="G241" s="69"/>
      <c r="H241" s="68"/>
      <c r="I241" s="80" t="str">
        <f t="shared" si="6"/>
        <v/>
      </c>
      <c r="J241" s="80" t="str">
        <f t="shared" ca="1" si="7"/>
        <v/>
      </c>
      <c r="K241" s="69"/>
      <c r="L241" s="69"/>
    </row>
    <row r="242" spans="1:12" x14ac:dyDescent="0.3">
      <c r="A242" s="69"/>
      <c r="B242" s="69"/>
      <c r="C242" s="68"/>
      <c r="D242" s="69"/>
      <c r="E242" s="69"/>
      <c r="F242" s="69"/>
      <c r="G242" s="69"/>
      <c r="H242" s="68"/>
      <c r="I242" s="80" t="str">
        <f t="shared" si="6"/>
        <v/>
      </c>
      <c r="J242" s="80" t="str">
        <f t="shared" ca="1" si="7"/>
        <v/>
      </c>
      <c r="K242" s="69"/>
      <c r="L242" s="69"/>
    </row>
    <row r="243" spans="1:12" x14ac:dyDescent="0.3">
      <c r="A243" s="69"/>
      <c r="B243" s="69"/>
      <c r="C243" s="68"/>
      <c r="D243" s="69"/>
      <c r="E243" s="69"/>
      <c r="F243" s="69"/>
      <c r="G243" s="69"/>
      <c r="H243" s="68"/>
      <c r="I243" s="80" t="str">
        <f t="shared" si="6"/>
        <v/>
      </c>
      <c r="J243" s="80" t="str">
        <f t="shared" ca="1" si="7"/>
        <v/>
      </c>
      <c r="K243" s="69"/>
      <c r="L243" s="69"/>
    </row>
    <row r="244" spans="1:12" x14ac:dyDescent="0.3">
      <c r="A244" s="69"/>
      <c r="B244" s="69"/>
      <c r="C244" s="68"/>
      <c r="D244" s="69"/>
      <c r="E244" s="69"/>
      <c r="F244" s="69"/>
      <c r="G244" s="69"/>
      <c r="H244" s="68"/>
      <c r="I244" s="80" t="str">
        <f t="shared" si="6"/>
        <v/>
      </c>
      <c r="J244" s="80" t="str">
        <f t="shared" ca="1" si="7"/>
        <v/>
      </c>
      <c r="K244" s="69"/>
      <c r="L244" s="69"/>
    </row>
    <row r="245" spans="1:12" x14ac:dyDescent="0.3">
      <c r="A245" s="69"/>
      <c r="B245" s="69"/>
      <c r="C245" s="68"/>
      <c r="D245" s="69"/>
      <c r="E245" s="69"/>
      <c r="F245" s="69"/>
      <c r="G245" s="69"/>
      <c r="H245" s="68"/>
      <c r="I245" s="80" t="str">
        <f t="shared" si="6"/>
        <v/>
      </c>
      <c r="J245" s="80" t="str">
        <f t="shared" ca="1" si="7"/>
        <v/>
      </c>
      <c r="K245" s="69"/>
      <c r="L245" s="69"/>
    </row>
    <row r="246" spans="1:12" x14ac:dyDescent="0.3">
      <c r="A246" s="69"/>
      <c r="B246" s="69"/>
      <c r="C246" s="68"/>
      <c r="D246" s="69"/>
      <c r="E246" s="69"/>
      <c r="F246" s="69"/>
      <c r="G246" s="69"/>
      <c r="H246" s="68"/>
      <c r="I246" s="80" t="str">
        <f t="shared" si="6"/>
        <v/>
      </c>
      <c r="J246" s="80" t="str">
        <f t="shared" ca="1" si="7"/>
        <v/>
      </c>
      <c r="K246" s="69"/>
      <c r="L246" s="69"/>
    </row>
    <row r="247" spans="1:12" x14ac:dyDescent="0.3">
      <c r="A247" s="69"/>
      <c r="B247" s="69"/>
      <c r="C247" s="68"/>
      <c r="D247" s="69"/>
      <c r="E247" s="69"/>
      <c r="F247" s="69"/>
      <c r="G247" s="69"/>
      <c r="H247" s="68"/>
      <c r="I247" s="80" t="str">
        <f t="shared" si="6"/>
        <v/>
      </c>
      <c r="J247" s="80" t="str">
        <f t="shared" ca="1" si="7"/>
        <v/>
      </c>
      <c r="K247" s="69"/>
      <c r="L247" s="69"/>
    </row>
    <row r="248" spans="1:12" x14ac:dyDescent="0.3">
      <c r="A248" s="69"/>
      <c r="B248" s="69"/>
      <c r="C248" s="68"/>
      <c r="D248" s="69"/>
      <c r="E248" s="69"/>
      <c r="F248" s="69"/>
      <c r="G248" s="69"/>
      <c r="H248" s="68"/>
      <c r="I248" s="80" t="str">
        <f t="shared" si="6"/>
        <v/>
      </c>
      <c r="J248" s="80" t="str">
        <f t="shared" ca="1" si="7"/>
        <v/>
      </c>
      <c r="K248" s="69"/>
      <c r="L248" s="69"/>
    </row>
    <row r="249" spans="1:12" x14ac:dyDescent="0.3">
      <c r="A249" s="69"/>
      <c r="B249" s="69"/>
      <c r="C249" s="68"/>
      <c r="D249" s="69"/>
      <c r="E249" s="69"/>
      <c r="F249" s="69"/>
      <c r="G249" s="69"/>
      <c r="H249" s="68"/>
      <c r="I249" s="80" t="str">
        <f t="shared" si="6"/>
        <v/>
      </c>
      <c r="J249" s="80" t="str">
        <f t="shared" ca="1" si="7"/>
        <v/>
      </c>
      <c r="K249" s="69"/>
      <c r="L249" s="69"/>
    </row>
    <row r="250" spans="1:12" x14ac:dyDescent="0.3">
      <c r="A250" s="69"/>
      <c r="B250" s="69"/>
      <c r="C250" s="68"/>
      <c r="D250" s="69"/>
      <c r="E250" s="69"/>
      <c r="F250" s="69"/>
      <c r="G250" s="69"/>
      <c r="H250" s="68"/>
      <c r="I250" s="80" t="str">
        <f t="shared" si="6"/>
        <v/>
      </c>
      <c r="J250" s="80" t="str">
        <f t="shared" ca="1" si="7"/>
        <v/>
      </c>
      <c r="K250" s="69"/>
      <c r="L250" s="69"/>
    </row>
    <row r="251" spans="1:12" x14ac:dyDescent="0.3">
      <c r="A251" s="69"/>
      <c r="B251" s="69"/>
      <c r="C251" s="68"/>
      <c r="D251" s="69"/>
      <c r="E251" s="69"/>
      <c r="F251" s="69"/>
      <c r="G251" s="69"/>
      <c r="H251" s="68"/>
      <c r="I251" s="80" t="str">
        <f t="shared" si="6"/>
        <v/>
      </c>
      <c r="J251" s="80" t="str">
        <f t="shared" ca="1" si="7"/>
        <v/>
      </c>
      <c r="K251" s="69"/>
      <c r="L251" s="69"/>
    </row>
    <row r="252" spans="1:12" x14ac:dyDescent="0.3">
      <c r="A252" s="69"/>
      <c r="B252" s="69"/>
      <c r="C252" s="68"/>
      <c r="D252" s="69"/>
      <c r="E252" s="69"/>
      <c r="F252" s="69"/>
      <c r="G252" s="69"/>
      <c r="H252" s="68"/>
      <c r="I252" s="80" t="str">
        <f t="shared" si="6"/>
        <v/>
      </c>
      <c r="J252" s="80" t="str">
        <f t="shared" ca="1" si="7"/>
        <v/>
      </c>
      <c r="K252" s="69"/>
      <c r="L252" s="69"/>
    </row>
    <row r="253" spans="1:12" x14ac:dyDescent="0.3">
      <c r="A253" s="69"/>
      <c r="B253" s="69"/>
      <c r="C253" s="68"/>
      <c r="D253" s="69"/>
      <c r="E253" s="69"/>
      <c r="F253" s="69"/>
      <c r="G253" s="69"/>
      <c r="H253" s="68"/>
      <c r="I253" s="80" t="str">
        <f t="shared" si="6"/>
        <v/>
      </c>
      <c r="J253" s="80" t="str">
        <f t="shared" ca="1" si="7"/>
        <v/>
      </c>
      <c r="K253" s="69"/>
      <c r="L253" s="69"/>
    </row>
    <row r="254" spans="1:12" x14ac:dyDescent="0.3">
      <c r="A254" s="69"/>
      <c r="B254" s="69"/>
      <c r="C254" s="68"/>
      <c r="D254" s="69"/>
      <c r="E254" s="69"/>
      <c r="F254" s="69"/>
      <c r="G254" s="69"/>
      <c r="H254" s="68"/>
      <c r="I254" s="80" t="str">
        <f t="shared" si="6"/>
        <v/>
      </c>
      <c r="J254" s="80" t="str">
        <f t="shared" ca="1" si="7"/>
        <v/>
      </c>
      <c r="K254" s="69"/>
      <c r="L254" s="69"/>
    </row>
    <row r="255" spans="1:12" x14ac:dyDescent="0.3">
      <c r="A255" s="69"/>
      <c r="B255" s="69"/>
      <c r="C255" s="68"/>
      <c r="D255" s="69"/>
      <c r="E255" s="69"/>
      <c r="F255" s="69"/>
      <c r="G255" s="69"/>
      <c r="H255" s="68"/>
      <c r="I255" s="80" t="str">
        <f t="shared" si="6"/>
        <v/>
      </c>
      <c r="J255" s="80" t="str">
        <f t="shared" ca="1" si="7"/>
        <v/>
      </c>
      <c r="K255" s="69"/>
      <c r="L255" s="69"/>
    </row>
    <row r="256" spans="1:12" x14ac:dyDescent="0.3">
      <c r="A256" s="69"/>
      <c r="B256" s="69"/>
      <c r="C256" s="68"/>
      <c r="D256" s="69"/>
      <c r="E256" s="69"/>
      <c r="F256" s="69"/>
      <c r="G256" s="69"/>
      <c r="H256" s="68"/>
      <c r="I256" s="80" t="str">
        <f t="shared" si="6"/>
        <v/>
      </c>
      <c r="J256" s="80" t="str">
        <f t="shared" ca="1" si="7"/>
        <v/>
      </c>
      <c r="K256" s="69"/>
      <c r="L256" s="69"/>
    </row>
    <row r="257" spans="1:12" x14ac:dyDescent="0.3">
      <c r="A257" s="69"/>
      <c r="B257" s="69"/>
      <c r="C257" s="68"/>
      <c r="D257" s="69"/>
      <c r="E257" s="69"/>
      <c r="F257" s="69"/>
      <c r="G257" s="69"/>
      <c r="H257" s="68"/>
      <c r="I257" s="80" t="str">
        <f t="shared" si="6"/>
        <v/>
      </c>
      <c r="J257" s="80" t="str">
        <f t="shared" ca="1" si="7"/>
        <v/>
      </c>
      <c r="K257" s="69"/>
      <c r="L257" s="69"/>
    </row>
    <row r="258" spans="1:12" x14ac:dyDescent="0.3">
      <c r="A258" s="69"/>
      <c r="B258" s="69"/>
      <c r="C258" s="68"/>
      <c r="D258" s="69"/>
      <c r="E258" s="69"/>
      <c r="F258" s="69"/>
      <c r="G258" s="69"/>
      <c r="H258" s="68"/>
      <c r="I258" s="80" t="str">
        <f t="shared" si="6"/>
        <v/>
      </c>
      <c r="J258" s="80" t="str">
        <f t="shared" ca="1" si="7"/>
        <v/>
      </c>
      <c r="K258" s="69"/>
      <c r="L258" s="69"/>
    </row>
    <row r="259" spans="1:12" x14ac:dyDescent="0.3">
      <c r="A259" s="69"/>
      <c r="B259" s="69"/>
      <c r="C259" s="68"/>
      <c r="D259" s="69"/>
      <c r="E259" s="69"/>
      <c r="F259" s="69"/>
      <c r="G259" s="69"/>
      <c r="H259" s="68"/>
      <c r="I259" s="80" t="str">
        <f t="shared" si="6"/>
        <v/>
      </c>
      <c r="J259" s="80" t="str">
        <f t="shared" ca="1" si="7"/>
        <v/>
      </c>
      <c r="K259" s="69"/>
      <c r="L259" s="69"/>
    </row>
    <row r="260" spans="1:12" x14ac:dyDescent="0.3">
      <c r="A260" s="69"/>
      <c r="B260" s="69"/>
      <c r="C260" s="68"/>
      <c r="D260" s="69"/>
      <c r="E260" s="69"/>
      <c r="F260" s="69"/>
      <c r="G260" s="69"/>
      <c r="H260" s="68"/>
      <c r="I260" s="80" t="str">
        <f t="shared" si="6"/>
        <v/>
      </c>
      <c r="J260" s="80" t="str">
        <f t="shared" ca="1" si="7"/>
        <v/>
      </c>
      <c r="K260" s="69"/>
      <c r="L260" s="69"/>
    </row>
    <row r="261" spans="1:12" x14ac:dyDescent="0.3">
      <c r="A261" s="69"/>
      <c r="B261" s="69"/>
      <c r="C261" s="68"/>
      <c r="D261" s="69"/>
      <c r="E261" s="69"/>
      <c r="F261" s="69"/>
      <c r="G261" s="69"/>
      <c r="H261" s="68"/>
      <c r="I261" s="80" t="str">
        <f t="shared" ref="I261:I324" si="8">IF(OR(C261="",H261=""),"",H261-C261)</f>
        <v/>
      </c>
      <c r="J261" s="80" t="str">
        <f t="shared" ref="J261:J324" ca="1" si="9">IF(OR(C261="",H261&lt;&gt;""),"",TODAY()-C261)</f>
        <v/>
      </c>
      <c r="K261" s="69"/>
      <c r="L261" s="69"/>
    </row>
    <row r="262" spans="1:12" x14ac:dyDescent="0.3">
      <c r="A262" s="69"/>
      <c r="B262" s="69"/>
      <c r="C262" s="68"/>
      <c r="D262" s="69"/>
      <c r="E262" s="69"/>
      <c r="F262" s="69"/>
      <c r="G262" s="69"/>
      <c r="H262" s="68"/>
      <c r="I262" s="80" t="str">
        <f t="shared" si="8"/>
        <v/>
      </c>
      <c r="J262" s="80" t="str">
        <f t="shared" ca="1" si="9"/>
        <v/>
      </c>
      <c r="K262" s="69"/>
      <c r="L262" s="69"/>
    </row>
    <row r="263" spans="1:12" x14ac:dyDescent="0.3">
      <c r="A263" s="69"/>
      <c r="B263" s="69"/>
      <c r="C263" s="68"/>
      <c r="D263" s="69"/>
      <c r="E263" s="69"/>
      <c r="F263" s="69"/>
      <c r="G263" s="69"/>
      <c r="H263" s="68"/>
      <c r="I263" s="80" t="str">
        <f t="shared" si="8"/>
        <v/>
      </c>
      <c r="J263" s="80" t="str">
        <f t="shared" ca="1" si="9"/>
        <v/>
      </c>
      <c r="K263" s="69"/>
      <c r="L263" s="69"/>
    </row>
    <row r="264" spans="1:12" x14ac:dyDescent="0.3">
      <c r="A264" s="69"/>
      <c r="B264" s="69"/>
      <c r="C264" s="68"/>
      <c r="D264" s="69"/>
      <c r="E264" s="69"/>
      <c r="F264" s="69"/>
      <c r="G264" s="69"/>
      <c r="H264" s="68"/>
      <c r="I264" s="80" t="str">
        <f t="shared" si="8"/>
        <v/>
      </c>
      <c r="J264" s="80" t="str">
        <f t="shared" ca="1" si="9"/>
        <v/>
      </c>
      <c r="K264" s="69"/>
      <c r="L264" s="69"/>
    </row>
    <row r="265" spans="1:12" x14ac:dyDescent="0.3">
      <c r="A265" s="69"/>
      <c r="B265" s="69"/>
      <c r="C265" s="68"/>
      <c r="D265" s="69"/>
      <c r="E265" s="69"/>
      <c r="F265" s="69"/>
      <c r="G265" s="69"/>
      <c r="H265" s="68"/>
      <c r="I265" s="80" t="str">
        <f t="shared" si="8"/>
        <v/>
      </c>
      <c r="J265" s="80" t="str">
        <f t="shared" ca="1" si="9"/>
        <v/>
      </c>
      <c r="K265" s="69"/>
      <c r="L265" s="69"/>
    </row>
    <row r="266" spans="1:12" x14ac:dyDescent="0.3">
      <c r="A266" s="69"/>
      <c r="B266" s="69"/>
      <c r="C266" s="68"/>
      <c r="D266" s="69"/>
      <c r="E266" s="69"/>
      <c r="F266" s="69"/>
      <c r="G266" s="69"/>
      <c r="H266" s="68"/>
      <c r="I266" s="80" t="str">
        <f t="shared" si="8"/>
        <v/>
      </c>
      <c r="J266" s="80" t="str">
        <f t="shared" ca="1" si="9"/>
        <v/>
      </c>
      <c r="K266" s="69"/>
      <c r="L266" s="69"/>
    </row>
    <row r="267" spans="1:12" x14ac:dyDescent="0.3">
      <c r="A267" s="69"/>
      <c r="B267" s="69"/>
      <c r="C267" s="68"/>
      <c r="D267" s="69"/>
      <c r="E267" s="69"/>
      <c r="F267" s="69"/>
      <c r="G267" s="69"/>
      <c r="H267" s="68"/>
      <c r="I267" s="80" t="str">
        <f t="shared" si="8"/>
        <v/>
      </c>
      <c r="J267" s="80" t="str">
        <f t="shared" ca="1" si="9"/>
        <v/>
      </c>
      <c r="K267" s="69"/>
      <c r="L267" s="69"/>
    </row>
    <row r="268" spans="1:12" x14ac:dyDescent="0.3">
      <c r="A268" s="69"/>
      <c r="B268" s="69"/>
      <c r="C268" s="68"/>
      <c r="D268" s="69"/>
      <c r="E268" s="69"/>
      <c r="F268" s="69"/>
      <c r="G268" s="69"/>
      <c r="H268" s="68"/>
      <c r="I268" s="80" t="str">
        <f t="shared" si="8"/>
        <v/>
      </c>
      <c r="J268" s="80" t="str">
        <f t="shared" ca="1" si="9"/>
        <v/>
      </c>
      <c r="K268" s="69"/>
      <c r="L268" s="69"/>
    </row>
    <row r="269" spans="1:12" x14ac:dyDescent="0.3">
      <c r="A269" s="69"/>
      <c r="B269" s="69"/>
      <c r="C269" s="68"/>
      <c r="D269" s="69"/>
      <c r="E269" s="69"/>
      <c r="F269" s="69"/>
      <c r="G269" s="69"/>
      <c r="H269" s="68"/>
      <c r="I269" s="80" t="str">
        <f t="shared" si="8"/>
        <v/>
      </c>
      <c r="J269" s="80" t="str">
        <f t="shared" ca="1" si="9"/>
        <v/>
      </c>
      <c r="K269" s="69"/>
      <c r="L269" s="69"/>
    </row>
    <row r="270" spans="1:12" x14ac:dyDescent="0.3">
      <c r="A270" s="69"/>
      <c r="B270" s="69"/>
      <c r="C270" s="68"/>
      <c r="D270" s="69"/>
      <c r="E270" s="69"/>
      <c r="F270" s="69"/>
      <c r="G270" s="69"/>
      <c r="H270" s="68"/>
      <c r="I270" s="80" t="str">
        <f t="shared" si="8"/>
        <v/>
      </c>
      <c r="J270" s="80" t="str">
        <f t="shared" ca="1" si="9"/>
        <v/>
      </c>
      <c r="K270" s="69"/>
      <c r="L270" s="69"/>
    </row>
    <row r="271" spans="1:12" x14ac:dyDescent="0.3">
      <c r="A271" s="69"/>
      <c r="B271" s="69"/>
      <c r="C271" s="68"/>
      <c r="D271" s="69"/>
      <c r="E271" s="69"/>
      <c r="F271" s="69"/>
      <c r="G271" s="69"/>
      <c r="H271" s="68"/>
      <c r="I271" s="80" t="str">
        <f t="shared" si="8"/>
        <v/>
      </c>
      <c r="J271" s="80" t="str">
        <f t="shared" ca="1" si="9"/>
        <v/>
      </c>
      <c r="K271" s="69"/>
      <c r="L271" s="69"/>
    </row>
    <row r="272" spans="1:12" x14ac:dyDescent="0.3">
      <c r="A272" s="69"/>
      <c r="B272" s="69"/>
      <c r="C272" s="68"/>
      <c r="D272" s="69"/>
      <c r="E272" s="69"/>
      <c r="F272" s="69"/>
      <c r="G272" s="69"/>
      <c r="H272" s="68"/>
      <c r="I272" s="80" t="str">
        <f t="shared" si="8"/>
        <v/>
      </c>
      <c r="J272" s="80" t="str">
        <f t="shared" ca="1" si="9"/>
        <v/>
      </c>
      <c r="K272" s="69"/>
      <c r="L272" s="69"/>
    </row>
    <row r="273" spans="1:12" x14ac:dyDescent="0.3">
      <c r="A273" s="69"/>
      <c r="B273" s="69"/>
      <c r="C273" s="68"/>
      <c r="D273" s="69"/>
      <c r="E273" s="69"/>
      <c r="F273" s="69"/>
      <c r="G273" s="69"/>
      <c r="H273" s="68"/>
      <c r="I273" s="80" t="str">
        <f t="shared" si="8"/>
        <v/>
      </c>
      <c r="J273" s="80" t="str">
        <f t="shared" ca="1" si="9"/>
        <v/>
      </c>
      <c r="K273" s="69"/>
      <c r="L273" s="69"/>
    </row>
    <row r="274" spans="1:12" x14ac:dyDescent="0.3">
      <c r="A274" s="69"/>
      <c r="B274" s="69"/>
      <c r="C274" s="68"/>
      <c r="D274" s="69"/>
      <c r="E274" s="69"/>
      <c r="F274" s="69"/>
      <c r="G274" s="69"/>
      <c r="H274" s="68"/>
      <c r="I274" s="80" t="str">
        <f t="shared" si="8"/>
        <v/>
      </c>
      <c r="J274" s="80" t="str">
        <f t="shared" ca="1" si="9"/>
        <v/>
      </c>
      <c r="K274" s="69"/>
      <c r="L274" s="69"/>
    </row>
    <row r="275" spans="1:12" x14ac:dyDescent="0.3">
      <c r="A275" s="69"/>
      <c r="B275" s="69"/>
      <c r="C275" s="68"/>
      <c r="D275" s="69"/>
      <c r="E275" s="69"/>
      <c r="F275" s="69"/>
      <c r="G275" s="69"/>
      <c r="H275" s="68"/>
      <c r="I275" s="80" t="str">
        <f t="shared" si="8"/>
        <v/>
      </c>
      <c r="J275" s="80" t="str">
        <f t="shared" ca="1" si="9"/>
        <v/>
      </c>
      <c r="K275" s="69"/>
      <c r="L275" s="69"/>
    </row>
    <row r="276" spans="1:12" x14ac:dyDescent="0.3">
      <c r="A276" s="69"/>
      <c r="B276" s="69"/>
      <c r="C276" s="68"/>
      <c r="D276" s="69"/>
      <c r="E276" s="69"/>
      <c r="F276" s="69"/>
      <c r="G276" s="69"/>
      <c r="H276" s="68"/>
      <c r="I276" s="80" t="str">
        <f t="shared" si="8"/>
        <v/>
      </c>
      <c r="J276" s="80" t="str">
        <f t="shared" ca="1" si="9"/>
        <v/>
      </c>
      <c r="K276" s="69"/>
      <c r="L276" s="69"/>
    </row>
    <row r="277" spans="1:12" x14ac:dyDescent="0.3">
      <c r="A277" s="69"/>
      <c r="B277" s="69"/>
      <c r="C277" s="68"/>
      <c r="D277" s="69"/>
      <c r="E277" s="69"/>
      <c r="F277" s="69"/>
      <c r="G277" s="69"/>
      <c r="H277" s="68"/>
      <c r="I277" s="80" t="str">
        <f t="shared" si="8"/>
        <v/>
      </c>
      <c r="J277" s="80" t="str">
        <f t="shared" ca="1" si="9"/>
        <v/>
      </c>
      <c r="K277" s="69"/>
      <c r="L277" s="69"/>
    </row>
    <row r="278" spans="1:12" x14ac:dyDescent="0.3">
      <c r="A278" s="69"/>
      <c r="B278" s="69"/>
      <c r="C278" s="68"/>
      <c r="D278" s="69"/>
      <c r="E278" s="69"/>
      <c r="F278" s="69"/>
      <c r="G278" s="69"/>
      <c r="H278" s="68"/>
      <c r="I278" s="80" t="str">
        <f t="shared" si="8"/>
        <v/>
      </c>
      <c r="J278" s="80" t="str">
        <f t="shared" ca="1" si="9"/>
        <v/>
      </c>
      <c r="K278" s="69"/>
      <c r="L278" s="69"/>
    </row>
    <row r="279" spans="1:12" x14ac:dyDescent="0.3">
      <c r="A279" s="69"/>
      <c r="B279" s="69"/>
      <c r="C279" s="68"/>
      <c r="D279" s="69"/>
      <c r="E279" s="69"/>
      <c r="F279" s="69"/>
      <c r="G279" s="69"/>
      <c r="H279" s="68"/>
      <c r="I279" s="80" t="str">
        <f t="shared" si="8"/>
        <v/>
      </c>
      <c r="J279" s="80" t="str">
        <f t="shared" ca="1" si="9"/>
        <v/>
      </c>
      <c r="K279" s="69"/>
      <c r="L279" s="69"/>
    </row>
    <row r="280" spans="1:12" x14ac:dyDescent="0.3">
      <c r="A280" s="69"/>
      <c r="B280" s="69"/>
      <c r="C280" s="68"/>
      <c r="D280" s="69"/>
      <c r="E280" s="69"/>
      <c r="F280" s="69"/>
      <c r="G280" s="69"/>
      <c r="H280" s="68"/>
      <c r="I280" s="80" t="str">
        <f t="shared" si="8"/>
        <v/>
      </c>
      <c r="J280" s="80" t="str">
        <f t="shared" ca="1" si="9"/>
        <v/>
      </c>
      <c r="K280" s="69"/>
      <c r="L280" s="69"/>
    </row>
    <row r="281" spans="1:12" x14ac:dyDescent="0.3">
      <c r="A281" s="69"/>
      <c r="B281" s="69"/>
      <c r="C281" s="68"/>
      <c r="D281" s="69"/>
      <c r="E281" s="69"/>
      <c r="F281" s="69"/>
      <c r="G281" s="69"/>
      <c r="H281" s="68"/>
      <c r="I281" s="80" t="str">
        <f t="shared" si="8"/>
        <v/>
      </c>
      <c r="J281" s="80" t="str">
        <f t="shared" ca="1" si="9"/>
        <v/>
      </c>
      <c r="K281" s="69"/>
      <c r="L281" s="69"/>
    </row>
    <row r="282" spans="1:12" x14ac:dyDescent="0.3">
      <c r="A282" s="69"/>
      <c r="B282" s="69"/>
      <c r="C282" s="68"/>
      <c r="D282" s="69"/>
      <c r="E282" s="69"/>
      <c r="F282" s="69"/>
      <c r="G282" s="69"/>
      <c r="H282" s="68"/>
      <c r="I282" s="80" t="str">
        <f t="shared" si="8"/>
        <v/>
      </c>
      <c r="J282" s="80" t="str">
        <f t="shared" ca="1" si="9"/>
        <v/>
      </c>
      <c r="K282" s="69"/>
      <c r="L282" s="69"/>
    </row>
    <row r="283" spans="1:12" x14ac:dyDescent="0.3">
      <c r="A283" s="69"/>
      <c r="B283" s="69"/>
      <c r="C283" s="68"/>
      <c r="D283" s="69"/>
      <c r="E283" s="69"/>
      <c r="F283" s="69"/>
      <c r="G283" s="69"/>
      <c r="H283" s="68"/>
      <c r="I283" s="80" t="str">
        <f t="shared" si="8"/>
        <v/>
      </c>
      <c r="J283" s="80" t="str">
        <f t="shared" ca="1" si="9"/>
        <v/>
      </c>
      <c r="K283" s="69"/>
      <c r="L283" s="69"/>
    </row>
    <row r="284" spans="1:12" x14ac:dyDescent="0.3">
      <c r="A284" s="69"/>
      <c r="B284" s="69"/>
      <c r="C284" s="68"/>
      <c r="D284" s="69"/>
      <c r="E284" s="69"/>
      <c r="F284" s="69"/>
      <c r="G284" s="69"/>
      <c r="H284" s="68"/>
      <c r="I284" s="80" t="str">
        <f t="shared" si="8"/>
        <v/>
      </c>
      <c r="J284" s="80" t="str">
        <f t="shared" ca="1" si="9"/>
        <v/>
      </c>
      <c r="K284" s="69"/>
      <c r="L284" s="69"/>
    </row>
    <row r="285" spans="1:12" x14ac:dyDescent="0.3">
      <c r="A285" s="69"/>
      <c r="B285" s="69"/>
      <c r="C285" s="68"/>
      <c r="D285" s="69"/>
      <c r="E285" s="69"/>
      <c r="F285" s="69"/>
      <c r="G285" s="69"/>
      <c r="H285" s="68"/>
      <c r="I285" s="80" t="str">
        <f t="shared" si="8"/>
        <v/>
      </c>
      <c r="J285" s="80" t="str">
        <f t="shared" ca="1" si="9"/>
        <v/>
      </c>
      <c r="K285" s="69"/>
      <c r="L285" s="69"/>
    </row>
    <row r="286" spans="1:12" x14ac:dyDescent="0.3">
      <c r="A286" s="69"/>
      <c r="B286" s="69"/>
      <c r="C286" s="68"/>
      <c r="D286" s="69"/>
      <c r="E286" s="69"/>
      <c r="F286" s="69"/>
      <c r="G286" s="69"/>
      <c r="H286" s="68"/>
      <c r="I286" s="80" t="str">
        <f t="shared" si="8"/>
        <v/>
      </c>
      <c r="J286" s="80" t="str">
        <f t="shared" ca="1" si="9"/>
        <v/>
      </c>
      <c r="K286" s="69"/>
      <c r="L286" s="69"/>
    </row>
    <row r="287" spans="1:12" x14ac:dyDescent="0.3">
      <c r="A287" s="69"/>
      <c r="B287" s="69"/>
      <c r="C287" s="68"/>
      <c r="D287" s="69"/>
      <c r="E287" s="69"/>
      <c r="F287" s="69"/>
      <c r="G287" s="69"/>
      <c r="H287" s="68"/>
      <c r="I287" s="80" t="str">
        <f t="shared" si="8"/>
        <v/>
      </c>
      <c r="J287" s="80" t="str">
        <f t="shared" ca="1" si="9"/>
        <v/>
      </c>
      <c r="K287" s="69"/>
      <c r="L287" s="69"/>
    </row>
    <row r="288" spans="1:12" x14ac:dyDescent="0.3">
      <c r="A288" s="69"/>
      <c r="B288" s="69"/>
      <c r="C288" s="68"/>
      <c r="D288" s="69"/>
      <c r="E288" s="69"/>
      <c r="F288" s="69"/>
      <c r="G288" s="69"/>
      <c r="H288" s="68"/>
      <c r="I288" s="80" t="str">
        <f t="shared" si="8"/>
        <v/>
      </c>
      <c r="J288" s="80" t="str">
        <f t="shared" ca="1" si="9"/>
        <v/>
      </c>
      <c r="K288" s="69"/>
      <c r="L288" s="69"/>
    </row>
    <row r="289" spans="1:12" x14ac:dyDescent="0.3">
      <c r="A289" s="69"/>
      <c r="B289" s="69"/>
      <c r="C289" s="68"/>
      <c r="D289" s="69"/>
      <c r="E289" s="69"/>
      <c r="F289" s="69"/>
      <c r="G289" s="69"/>
      <c r="H289" s="68"/>
      <c r="I289" s="80" t="str">
        <f t="shared" si="8"/>
        <v/>
      </c>
      <c r="J289" s="80" t="str">
        <f t="shared" ca="1" si="9"/>
        <v/>
      </c>
      <c r="K289" s="69"/>
      <c r="L289" s="69"/>
    </row>
    <row r="290" spans="1:12" x14ac:dyDescent="0.3">
      <c r="A290" s="69"/>
      <c r="B290" s="69"/>
      <c r="C290" s="68"/>
      <c r="D290" s="69"/>
      <c r="E290" s="69"/>
      <c r="F290" s="69"/>
      <c r="G290" s="69"/>
      <c r="H290" s="68"/>
      <c r="I290" s="80" t="str">
        <f t="shared" si="8"/>
        <v/>
      </c>
      <c r="J290" s="80" t="str">
        <f t="shared" ca="1" si="9"/>
        <v/>
      </c>
      <c r="K290" s="69"/>
      <c r="L290" s="69"/>
    </row>
    <row r="291" spans="1:12" x14ac:dyDescent="0.3">
      <c r="A291" s="69"/>
      <c r="B291" s="69"/>
      <c r="C291" s="68"/>
      <c r="D291" s="69"/>
      <c r="E291" s="69"/>
      <c r="F291" s="69"/>
      <c r="G291" s="69"/>
      <c r="H291" s="68"/>
      <c r="I291" s="80" t="str">
        <f t="shared" si="8"/>
        <v/>
      </c>
      <c r="J291" s="80" t="str">
        <f t="shared" ca="1" si="9"/>
        <v/>
      </c>
      <c r="K291" s="69"/>
      <c r="L291" s="69"/>
    </row>
    <row r="292" spans="1:12" x14ac:dyDescent="0.3">
      <c r="A292" s="69"/>
      <c r="B292" s="69"/>
      <c r="C292" s="68"/>
      <c r="D292" s="69"/>
      <c r="E292" s="69"/>
      <c r="F292" s="69"/>
      <c r="G292" s="69"/>
      <c r="H292" s="68"/>
      <c r="I292" s="80" t="str">
        <f t="shared" si="8"/>
        <v/>
      </c>
      <c r="J292" s="80" t="str">
        <f t="shared" ca="1" si="9"/>
        <v/>
      </c>
      <c r="K292" s="69"/>
      <c r="L292" s="69"/>
    </row>
    <row r="293" spans="1:12" x14ac:dyDescent="0.3">
      <c r="A293" s="69"/>
      <c r="B293" s="69"/>
      <c r="C293" s="68"/>
      <c r="D293" s="69"/>
      <c r="E293" s="69"/>
      <c r="F293" s="69"/>
      <c r="G293" s="69"/>
      <c r="H293" s="68"/>
      <c r="I293" s="80" t="str">
        <f t="shared" si="8"/>
        <v/>
      </c>
      <c r="J293" s="80" t="str">
        <f t="shared" ca="1" si="9"/>
        <v/>
      </c>
      <c r="K293" s="69"/>
      <c r="L293" s="69"/>
    </row>
    <row r="294" spans="1:12" x14ac:dyDescent="0.3">
      <c r="A294" s="69"/>
      <c r="B294" s="69"/>
      <c r="C294" s="68"/>
      <c r="D294" s="69"/>
      <c r="E294" s="69"/>
      <c r="F294" s="69"/>
      <c r="G294" s="69"/>
      <c r="H294" s="68"/>
      <c r="I294" s="80" t="str">
        <f t="shared" si="8"/>
        <v/>
      </c>
      <c r="J294" s="80" t="str">
        <f t="shared" ca="1" si="9"/>
        <v/>
      </c>
      <c r="K294" s="69"/>
      <c r="L294" s="69"/>
    </row>
    <row r="295" spans="1:12" x14ac:dyDescent="0.3">
      <c r="A295" s="69"/>
      <c r="B295" s="69"/>
      <c r="C295" s="68"/>
      <c r="D295" s="69"/>
      <c r="E295" s="69"/>
      <c r="F295" s="69"/>
      <c r="G295" s="69"/>
      <c r="H295" s="68"/>
      <c r="I295" s="80" t="str">
        <f t="shared" si="8"/>
        <v/>
      </c>
      <c r="J295" s="80" t="str">
        <f t="shared" ca="1" si="9"/>
        <v/>
      </c>
      <c r="K295" s="69"/>
      <c r="L295" s="69"/>
    </row>
    <row r="296" spans="1:12" x14ac:dyDescent="0.3">
      <c r="A296" s="69"/>
      <c r="B296" s="69"/>
      <c r="C296" s="68"/>
      <c r="D296" s="69"/>
      <c r="E296" s="69"/>
      <c r="F296" s="69"/>
      <c r="G296" s="69"/>
      <c r="H296" s="68"/>
      <c r="I296" s="80" t="str">
        <f t="shared" si="8"/>
        <v/>
      </c>
      <c r="J296" s="80" t="str">
        <f t="shared" ca="1" si="9"/>
        <v/>
      </c>
      <c r="K296" s="69"/>
      <c r="L296" s="69"/>
    </row>
    <row r="297" spans="1:12" x14ac:dyDescent="0.3">
      <c r="A297" s="69"/>
      <c r="B297" s="69"/>
      <c r="C297" s="68"/>
      <c r="D297" s="69"/>
      <c r="E297" s="69"/>
      <c r="F297" s="69"/>
      <c r="G297" s="69"/>
      <c r="H297" s="68"/>
      <c r="I297" s="80" t="str">
        <f t="shared" si="8"/>
        <v/>
      </c>
      <c r="J297" s="80" t="str">
        <f t="shared" ca="1" si="9"/>
        <v/>
      </c>
      <c r="K297" s="69"/>
      <c r="L297" s="69"/>
    </row>
    <row r="298" spans="1:12" x14ac:dyDescent="0.3">
      <c r="A298" s="69"/>
      <c r="B298" s="69"/>
      <c r="C298" s="68"/>
      <c r="D298" s="69"/>
      <c r="E298" s="69"/>
      <c r="F298" s="69"/>
      <c r="G298" s="69"/>
      <c r="H298" s="68"/>
      <c r="I298" s="80" t="str">
        <f t="shared" si="8"/>
        <v/>
      </c>
      <c r="J298" s="80" t="str">
        <f t="shared" ca="1" si="9"/>
        <v/>
      </c>
      <c r="K298" s="69"/>
      <c r="L298" s="69"/>
    </row>
    <row r="299" spans="1:12" x14ac:dyDescent="0.3">
      <c r="A299" s="69"/>
      <c r="B299" s="69"/>
      <c r="C299" s="68"/>
      <c r="D299" s="69"/>
      <c r="E299" s="69"/>
      <c r="F299" s="69"/>
      <c r="G299" s="69"/>
      <c r="H299" s="68"/>
      <c r="I299" s="80" t="str">
        <f t="shared" si="8"/>
        <v/>
      </c>
      <c r="J299" s="80" t="str">
        <f t="shared" ca="1" si="9"/>
        <v/>
      </c>
      <c r="K299" s="69"/>
      <c r="L299" s="69"/>
    </row>
    <row r="300" spans="1:12" x14ac:dyDescent="0.3">
      <c r="A300" s="69"/>
      <c r="B300" s="69"/>
      <c r="C300" s="68"/>
      <c r="D300" s="69"/>
      <c r="E300" s="69"/>
      <c r="F300" s="69"/>
      <c r="G300" s="69"/>
      <c r="H300" s="68"/>
      <c r="I300" s="80" t="str">
        <f t="shared" si="8"/>
        <v/>
      </c>
      <c r="J300" s="80" t="str">
        <f t="shared" ca="1" si="9"/>
        <v/>
      </c>
      <c r="K300" s="69"/>
      <c r="L300" s="69"/>
    </row>
    <row r="301" spans="1:12" x14ac:dyDescent="0.3">
      <c r="A301" s="69"/>
      <c r="B301" s="69"/>
      <c r="C301" s="68"/>
      <c r="D301" s="69"/>
      <c r="E301" s="69"/>
      <c r="F301" s="69"/>
      <c r="G301" s="69"/>
      <c r="H301" s="68"/>
      <c r="I301" s="80" t="str">
        <f t="shared" si="8"/>
        <v/>
      </c>
      <c r="J301" s="80" t="str">
        <f t="shared" ca="1" si="9"/>
        <v/>
      </c>
      <c r="K301" s="69"/>
      <c r="L301" s="69"/>
    </row>
    <row r="302" spans="1:12" x14ac:dyDescent="0.3">
      <c r="A302" s="69"/>
      <c r="B302" s="69"/>
      <c r="C302" s="68"/>
      <c r="D302" s="69"/>
      <c r="E302" s="69"/>
      <c r="F302" s="69"/>
      <c r="G302" s="69"/>
      <c r="H302" s="68"/>
      <c r="I302" s="80" t="str">
        <f t="shared" si="8"/>
        <v/>
      </c>
      <c r="J302" s="80" t="str">
        <f t="shared" ca="1" si="9"/>
        <v/>
      </c>
      <c r="K302" s="69"/>
      <c r="L302" s="69"/>
    </row>
    <row r="303" spans="1:12" x14ac:dyDescent="0.3">
      <c r="A303" s="69"/>
      <c r="B303" s="69"/>
      <c r="C303" s="68"/>
      <c r="D303" s="69"/>
      <c r="E303" s="69"/>
      <c r="F303" s="69"/>
      <c r="G303" s="69"/>
      <c r="H303" s="68"/>
      <c r="I303" s="80" t="str">
        <f t="shared" si="8"/>
        <v/>
      </c>
      <c r="J303" s="80" t="str">
        <f t="shared" ca="1" si="9"/>
        <v/>
      </c>
      <c r="K303" s="69"/>
      <c r="L303" s="69"/>
    </row>
    <row r="304" spans="1:12" x14ac:dyDescent="0.3">
      <c r="A304" s="69"/>
      <c r="B304" s="69"/>
      <c r="C304" s="68"/>
      <c r="D304" s="69"/>
      <c r="E304" s="69"/>
      <c r="F304" s="69"/>
      <c r="G304" s="69"/>
      <c r="H304" s="68"/>
      <c r="I304" s="80" t="str">
        <f t="shared" si="8"/>
        <v/>
      </c>
      <c r="J304" s="80" t="str">
        <f t="shared" ca="1" si="9"/>
        <v/>
      </c>
      <c r="K304" s="69"/>
      <c r="L304" s="69"/>
    </row>
    <row r="305" spans="1:12" x14ac:dyDescent="0.3">
      <c r="A305" s="69"/>
      <c r="B305" s="69"/>
      <c r="C305" s="68"/>
      <c r="D305" s="69"/>
      <c r="E305" s="69"/>
      <c r="F305" s="69"/>
      <c r="G305" s="69"/>
      <c r="H305" s="68"/>
      <c r="I305" s="80" t="str">
        <f t="shared" si="8"/>
        <v/>
      </c>
      <c r="J305" s="80" t="str">
        <f t="shared" ca="1" si="9"/>
        <v/>
      </c>
      <c r="K305" s="69"/>
      <c r="L305" s="69"/>
    </row>
    <row r="306" spans="1:12" x14ac:dyDescent="0.3">
      <c r="A306" s="69"/>
      <c r="B306" s="69"/>
      <c r="C306" s="68"/>
      <c r="D306" s="69"/>
      <c r="E306" s="69"/>
      <c r="F306" s="69"/>
      <c r="G306" s="69"/>
      <c r="H306" s="68"/>
      <c r="I306" s="80" t="str">
        <f t="shared" si="8"/>
        <v/>
      </c>
      <c r="J306" s="80" t="str">
        <f t="shared" ca="1" si="9"/>
        <v/>
      </c>
      <c r="K306" s="69"/>
      <c r="L306" s="69"/>
    </row>
    <row r="307" spans="1:12" x14ac:dyDescent="0.3">
      <c r="A307" s="69"/>
      <c r="B307" s="69"/>
      <c r="C307" s="68"/>
      <c r="D307" s="69"/>
      <c r="E307" s="69"/>
      <c r="F307" s="69"/>
      <c r="G307" s="69"/>
      <c r="H307" s="68"/>
      <c r="I307" s="80" t="str">
        <f t="shared" si="8"/>
        <v/>
      </c>
      <c r="J307" s="80" t="str">
        <f t="shared" ca="1" si="9"/>
        <v/>
      </c>
      <c r="K307" s="69"/>
      <c r="L307" s="69"/>
    </row>
    <row r="308" spans="1:12" x14ac:dyDescent="0.3">
      <c r="A308" s="69"/>
      <c r="B308" s="69"/>
      <c r="C308" s="68"/>
      <c r="D308" s="69"/>
      <c r="E308" s="69"/>
      <c r="F308" s="69"/>
      <c r="G308" s="69"/>
      <c r="H308" s="68"/>
      <c r="I308" s="80" t="str">
        <f t="shared" si="8"/>
        <v/>
      </c>
      <c r="J308" s="80" t="str">
        <f t="shared" ca="1" si="9"/>
        <v/>
      </c>
      <c r="K308" s="69"/>
      <c r="L308" s="69"/>
    </row>
    <row r="309" spans="1:12" x14ac:dyDescent="0.3">
      <c r="A309" s="69"/>
      <c r="B309" s="69"/>
      <c r="C309" s="68"/>
      <c r="D309" s="69"/>
      <c r="E309" s="69"/>
      <c r="F309" s="69"/>
      <c r="G309" s="69"/>
      <c r="H309" s="68"/>
      <c r="I309" s="80" t="str">
        <f t="shared" si="8"/>
        <v/>
      </c>
      <c r="J309" s="80" t="str">
        <f t="shared" ca="1" si="9"/>
        <v/>
      </c>
      <c r="K309" s="69"/>
      <c r="L309" s="69"/>
    </row>
    <row r="310" spans="1:12" x14ac:dyDescent="0.3">
      <c r="A310" s="69"/>
      <c r="B310" s="69"/>
      <c r="C310" s="68"/>
      <c r="D310" s="69"/>
      <c r="E310" s="69"/>
      <c r="F310" s="69"/>
      <c r="G310" s="69"/>
      <c r="H310" s="68"/>
      <c r="I310" s="80" t="str">
        <f t="shared" si="8"/>
        <v/>
      </c>
      <c r="J310" s="80" t="str">
        <f t="shared" ca="1" si="9"/>
        <v/>
      </c>
      <c r="K310" s="69"/>
      <c r="L310" s="69"/>
    </row>
    <row r="311" spans="1:12" x14ac:dyDescent="0.3">
      <c r="A311" s="69"/>
      <c r="B311" s="69"/>
      <c r="C311" s="68"/>
      <c r="D311" s="69"/>
      <c r="E311" s="69"/>
      <c r="F311" s="69"/>
      <c r="G311" s="69"/>
      <c r="H311" s="68"/>
      <c r="I311" s="80" t="str">
        <f t="shared" si="8"/>
        <v/>
      </c>
      <c r="J311" s="80" t="str">
        <f t="shared" ca="1" si="9"/>
        <v/>
      </c>
      <c r="K311" s="69"/>
      <c r="L311" s="69"/>
    </row>
    <row r="312" spans="1:12" x14ac:dyDescent="0.3">
      <c r="A312" s="69"/>
      <c r="B312" s="69"/>
      <c r="C312" s="68"/>
      <c r="D312" s="69"/>
      <c r="E312" s="69"/>
      <c r="F312" s="69"/>
      <c r="G312" s="69"/>
      <c r="H312" s="68"/>
      <c r="I312" s="80" t="str">
        <f t="shared" si="8"/>
        <v/>
      </c>
      <c r="J312" s="80" t="str">
        <f t="shared" ca="1" si="9"/>
        <v/>
      </c>
      <c r="K312" s="69"/>
      <c r="L312" s="69"/>
    </row>
    <row r="313" spans="1:12" x14ac:dyDescent="0.3">
      <c r="A313" s="69"/>
      <c r="B313" s="69"/>
      <c r="C313" s="68"/>
      <c r="D313" s="69"/>
      <c r="E313" s="69"/>
      <c r="F313" s="69"/>
      <c r="G313" s="69"/>
      <c r="H313" s="68"/>
      <c r="I313" s="80" t="str">
        <f t="shared" si="8"/>
        <v/>
      </c>
      <c r="J313" s="80" t="str">
        <f t="shared" ca="1" si="9"/>
        <v/>
      </c>
      <c r="K313" s="69"/>
      <c r="L313" s="69"/>
    </row>
    <row r="314" spans="1:12" x14ac:dyDescent="0.3">
      <c r="A314" s="69"/>
      <c r="B314" s="69"/>
      <c r="C314" s="68"/>
      <c r="D314" s="69"/>
      <c r="E314" s="69"/>
      <c r="F314" s="69"/>
      <c r="G314" s="69"/>
      <c r="H314" s="68"/>
      <c r="I314" s="80" t="str">
        <f t="shared" si="8"/>
        <v/>
      </c>
      <c r="J314" s="80" t="str">
        <f t="shared" ca="1" si="9"/>
        <v/>
      </c>
      <c r="K314" s="69"/>
      <c r="L314" s="69"/>
    </row>
    <row r="315" spans="1:12" x14ac:dyDescent="0.3">
      <c r="A315" s="69"/>
      <c r="B315" s="69"/>
      <c r="C315" s="68"/>
      <c r="D315" s="69"/>
      <c r="E315" s="69"/>
      <c r="F315" s="69"/>
      <c r="G315" s="69"/>
      <c r="H315" s="68"/>
      <c r="I315" s="80" t="str">
        <f t="shared" si="8"/>
        <v/>
      </c>
      <c r="J315" s="80" t="str">
        <f t="shared" ca="1" si="9"/>
        <v/>
      </c>
      <c r="K315" s="69"/>
      <c r="L315" s="69"/>
    </row>
    <row r="316" spans="1:12" x14ac:dyDescent="0.3">
      <c r="A316" s="69"/>
      <c r="B316" s="69"/>
      <c r="C316" s="68"/>
      <c r="D316" s="69"/>
      <c r="E316" s="69"/>
      <c r="F316" s="69"/>
      <c r="G316" s="69"/>
      <c r="H316" s="68"/>
      <c r="I316" s="80" t="str">
        <f t="shared" si="8"/>
        <v/>
      </c>
      <c r="J316" s="80" t="str">
        <f t="shared" ca="1" si="9"/>
        <v/>
      </c>
      <c r="K316" s="69"/>
      <c r="L316" s="69"/>
    </row>
    <row r="317" spans="1:12" x14ac:dyDescent="0.3">
      <c r="A317" s="69"/>
      <c r="B317" s="69"/>
      <c r="C317" s="68"/>
      <c r="D317" s="69"/>
      <c r="E317" s="69"/>
      <c r="F317" s="69"/>
      <c r="G317" s="69"/>
      <c r="H317" s="68"/>
      <c r="I317" s="80" t="str">
        <f t="shared" si="8"/>
        <v/>
      </c>
      <c r="J317" s="80" t="str">
        <f t="shared" ca="1" si="9"/>
        <v/>
      </c>
      <c r="K317" s="69"/>
      <c r="L317" s="69"/>
    </row>
    <row r="318" spans="1:12" x14ac:dyDescent="0.3">
      <c r="A318" s="69"/>
      <c r="B318" s="69"/>
      <c r="C318" s="68"/>
      <c r="D318" s="69"/>
      <c r="E318" s="69"/>
      <c r="F318" s="69"/>
      <c r="G318" s="69"/>
      <c r="H318" s="68"/>
      <c r="I318" s="80" t="str">
        <f t="shared" si="8"/>
        <v/>
      </c>
      <c r="J318" s="80" t="str">
        <f t="shared" ca="1" si="9"/>
        <v/>
      </c>
      <c r="K318" s="69"/>
      <c r="L318" s="69"/>
    </row>
    <row r="319" spans="1:12" x14ac:dyDescent="0.3">
      <c r="A319" s="69"/>
      <c r="B319" s="69"/>
      <c r="C319" s="68"/>
      <c r="D319" s="69"/>
      <c r="E319" s="69"/>
      <c r="F319" s="69"/>
      <c r="G319" s="69"/>
      <c r="H319" s="68"/>
      <c r="I319" s="80" t="str">
        <f t="shared" si="8"/>
        <v/>
      </c>
      <c r="J319" s="80" t="str">
        <f t="shared" ca="1" si="9"/>
        <v/>
      </c>
      <c r="K319" s="69"/>
      <c r="L319" s="69"/>
    </row>
    <row r="320" spans="1:12" x14ac:dyDescent="0.3">
      <c r="A320" s="69"/>
      <c r="B320" s="69"/>
      <c r="C320" s="68"/>
      <c r="D320" s="69"/>
      <c r="E320" s="69"/>
      <c r="F320" s="69"/>
      <c r="G320" s="69"/>
      <c r="H320" s="68"/>
      <c r="I320" s="80" t="str">
        <f t="shared" si="8"/>
        <v/>
      </c>
      <c r="J320" s="80" t="str">
        <f t="shared" ca="1" si="9"/>
        <v/>
      </c>
      <c r="K320" s="69"/>
      <c r="L320" s="69"/>
    </row>
    <row r="321" spans="1:12" x14ac:dyDescent="0.3">
      <c r="A321" s="69"/>
      <c r="B321" s="69"/>
      <c r="C321" s="68"/>
      <c r="D321" s="69"/>
      <c r="E321" s="69"/>
      <c r="F321" s="69"/>
      <c r="G321" s="69"/>
      <c r="H321" s="68"/>
      <c r="I321" s="80" t="str">
        <f t="shared" si="8"/>
        <v/>
      </c>
      <c r="J321" s="80" t="str">
        <f t="shared" ca="1" si="9"/>
        <v/>
      </c>
      <c r="K321" s="69"/>
      <c r="L321" s="69"/>
    </row>
    <row r="322" spans="1:12" x14ac:dyDescent="0.3">
      <c r="A322" s="69"/>
      <c r="B322" s="69"/>
      <c r="C322" s="68"/>
      <c r="D322" s="69"/>
      <c r="E322" s="69"/>
      <c r="F322" s="69"/>
      <c r="G322" s="69"/>
      <c r="H322" s="68"/>
      <c r="I322" s="80" t="str">
        <f t="shared" si="8"/>
        <v/>
      </c>
      <c r="J322" s="80" t="str">
        <f t="shared" ca="1" si="9"/>
        <v/>
      </c>
      <c r="K322" s="69"/>
      <c r="L322" s="69"/>
    </row>
    <row r="323" spans="1:12" x14ac:dyDescent="0.3">
      <c r="A323" s="69"/>
      <c r="B323" s="69"/>
      <c r="C323" s="68"/>
      <c r="D323" s="69"/>
      <c r="E323" s="69"/>
      <c r="F323" s="69"/>
      <c r="G323" s="69"/>
      <c r="H323" s="68"/>
      <c r="I323" s="80" t="str">
        <f t="shared" si="8"/>
        <v/>
      </c>
      <c r="J323" s="80" t="str">
        <f t="shared" ca="1" si="9"/>
        <v/>
      </c>
      <c r="K323" s="69"/>
      <c r="L323" s="69"/>
    </row>
    <row r="324" spans="1:12" x14ac:dyDescent="0.3">
      <c r="A324" s="69"/>
      <c r="B324" s="69"/>
      <c r="C324" s="68"/>
      <c r="D324" s="69"/>
      <c r="E324" s="69"/>
      <c r="F324" s="69"/>
      <c r="G324" s="69"/>
      <c r="H324" s="68"/>
      <c r="I324" s="80" t="str">
        <f t="shared" si="8"/>
        <v/>
      </c>
      <c r="J324" s="80" t="str">
        <f t="shared" ca="1" si="9"/>
        <v/>
      </c>
      <c r="K324" s="69"/>
      <c r="L324" s="69"/>
    </row>
    <row r="325" spans="1:12" x14ac:dyDescent="0.3">
      <c r="A325" s="69"/>
      <c r="B325" s="69"/>
      <c r="C325" s="68"/>
      <c r="D325" s="69"/>
      <c r="E325" s="69"/>
      <c r="F325" s="69"/>
      <c r="G325" s="69"/>
      <c r="H325" s="68"/>
      <c r="I325" s="80" t="str">
        <f t="shared" ref="I325:I388" si="10">IF(OR(C325="",H325=""),"",H325-C325)</f>
        <v/>
      </c>
      <c r="J325" s="80" t="str">
        <f t="shared" ref="J325:J388" ca="1" si="11">IF(OR(C325="",H325&lt;&gt;""),"",TODAY()-C325)</f>
        <v/>
      </c>
      <c r="K325" s="69"/>
      <c r="L325" s="69"/>
    </row>
    <row r="326" spans="1:12" x14ac:dyDescent="0.3">
      <c r="A326" s="69"/>
      <c r="B326" s="69"/>
      <c r="C326" s="68"/>
      <c r="D326" s="69"/>
      <c r="E326" s="69"/>
      <c r="F326" s="69"/>
      <c r="G326" s="69"/>
      <c r="H326" s="68"/>
      <c r="I326" s="80" t="str">
        <f t="shared" si="10"/>
        <v/>
      </c>
      <c r="J326" s="80" t="str">
        <f t="shared" ca="1" si="11"/>
        <v/>
      </c>
      <c r="K326" s="69"/>
      <c r="L326" s="69"/>
    </row>
    <row r="327" spans="1:12" x14ac:dyDescent="0.3">
      <c r="A327" s="69"/>
      <c r="B327" s="69"/>
      <c r="C327" s="68"/>
      <c r="D327" s="69"/>
      <c r="E327" s="69"/>
      <c r="F327" s="69"/>
      <c r="G327" s="69"/>
      <c r="H327" s="68"/>
      <c r="I327" s="80" t="str">
        <f t="shared" si="10"/>
        <v/>
      </c>
      <c r="J327" s="80" t="str">
        <f t="shared" ca="1" si="11"/>
        <v/>
      </c>
      <c r="K327" s="69"/>
      <c r="L327" s="69"/>
    </row>
    <row r="328" spans="1:12" x14ac:dyDescent="0.3">
      <c r="A328" s="69"/>
      <c r="B328" s="69"/>
      <c r="C328" s="68"/>
      <c r="D328" s="69"/>
      <c r="E328" s="69"/>
      <c r="F328" s="69"/>
      <c r="G328" s="69"/>
      <c r="H328" s="68"/>
      <c r="I328" s="80" t="str">
        <f t="shared" si="10"/>
        <v/>
      </c>
      <c r="J328" s="80" t="str">
        <f t="shared" ca="1" si="11"/>
        <v/>
      </c>
      <c r="K328" s="69"/>
      <c r="L328" s="69"/>
    </row>
    <row r="329" spans="1:12" x14ac:dyDescent="0.3">
      <c r="A329" s="69"/>
      <c r="B329" s="69"/>
      <c r="C329" s="68"/>
      <c r="D329" s="69"/>
      <c r="E329" s="69"/>
      <c r="F329" s="69"/>
      <c r="G329" s="69"/>
      <c r="H329" s="68"/>
      <c r="I329" s="80" t="str">
        <f t="shared" si="10"/>
        <v/>
      </c>
      <c r="J329" s="80" t="str">
        <f t="shared" ca="1" si="11"/>
        <v/>
      </c>
      <c r="K329" s="69"/>
      <c r="L329" s="69"/>
    </row>
    <row r="330" spans="1:12" x14ac:dyDescent="0.3">
      <c r="A330" s="69"/>
      <c r="B330" s="69"/>
      <c r="C330" s="68"/>
      <c r="D330" s="69"/>
      <c r="E330" s="69"/>
      <c r="F330" s="69"/>
      <c r="G330" s="69"/>
      <c r="H330" s="68"/>
      <c r="I330" s="80" t="str">
        <f t="shared" si="10"/>
        <v/>
      </c>
      <c r="J330" s="80" t="str">
        <f t="shared" ca="1" si="11"/>
        <v/>
      </c>
      <c r="K330" s="69"/>
      <c r="L330" s="69"/>
    </row>
    <row r="331" spans="1:12" x14ac:dyDescent="0.3">
      <c r="A331" s="69"/>
      <c r="B331" s="69"/>
      <c r="C331" s="68"/>
      <c r="D331" s="69"/>
      <c r="E331" s="69"/>
      <c r="F331" s="69"/>
      <c r="G331" s="69"/>
      <c r="H331" s="68"/>
      <c r="I331" s="80" t="str">
        <f t="shared" si="10"/>
        <v/>
      </c>
      <c r="J331" s="80" t="str">
        <f t="shared" ca="1" si="11"/>
        <v/>
      </c>
      <c r="K331" s="69"/>
      <c r="L331" s="69"/>
    </row>
    <row r="332" spans="1:12" x14ac:dyDescent="0.3">
      <c r="A332" s="69"/>
      <c r="B332" s="69"/>
      <c r="C332" s="68"/>
      <c r="D332" s="69"/>
      <c r="E332" s="69"/>
      <c r="F332" s="69"/>
      <c r="G332" s="69"/>
      <c r="H332" s="68"/>
      <c r="I332" s="80" t="str">
        <f t="shared" si="10"/>
        <v/>
      </c>
      <c r="J332" s="80" t="str">
        <f t="shared" ca="1" si="11"/>
        <v/>
      </c>
      <c r="K332" s="69"/>
      <c r="L332" s="69"/>
    </row>
    <row r="333" spans="1:12" x14ac:dyDescent="0.3">
      <c r="A333" s="69"/>
      <c r="B333" s="69"/>
      <c r="C333" s="68"/>
      <c r="D333" s="69"/>
      <c r="E333" s="69"/>
      <c r="F333" s="69"/>
      <c r="G333" s="69"/>
      <c r="H333" s="68"/>
      <c r="I333" s="80" t="str">
        <f t="shared" si="10"/>
        <v/>
      </c>
      <c r="J333" s="80" t="str">
        <f t="shared" ca="1" si="11"/>
        <v/>
      </c>
      <c r="K333" s="69"/>
      <c r="L333" s="69"/>
    </row>
    <row r="334" spans="1:12" x14ac:dyDescent="0.3">
      <c r="A334" s="69"/>
      <c r="B334" s="69"/>
      <c r="C334" s="68"/>
      <c r="D334" s="69"/>
      <c r="E334" s="69"/>
      <c r="F334" s="69"/>
      <c r="G334" s="69"/>
      <c r="H334" s="68"/>
      <c r="I334" s="80" t="str">
        <f t="shared" si="10"/>
        <v/>
      </c>
      <c r="J334" s="80" t="str">
        <f t="shared" ca="1" si="11"/>
        <v/>
      </c>
      <c r="K334" s="69"/>
      <c r="L334" s="69"/>
    </row>
    <row r="335" spans="1:12" x14ac:dyDescent="0.3">
      <c r="A335" s="69"/>
      <c r="B335" s="69"/>
      <c r="C335" s="68"/>
      <c r="D335" s="69"/>
      <c r="E335" s="69"/>
      <c r="F335" s="69"/>
      <c r="G335" s="69"/>
      <c r="H335" s="68"/>
      <c r="I335" s="80" t="str">
        <f t="shared" si="10"/>
        <v/>
      </c>
      <c r="J335" s="80" t="str">
        <f t="shared" ca="1" si="11"/>
        <v/>
      </c>
      <c r="K335" s="69"/>
      <c r="L335" s="69"/>
    </row>
    <row r="336" spans="1:12" x14ac:dyDescent="0.3">
      <c r="A336" s="69"/>
      <c r="B336" s="69"/>
      <c r="C336" s="68"/>
      <c r="D336" s="69"/>
      <c r="E336" s="69"/>
      <c r="F336" s="69"/>
      <c r="G336" s="69"/>
      <c r="H336" s="68"/>
      <c r="I336" s="80" t="str">
        <f t="shared" si="10"/>
        <v/>
      </c>
      <c r="J336" s="80" t="str">
        <f t="shared" ca="1" si="11"/>
        <v/>
      </c>
      <c r="K336" s="69"/>
      <c r="L336" s="69"/>
    </row>
    <row r="337" spans="1:12" x14ac:dyDescent="0.3">
      <c r="A337" s="69"/>
      <c r="B337" s="69"/>
      <c r="C337" s="68"/>
      <c r="D337" s="69"/>
      <c r="E337" s="69"/>
      <c r="F337" s="69"/>
      <c r="G337" s="69"/>
      <c r="H337" s="68"/>
      <c r="I337" s="80" t="str">
        <f t="shared" si="10"/>
        <v/>
      </c>
      <c r="J337" s="80" t="str">
        <f t="shared" ca="1" si="11"/>
        <v/>
      </c>
      <c r="K337" s="69"/>
      <c r="L337" s="69"/>
    </row>
    <row r="338" spans="1:12" x14ac:dyDescent="0.3">
      <c r="A338" s="69"/>
      <c r="B338" s="69"/>
      <c r="C338" s="68"/>
      <c r="D338" s="69"/>
      <c r="E338" s="69"/>
      <c r="F338" s="69"/>
      <c r="G338" s="69"/>
      <c r="H338" s="68"/>
      <c r="I338" s="80" t="str">
        <f t="shared" si="10"/>
        <v/>
      </c>
      <c r="J338" s="80" t="str">
        <f t="shared" ca="1" si="11"/>
        <v/>
      </c>
      <c r="K338" s="69"/>
      <c r="L338" s="69"/>
    </row>
    <row r="339" spans="1:12" x14ac:dyDescent="0.3">
      <c r="A339" s="69"/>
      <c r="B339" s="69"/>
      <c r="C339" s="68"/>
      <c r="D339" s="69"/>
      <c r="E339" s="69"/>
      <c r="F339" s="69"/>
      <c r="G339" s="69"/>
      <c r="H339" s="68"/>
      <c r="I339" s="80" t="str">
        <f t="shared" si="10"/>
        <v/>
      </c>
      <c r="J339" s="80" t="str">
        <f t="shared" ca="1" si="11"/>
        <v/>
      </c>
      <c r="K339" s="69"/>
      <c r="L339" s="69"/>
    </row>
    <row r="340" spans="1:12" x14ac:dyDescent="0.3">
      <c r="A340" s="69"/>
      <c r="B340" s="69"/>
      <c r="C340" s="68"/>
      <c r="D340" s="69"/>
      <c r="E340" s="69"/>
      <c r="F340" s="69"/>
      <c r="G340" s="69"/>
      <c r="H340" s="68"/>
      <c r="I340" s="80" t="str">
        <f t="shared" si="10"/>
        <v/>
      </c>
      <c r="J340" s="80" t="str">
        <f t="shared" ca="1" si="11"/>
        <v/>
      </c>
      <c r="K340" s="69"/>
      <c r="L340" s="69"/>
    </row>
    <row r="341" spans="1:12" x14ac:dyDescent="0.3">
      <c r="A341" s="69"/>
      <c r="B341" s="69"/>
      <c r="C341" s="68"/>
      <c r="D341" s="69"/>
      <c r="E341" s="69"/>
      <c r="F341" s="69"/>
      <c r="G341" s="69"/>
      <c r="H341" s="68"/>
      <c r="I341" s="80" t="str">
        <f t="shared" si="10"/>
        <v/>
      </c>
      <c r="J341" s="80" t="str">
        <f t="shared" ca="1" si="11"/>
        <v/>
      </c>
      <c r="K341" s="69"/>
      <c r="L341" s="69"/>
    </row>
    <row r="342" spans="1:12" x14ac:dyDescent="0.3">
      <c r="A342" s="69"/>
      <c r="B342" s="69"/>
      <c r="C342" s="68"/>
      <c r="D342" s="69"/>
      <c r="E342" s="69"/>
      <c r="F342" s="69"/>
      <c r="G342" s="69"/>
      <c r="H342" s="68"/>
      <c r="I342" s="80" t="str">
        <f t="shared" si="10"/>
        <v/>
      </c>
      <c r="J342" s="80" t="str">
        <f t="shared" ca="1" si="11"/>
        <v/>
      </c>
      <c r="K342" s="69"/>
      <c r="L342" s="69"/>
    </row>
    <row r="343" spans="1:12" x14ac:dyDescent="0.3">
      <c r="A343" s="69"/>
      <c r="B343" s="69"/>
      <c r="C343" s="68"/>
      <c r="D343" s="69"/>
      <c r="E343" s="69"/>
      <c r="F343" s="69"/>
      <c r="G343" s="69"/>
      <c r="H343" s="68"/>
      <c r="I343" s="80" t="str">
        <f t="shared" si="10"/>
        <v/>
      </c>
      <c r="J343" s="80" t="str">
        <f t="shared" ca="1" si="11"/>
        <v/>
      </c>
      <c r="K343" s="69"/>
      <c r="L343" s="69"/>
    </row>
    <row r="344" spans="1:12" x14ac:dyDescent="0.3">
      <c r="A344" s="69"/>
      <c r="B344" s="69"/>
      <c r="C344" s="68"/>
      <c r="D344" s="69"/>
      <c r="E344" s="69"/>
      <c r="F344" s="69"/>
      <c r="G344" s="69"/>
      <c r="H344" s="68"/>
      <c r="I344" s="80" t="str">
        <f t="shared" si="10"/>
        <v/>
      </c>
      <c r="J344" s="80" t="str">
        <f t="shared" ca="1" si="11"/>
        <v/>
      </c>
      <c r="K344" s="69"/>
      <c r="L344" s="69"/>
    </row>
    <row r="345" spans="1:12" x14ac:dyDescent="0.3">
      <c r="A345" s="69"/>
      <c r="B345" s="69"/>
      <c r="C345" s="68"/>
      <c r="D345" s="69"/>
      <c r="E345" s="69"/>
      <c r="F345" s="69"/>
      <c r="G345" s="69"/>
      <c r="H345" s="68"/>
      <c r="I345" s="80" t="str">
        <f t="shared" si="10"/>
        <v/>
      </c>
      <c r="J345" s="80" t="str">
        <f t="shared" ca="1" si="11"/>
        <v/>
      </c>
      <c r="K345" s="69"/>
      <c r="L345" s="69"/>
    </row>
    <row r="346" spans="1:12" x14ac:dyDescent="0.3">
      <c r="A346" s="69"/>
      <c r="B346" s="69"/>
      <c r="C346" s="68"/>
      <c r="D346" s="69"/>
      <c r="E346" s="69"/>
      <c r="F346" s="69"/>
      <c r="G346" s="69"/>
      <c r="H346" s="68"/>
      <c r="I346" s="80" t="str">
        <f t="shared" si="10"/>
        <v/>
      </c>
      <c r="J346" s="80" t="str">
        <f t="shared" ca="1" si="11"/>
        <v/>
      </c>
      <c r="K346" s="69"/>
      <c r="L346" s="69"/>
    </row>
    <row r="347" spans="1:12" x14ac:dyDescent="0.3">
      <c r="A347" s="69"/>
      <c r="B347" s="69"/>
      <c r="C347" s="68"/>
      <c r="D347" s="69"/>
      <c r="E347" s="69"/>
      <c r="F347" s="69"/>
      <c r="G347" s="69"/>
      <c r="H347" s="68"/>
      <c r="I347" s="80" t="str">
        <f t="shared" si="10"/>
        <v/>
      </c>
      <c r="J347" s="80" t="str">
        <f t="shared" ca="1" si="11"/>
        <v/>
      </c>
      <c r="K347" s="69"/>
      <c r="L347" s="69"/>
    </row>
    <row r="348" spans="1:12" x14ac:dyDescent="0.3">
      <c r="A348" s="69"/>
      <c r="B348" s="69"/>
      <c r="C348" s="68"/>
      <c r="D348" s="69"/>
      <c r="E348" s="69"/>
      <c r="F348" s="69"/>
      <c r="G348" s="69"/>
      <c r="H348" s="68"/>
      <c r="I348" s="80" t="str">
        <f t="shared" si="10"/>
        <v/>
      </c>
      <c r="J348" s="80" t="str">
        <f t="shared" ca="1" si="11"/>
        <v/>
      </c>
      <c r="K348" s="69"/>
      <c r="L348" s="69"/>
    </row>
    <row r="349" spans="1:12" x14ac:dyDescent="0.3">
      <c r="A349" s="69"/>
      <c r="B349" s="69"/>
      <c r="C349" s="68"/>
      <c r="D349" s="69"/>
      <c r="E349" s="69"/>
      <c r="F349" s="69"/>
      <c r="G349" s="69"/>
      <c r="H349" s="68"/>
      <c r="I349" s="80" t="str">
        <f t="shared" si="10"/>
        <v/>
      </c>
      <c r="J349" s="80" t="str">
        <f t="shared" ca="1" si="11"/>
        <v/>
      </c>
      <c r="K349" s="69"/>
      <c r="L349" s="69"/>
    </row>
    <row r="350" spans="1:12" x14ac:dyDescent="0.3">
      <c r="A350" s="69"/>
      <c r="B350" s="69"/>
      <c r="C350" s="68"/>
      <c r="D350" s="69"/>
      <c r="E350" s="69"/>
      <c r="F350" s="69"/>
      <c r="G350" s="69"/>
      <c r="H350" s="68"/>
      <c r="I350" s="80" t="str">
        <f t="shared" si="10"/>
        <v/>
      </c>
      <c r="J350" s="80" t="str">
        <f t="shared" ca="1" si="11"/>
        <v/>
      </c>
      <c r="K350" s="69"/>
      <c r="L350" s="69"/>
    </row>
    <row r="351" spans="1:12" x14ac:dyDescent="0.3">
      <c r="A351" s="69"/>
      <c r="B351" s="69"/>
      <c r="C351" s="68"/>
      <c r="D351" s="69"/>
      <c r="E351" s="69"/>
      <c r="F351" s="69"/>
      <c r="G351" s="69"/>
      <c r="H351" s="68"/>
      <c r="I351" s="80" t="str">
        <f t="shared" si="10"/>
        <v/>
      </c>
      <c r="J351" s="80" t="str">
        <f t="shared" ca="1" si="11"/>
        <v/>
      </c>
      <c r="K351" s="69"/>
      <c r="L351" s="69"/>
    </row>
    <row r="352" spans="1:12" x14ac:dyDescent="0.3">
      <c r="A352" s="69"/>
      <c r="B352" s="69"/>
      <c r="C352" s="68"/>
      <c r="D352" s="69"/>
      <c r="E352" s="69"/>
      <c r="F352" s="69"/>
      <c r="G352" s="69"/>
      <c r="H352" s="68"/>
      <c r="I352" s="80" t="str">
        <f t="shared" si="10"/>
        <v/>
      </c>
      <c r="J352" s="80" t="str">
        <f t="shared" ca="1" si="11"/>
        <v/>
      </c>
      <c r="K352" s="69"/>
      <c r="L352" s="69"/>
    </row>
    <row r="353" spans="1:12" x14ac:dyDescent="0.3">
      <c r="A353" s="69"/>
      <c r="B353" s="69"/>
      <c r="C353" s="68"/>
      <c r="D353" s="69"/>
      <c r="E353" s="69"/>
      <c r="F353" s="69"/>
      <c r="G353" s="69"/>
      <c r="H353" s="68"/>
      <c r="I353" s="80" t="str">
        <f t="shared" si="10"/>
        <v/>
      </c>
      <c r="J353" s="80" t="str">
        <f t="shared" ca="1" si="11"/>
        <v/>
      </c>
      <c r="K353" s="69"/>
      <c r="L353" s="69"/>
    </row>
    <row r="354" spans="1:12" x14ac:dyDescent="0.3">
      <c r="A354" s="69"/>
      <c r="B354" s="69"/>
      <c r="C354" s="68"/>
      <c r="D354" s="69"/>
      <c r="E354" s="69"/>
      <c r="F354" s="69"/>
      <c r="G354" s="69"/>
      <c r="H354" s="68"/>
      <c r="I354" s="80" t="str">
        <f t="shared" si="10"/>
        <v/>
      </c>
      <c r="J354" s="80" t="str">
        <f t="shared" ca="1" si="11"/>
        <v/>
      </c>
      <c r="K354" s="69"/>
      <c r="L354" s="69"/>
    </row>
    <row r="355" spans="1:12" x14ac:dyDescent="0.3">
      <c r="A355" s="69"/>
      <c r="B355" s="69"/>
      <c r="C355" s="68"/>
      <c r="D355" s="69"/>
      <c r="E355" s="69"/>
      <c r="F355" s="69"/>
      <c r="G355" s="69"/>
      <c r="H355" s="68"/>
      <c r="I355" s="80" t="str">
        <f t="shared" si="10"/>
        <v/>
      </c>
      <c r="J355" s="80" t="str">
        <f t="shared" ca="1" si="11"/>
        <v/>
      </c>
      <c r="K355" s="69"/>
      <c r="L355" s="69"/>
    </row>
    <row r="356" spans="1:12" x14ac:dyDescent="0.3">
      <c r="A356" s="69"/>
      <c r="B356" s="69"/>
      <c r="C356" s="68"/>
      <c r="D356" s="69"/>
      <c r="E356" s="69"/>
      <c r="F356" s="69"/>
      <c r="G356" s="69"/>
      <c r="H356" s="68"/>
      <c r="I356" s="80" t="str">
        <f t="shared" si="10"/>
        <v/>
      </c>
      <c r="J356" s="80" t="str">
        <f t="shared" ca="1" si="11"/>
        <v/>
      </c>
      <c r="K356" s="69"/>
      <c r="L356" s="69"/>
    </row>
    <row r="357" spans="1:12" x14ac:dyDescent="0.3">
      <c r="A357" s="69"/>
      <c r="B357" s="69"/>
      <c r="C357" s="68"/>
      <c r="D357" s="69"/>
      <c r="E357" s="69"/>
      <c r="F357" s="69"/>
      <c r="G357" s="69"/>
      <c r="H357" s="68"/>
      <c r="I357" s="80" t="str">
        <f t="shared" si="10"/>
        <v/>
      </c>
      <c r="J357" s="80" t="str">
        <f t="shared" ca="1" si="11"/>
        <v/>
      </c>
      <c r="K357" s="69"/>
      <c r="L357" s="69"/>
    </row>
    <row r="358" spans="1:12" x14ac:dyDescent="0.3">
      <c r="A358" s="69"/>
      <c r="B358" s="69"/>
      <c r="C358" s="68"/>
      <c r="D358" s="69"/>
      <c r="E358" s="69"/>
      <c r="F358" s="69"/>
      <c r="G358" s="69"/>
      <c r="H358" s="68"/>
      <c r="I358" s="80" t="str">
        <f t="shared" si="10"/>
        <v/>
      </c>
      <c r="J358" s="80" t="str">
        <f t="shared" ca="1" si="11"/>
        <v/>
      </c>
      <c r="K358" s="69"/>
      <c r="L358" s="69"/>
    </row>
    <row r="359" spans="1:12" x14ac:dyDescent="0.3">
      <c r="A359" s="69"/>
      <c r="B359" s="69"/>
      <c r="C359" s="68"/>
      <c r="D359" s="69"/>
      <c r="E359" s="69"/>
      <c r="F359" s="69"/>
      <c r="G359" s="69"/>
      <c r="H359" s="68"/>
      <c r="I359" s="80" t="str">
        <f t="shared" si="10"/>
        <v/>
      </c>
      <c r="J359" s="80" t="str">
        <f t="shared" ca="1" si="11"/>
        <v/>
      </c>
      <c r="K359" s="69"/>
      <c r="L359" s="69"/>
    </row>
    <row r="360" spans="1:12" x14ac:dyDescent="0.3">
      <c r="A360" s="69"/>
      <c r="B360" s="69"/>
      <c r="C360" s="68"/>
      <c r="D360" s="69"/>
      <c r="E360" s="69"/>
      <c r="F360" s="69"/>
      <c r="G360" s="69"/>
      <c r="H360" s="68"/>
      <c r="I360" s="80" t="str">
        <f t="shared" si="10"/>
        <v/>
      </c>
      <c r="J360" s="80" t="str">
        <f t="shared" ca="1" si="11"/>
        <v/>
      </c>
      <c r="K360" s="69"/>
      <c r="L360" s="69"/>
    </row>
    <row r="361" spans="1:12" x14ac:dyDescent="0.3">
      <c r="A361" s="69"/>
      <c r="B361" s="69"/>
      <c r="C361" s="68"/>
      <c r="D361" s="69"/>
      <c r="E361" s="69"/>
      <c r="F361" s="69"/>
      <c r="G361" s="69"/>
      <c r="H361" s="68"/>
      <c r="I361" s="80" t="str">
        <f t="shared" si="10"/>
        <v/>
      </c>
      <c r="J361" s="80" t="str">
        <f t="shared" ca="1" si="11"/>
        <v/>
      </c>
      <c r="K361" s="69"/>
      <c r="L361" s="69"/>
    </row>
    <row r="362" spans="1:12" x14ac:dyDescent="0.3">
      <c r="A362" s="69"/>
      <c r="B362" s="69"/>
      <c r="C362" s="68"/>
      <c r="D362" s="69"/>
      <c r="E362" s="69"/>
      <c r="F362" s="69"/>
      <c r="G362" s="69"/>
      <c r="H362" s="68"/>
      <c r="I362" s="80" t="str">
        <f t="shared" si="10"/>
        <v/>
      </c>
      <c r="J362" s="80" t="str">
        <f t="shared" ca="1" si="11"/>
        <v/>
      </c>
      <c r="K362" s="69"/>
      <c r="L362" s="69"/>
    </row>
    <row r="363" spans="1:12" x14ac:dyDescent="0.3">
      <c r="A363" s="69"/>
      <c r="B363" s="69"/>
      <c r="C363" s="68"/>
      <c r="D363" s="69"/>
      <c r="E363" s="69"/>
      <c r="F363" s="69"/>
      <c r="G363" s="69"/>
      <c r="H363" s="68"/>
      <c r="I363" s="80" t="str">
        <f t="shared" si="10"/>
        <v/>
      </c>
      <c r="J363" s="80" t="str">
        <f t="shared" ca="1" si="11"/>
        <v/>
      </c>
      <c r="K363" s="69"/>
      <c r="L363" s="69"/>
    </row>
    <row r="364" spans="1:12" x14ac:dyDescent="0.3">
      <c r="A364" s="69"/>
      <c r="B364" s="69"/>
      <c r="C364" s="68"/>
      <c r="D364" s="69"/>
      <c r="E364" s="69"/>
      <c r="F364" s="69"/>
      <c r="G364" s="69"/>
      <c r="H364" s="68"/>
      <c r="I364" s="80" t="str">
        <f t="shared" si="10"/>
        <v/>
      </c>
      <c r="J364" s="80" t="str">
        <f t="shared" ca="1" si="11"/>
        <v/>
      </c>
      <c r="K364" s="69"/>
      <c r="L364" s="69"/>
    </row>
    <row r="365" spans="1:12" x14ac:dyDescent="0.3">
      <c r="A365" s="69"/>
      <c r="B365" s="69"/>
      <c r="C365" s="68"/>
      <c r="D365" s="69"/>
      <c r="E365" s="69"/>
      <c r="F365" s="69"/>
      <c r="G365" s="69"/>
      <c r="H365" s="68"/>
      <c r="I365" s="80" t="str">
        <f t="shared" si="10"/>
        <v/>
      </c>
      <c r="J365" s="80" t="str">
        <f t="shared" ca="1" si="11"/>
        <v/>
      </c>
      <c r="K365" s="69"/>
      <c r="L365" s="69"/>
    </row>
    <row r="366" spans="1:12" x14ac:dyDescent="0.3">
      <c r="A366" s="69"/>
      <c r="B366" s="69"/>
      <c r="C366" s="68"/>
      <c r="D366" s="69"/>
      <c r="E366" s="69"/>
      <c r="F366" s="69"/>
      <c r="G366" s="69"/>
      <c r="H366" s="68"/>
      <c r="I366" s="80" t="str">
        <f t="shared" si="10"/>
        <v/>
      </c>
      <c r="J366" s="80" t="str">
        <f t="shared" ca="1" si="11"/>
        <v/>
      </c>
      <c r="K366" s="69"/>
      <c r="L366" s="69"/>
    </row>
    <row r="367" spans="1:12" x14ac:dyDescent="0.3">
      <c r="A367" s="69"/>
      <c r="B367" s="69"/>
      <c r="C367" s="68"/>
      <c r="D367" s="69"/>
      <c r="E367" s="69"/>
      <c r="F367" s="69"/>
      <c r="G367" s="69"/>
      <c r="H367" s="68"/>
      <c r="I367" s="80" t="str">
        <f t="shared" si="10"/>
        <v/>
      </c>
      <c r="J367" s="80" t="str">
        <f t="shared" ca="1" si="11"/>
        <v/>
      </c>
      <c r="K367" s="69"/>
      <c r="L367" s="69"/>
    </row>
    <row r="368" spans="1:12" x14ac:dyDescent="0.3">
      <c r="A368" s="69"/>
      <c r="B368" s="69"/>
      <c r="C368" s="68"/>
      <c r="D368" s="69"/>
      <c r="E368" s="69"/>
      <c r="F368" s="69"/>
      <c r="G368" s="69"/>
      <c r="H368" s="68"/>
      <c r="I368" s="80" t="str">
        <f t="shared" si="10"/>
        <v/>
      </c>
      <c r="J368" s="80" t="str">
        <f t="shared" ca="1" si="11"/>
        <v/>
      </c>
      <c r="K368" s="69"/>
      <c r="L368" s="69"/>
    </row>
    <row r="369" spans="1:12" x14ac:dyDescent="0.3">
      <c r="A369" s="69"/>
      <c r="B369" s="69"/>
      <c r="C369" s="68"/>
      <c r="D369" s="69"/>
      <c r="E369" s="69"/>
      <c r="F369" s="69"/>
      <c r="G369" s="69"/>
      <c r="H369" s="68"/>
      <c r="I369" s="80" t="str">
        <f t="shared" si="10"/>
        <v/>
      </c>
      <c r="J369" s="80" t="str">
        <f t="shared" ca="1" si="11"/>
        <v/>
      </c>
      <c r="K369" s="69"/>
      <c r="L369" s="69"/>
    </row>
    <row r="370" spans="1:12" x14ac:dyDescent="0.3">
      <c r="A370" s="69"/>
      <c r="B370" s="69"/>
      <c r="C370" s="68"/>
      <c r="D370" s="69"/>
      <c r="E370" s="69"/>
      <c r="F370" s="69"/>
      <c r="G370" s="69"/>
      <c r="H370" s="68"/>
      <c r="I370" s="80" t="str">
        <f t="shared" si="10"/>
        <v/>
      </c>
      <c r="J370" s="80" t="str">
        <f t="shared" ca="1" si="11"/>
        <v/>
      </c>
      <c r="K370" s="69"/>
      <c r="L370" s="69"/>
    </row>
    <row r="371" spans="1:12" x14ac:dyDescent="0.3">
      <c r="A371" s="69"/>
      <c r="B371" s="69"/>
      <c r="C371" s="68"/>
      <c r="D371" s="69"/>
      <c r="E371" s="69"/>
      <c r="F371" s="69"/>
      <c r="G371" s="69"/>
      <c r="H371" s="68"/>
      <c r="I371" s="80" t="str">
        <f t="shared" si="10"/>
        <v/>
      </c>
      <c r="J371" s="80" t="str">
        <f t="shared" ca="1" si="11"/>
        <v/>
      </c>
      <c r="K371" s="69"/>
      <c r="L371" s="69"/>
    </row>
    <row r="372" spans="1:12" x14ac:dyDescent="0.3">
      <c r="A372" s="69"/>
      <c r="B372" s="69"/>
      <c r="C372" s="68"/>
      <c r="D372" s="69"/>
      <c r="E372" s="69"/>
      <c r="F372" s="69"/>
      <c r="G372" s="69"/>
      <c r="H372" s="68"/>
      <c r="I372" s="80" t="str">
        <f t="shared" si="10"/>
        <v/>
      </c>
      <c r="J372" s="80" t="str">
        <f t="shared" ca="1" si="11"/>
        <v/>
      </c>
      <c r="K372" s="69"/>
      <c r="L372" s="69"/>
    </row>
    <row r="373" spans="1:12" x14ac:dyDescent="0.3">
      <c r="A373" s="69"/>
      <c r="B373" s="69"/>
      <c r="C373" s="68"/>
      <c r="D373" s="69"/>
      <c r="E373" s="69"/>
      <c r="F373" s="69"/>
      <c r="G373" s="69"/>
      <c r="H373" s="68"/>
      <c r="I373" s="80" t="str">
        <f t="shared" si="10"/>
        <v/>
      </c>
      <c r="J373" s="80" t="str">
        <f t="shared" ca="1" si="11"/>
        <v/>
      </c>
      <c r="K373" s="69"/>
      <c r="L373" s="69"/>
    </row>
    <row r="374" spans="1:12" x14ac:dyDescent="0.3">
      <c r="A374" s="69"/>
      <c r="B374" s="69"/>
      <c r="C374" s="68"/>
      <c r="D374" s="69"/>
      <c r="E374" s="69"/>
      <c r="F374" s="69"/>
      <c r="G374" s="69"/>
      <c r="H374" s="68"/>
      <c r="I374" s="80" t="str">
        <f t="shared" si="10"/>
        <v/>
      </c>
      <c r="J374" s="80" t="str">
        <f t="shared" ca="1" si="11"/>
        <v/>
      </c>
      <c r="K374" s="69"/>
      <c r="L374" s="69"/>
    </row>
    <row r="375" spans="1:12" x14ac:dyDescent="0.3">
      <c r="A375" s="69"/>
      <c r="B375" s="69"/>
      <c r="C375" s="68"/>
      <c r="D375" s="69"/>
      <c r="E375" s="69"/>
      <c r="F375" s="69"/>
      <c r="G375" s="69"/>
      <c r="H375" s="68"/>
      <c r="I375" s="80" t="str">
        <f t="shared" si="10"/>
        <v/>
      </c>
      <c r="J375" s="80" t="str">
        <f t="shared" ca="1" si="11"/>
        <v/>
      </c>
      <c r="K375" s="69"/>
      <c r="L375" s="69"/>
    </row>
    <row r="376" spans="1:12" x14ac:dyDescent="0.3">
      <c r="A376" s="69"/>
      <c r="B376" s="69"/>
      <c r="C376" s="68"/>
      <c r="D376" s="69"/>
      <c r="E376" s="69"/>
      <c r="F376" s="69"/>
      <c r="G376" s="69"/>
      <c r="H376" s="68"/>
      <c r="I376" s="80" t="str">
        <f t="shared" si="10"/>
        <v/>
      </c>
      <c r="J376" s="80" t="str">
        <f t="shared" ca="1" si="11"/>
        <v/>
      </c>
      <c r="K376" s="69"/>
      <c r="L376" s="69"/>
    </row>
    <row r="377" spans="1:12" x14ac:dyDescent="0.3">
      <c r="A377" s="69"/>
      <c r="B377" s="69"/>
      <c r="C377" s="68"/>
      <c r="D377" s="69"/>
      <c r="E377" s="69"/>
      <c r="F377" s="69"/>
      <c r="G377" s="69"/>
      <c r="H377" s="68"/>
      <c r="I377" s="80" t="str">
        <f t="shared" si="10"/>
        <v/>
      </c>
      <c r="J377" s="80" t="str">
        <f t="shared" ca="1" si="11"/>
        <v/>
      </c>
      <c r="K377" s="69"/>
      <c r="L377" s="69"/>
    </row>
    <row r="378" spans="1:12" x14ac:dyDescent="0.3">
      <c r="A378" s="69"/>
      <c r="B378" s="69"/>
      <c r="C378" s="68"/>
      <c r="D378" s="69"/>
      <c r="E378" s="69"/>
      <c r="F378" s="69"/>
      <c r="G378" s="69"/>
      <c r="H378" s="68"/>
      <c r="I378" s="80" t="str">
        <f t="shared" si="10"/>
        <v/>
      </c>
      <c r="J378" s="80" t="str">
        <f t="shared" ca="1" si="11"/>
        <v/>
      </c>
      <c r="K378" s="69"/>
      <c r="L378" s="69"/>
    </row>
    <row r="379" spans="1:12" x14ac:dyDescent="0.3">
      <c r="A379" s="69"/>
      <c r="B379" s="69"/>
      <c r="C379" s="68"/>
      <c r="D379" s="69"/>
      <c r="E379" s="69"/>
      <c r="F379" s="69"/>
      <c r="G379" s="69"/>
      <c r="H379" s="68"/>
      <c r="I379" s="80" t="str">
        <f t="shared" si="10"/>
        <v/>
      </c>
      <c r="J379" s="80" t="str">
        <f t="shared" ca="1" si="11"/>
        <v/>
      </c>
      <c r="K379" s="69"/>
      <c r="L379" s="69"/>
    </row>
    <row r="380" spans="1:12" x14ac:dyDescent="0.3">
      <c r="A380" s="69"/>
      <c r="B380" s="69"/>
      <c r="C380" s="68"/>
      <c r="D380" s="69"/>
      <c r="E380" s="69"/>
      <c r="F380" s="69"/>
      <c r="G380" s="69"/>
      <c r="H380" s="68"/>
      <c r="I380" s="80" t="str">
        <f t="shared" si="10"/>
        <v/>
      </c>
      <c r="J380" s="80" t="str">
        <f t="shared" ca="1" si="11"/>
        <v/>
      </c>
      <c r="K380" s="69"/>
      <c r="L380" s="69"/>
    </row>
    <row r="381" spans="1:12" x14ac:dyDescent="0.3">
      <c r="A381" s="69"/>
      <c r="B381" s="69"/>
      <c r="C381" s="68"/>
      <c r="D381" s="69"/>
      <c r="E381" s="69"/>
      <c r="F381" s="69"/>
      <c r="G381" s="69"/>
      <c r="H381" s="68"/>
      <c r="I381" s="80" t="str">
        <f t="shared" si="10"/>
        <v/>
      </c>
      <c r="J381" s="80" t="str">
        <f t="shared" ca="1" si="11"/>
        <v/>
      </c>
      <c r="K381" s="69"/>
      <c r="L381" s="69"/>
    </row>
    <row r="382" spans="1:12" x14ac:dyDescent="0.3">
      <c r="A382" s="69"/>
      <c r="B382" s="69"/>
      <c r="C382" s="68"/>
      <c r="D382" s="69"/>
      <c r="E382" s="69"/>
      <c r="F382" s="69"/>
      <c r="G382" s="69"/>
      <c r="H382" s="68"/>
      <c r="I382" s="80" t="str">
        <f t="shared" si="10"/>
        <v/>
      </c>
      <c r="J382" s="80" t="str">
        <f t="shared" ca="1" si="11"/>
        <v/>
      </c>
      <c r="K382" s="69"/>
      <c r="L382" s="69"/>
    </row>
    <row r="383" spans="1:12" x14ac:dyDescent="0.3">
      <c r="A383" s="69"/>
      <c r="B383" s="69"/>
      <c r="C383" s="68"/>
      <c r="D383" s="69"/>
      <c r="E383" s="69"/>
      <c r="F383" s="69"/>
      <c r="G383" s="69"/>
      <c r="H383" s="68"/>
      <c r="I383" s="80" t="str">
        <f t="shared" si="10"/>
        <v/>
      </c>
      <c r="J383" s="80" t="str">
        <f t="shared" ca="1" si="11"/>
        <v/>
      </c>
      <c r="K383" s="69"/>
      <c r="L383" s="69"/>
    </row>
    <row r="384" spans="1:12" x14ac:dyDescent="0.3">
      <c r="A384" s="69"/>
      <c r="B384" s="69"/>
      <c r="C384" s="68"/>
      <c r="D384" s="69"/>
      <c r="E384" s="69"/>
      <c r="F384" s="69"/>
      <c r="G384" s="69"/>
      <c r="H384" s="68"/>
      <c r="I384" s="80" t="str">
        <f t="shared" si="10"/>
        <v/>
      </c>
      <c r="J384" s="80" t="str">
        <f t="shared" ca="1" si="11"/>
        <v/>
      </c>
      <c r="K384" s="69"/>
      <c r="L384" s="69"/>
    </row>
    <row r="385" spans="1:12" x14ac:dyDescent="0.3">
      <c r="A385" s="69"/>
      <c r="B385" s="69"/>
      <c r="C385" s="68"/>
      <c r="D385" s="69"/>
      <c r="E385" s="69"/>
      <c r="F385" s="69"/>
      <c r="G385" s="69"/>
      <c r="H385" s="68"/>
      <c r="I385" s="80" t="str">
        <f t="shared" si="10"/>
        <v/>
      </c>
      <c r="J385" s="80" t="str">
        <f t="shared" ca="1" si="11"/>
        <v/>
      </c>
      <c r="K385" s="69"/>
      <c r="L385" s="69"/>
    </row>
    <row r="386" spans="1:12" x14ac:dyDescent="0.3">
      <c r="A386" s="69"/>
      <c r="B386" s="69"/>
      <c r="C386" s="68"/>
      <c r="D386" s="69"/>
      <c r="E386" s="69"/>
      <c r="F386" s="69"/>
      <c r="G386" s="69"/>
      <c r="H386" s="68"/>
      <c r="I386" s="80" t="str">
        <f t="shared" si="10"/>
        <v/>
      </c>
      <c r="J386" s="80" t="str">
        <f t="shared" ca="1" si="11"/>
        <v/>
      </c>
      <c r="K386" s="69"/>
      <c r="L386" s="69"/>
    </row>
    <row r="387" spans="1:12" x14ac:dyDescent="0.3">
      <c r="A387" s="69"/>
      <c r="B387" s="69"/>
      <c r="C387" s="68"/>
      <c r="D387" s="69"/>
      <c r="E387" s="69"/>
      <c r="F387" s="69"/>
      <c r="G387" s="69"/>
      <c r="H387" s="68"/>
      <c r="I387" s="80" t="str">
        <f t="shared" si="10"/>
        <v/>
      </c>
      <c r="J387" s="80" t="str">
        <f t="shared" ca="1" si="11"/>
        <v/>
      </c>
      <c r="K387" s="69"/>
      <c r="L387" s="69"/>
    </row>
    <row r="388" spans="1:12" x14ac:dyDescent="0.3">
      <c r="A388" s="69"/>
      <c r="B388" s="69"/>
      <c r="C388" s="68"/>
      <c r="D388" s="69"/>
      <c r="E388" s="69"/>
      <c r="F388" s="69"/>
      <c r="G388" s="69"/>
      <c r="H388" s="68"/>
      <c r="I388" s="80" t="str">
        <f t="shared" si="10"/>
        <v/>
      </c>
      <c r="J388" s="80" t="str">
        <f t="shared" ca="1" si="11"/>
        <v/>
      </c>
      <c r="K388" s="69"/>
      <c r="L388" s="69"/>
    </row>
    <row r="389" spans="1:12" x14ac:dyDescent="0.3">
      <c r="A389" s="69"/>
      <c r="B389" s="69"/>
      <c r="C389" s="68"/>
      <c r="D389" s="69"/>
      <c r="E389" s="69"/>
      <c r="F389" s="69"/>
      <c r="G389" s="69"/>
      <c r="H389" s="68"/>
      <c r="I389" s="80" t="str">
        <f t="shared" ref="I389:I452" si="12">IF(OR(C389="",H389=""),"",H389-C389)</f>
        <v/>
      </c>
      <c r="J389" s="80" t="str">
        <f t="shared" ref="J389:J452" ca="1" si="13">IF(OR(C389="",H389&lt;&gt;""),"",TODAY()-C389)</f>
        <v/>
      </c>
      <c r="K389" s="69"/>
      <c r="L389" s="69"/>
    </row>
    <row r="390" spans="1:12" x14ac:dyDescent="0.3">
      <c r="A390" s="69"/>
      <c r="B390" s="69"/>
      <c r="C390" s="68"/>
      <c r="D390" s="69"/>
      <c r="E390" s="69"/>
      <c r="F390" s="69"/>
      <c r="G390" s="69"/>
      <c r="H390" s="68"/>
      <c r="I390" s="80" t="str">
        <f t="shared" si="12"/>
        <v/>
      </c>
      <c r="J390" s="80" t="str">
        <f t="shared" ca="1" si="13"/>
        <v/>
      </c>
      <c r="K390" s="69"/>
      <c r="L390" s="69"/>
    </row>
    <row r="391" spans="1:12" x14ac:dyDescent="0.3">
      <c r="A391" s="69"/>
      <c r="B391" s="69"/>
      <c r="C391" s="68"/>
      <c r="D391" s="69"/>
      <c r="E391" s="69"/>
      <c r="F391" s="69"/>
      <c r="G391" s="69"/>
      <c r="H391" s="68"/>
      <c r="I391" s="80" t="str">
        <f t="shared" si="12"/>
        <v/>
      </c>
      <c r="J391" s="80" t="str">
        <f t="shared" ca="1" si="13"/>
        <v/>
      </c>
      <c r="K391" s="69"/>
      <c r="L391" s="69"/>
    </row>
    <row r="392" spans="1:12" x14ac:dyDescent="0.3">
      <c r="A392" s="69"/>
      <c r="B392" s="69"/>
      <c r="C392" s="68"/>
      <c r="D392" s="69"/>
      <c r="E392" s="69"/>
      <c r="F392" s="69"/>
      <c r="G392" s="69"/>
      <c r="H392" s="68"/>
      <c r="I392" s="80" t="str">
        <f t="shared" si="12"/>
        <v/>
      </c>
      <c r="J392" s="80" t="str">
        <f t="shared" ca="1" si="13"/>
        <v/>
      </c>
      <c r="K392" s="69"/>
      <c r="L392" s="69"/>
    </row>
    <row r="393" spans="1:12" x14ac:dyDescent="0.3">
      <c r="A393" s="69"/>
      <c r="B393" s="69"/>
      <c r="C393" s="68"/>
      <c r="D393" s="69"/>
      <c r="E393" s="69"/>
      <c r="F393" s="69"/>
      <c r="G393" s="69"/>
      <c r="H393" s="68"/>
      <c r="I393" s="80" t="str">
        <f t="shared" si="12"/>
        <v/>
      </c>
      <c r="J393" s="80" t="str">
        <f t="shared" ca="1" si="13"/>
        <v/>
      </c>
      <c r="K393" s="69"/>
      <c r="L393" s="69"/>
    </row>
    <row r="394" spans="1:12" x14ac:dyDescent="0.3">
      <c r="A394" s="69"/>
      <c r="B394" s="69"/>
      <c r="C394" s="68"/>
      <c r="D394" s="69"/>
      <c r="E394" s="69"/>
      <c r="F394" s="69"/>
      <c r="G394" s="69"/>
      <c r="H394" s="68"/>
      <c r="I394" s="80" t="str">
        <f t="shared" si="12"/>
        <v/>
      </c>
      <c r="J394" s="80" t="str">
        <f t="shared" ca="1" si="13"/>
        <v/>
      </c>
      <c r="K394" s="69"/>
      <c r="L394" s="69"/>
    </row>
    <row r="395" spans="1:12" x14ac:dyDescent="0.3">
      <c r="A395" s="69"/>
      <c r="B395" s="69"/>
      <c r="C395" s="68"/>
      <c r="D395" s="69"/>
      <c r="E395" s="69"/>
      <c r="F395" s="69"/>
      <c r="G395" s="69"/>
      <c r="H395" s="68"/>
      <c r="I395" s="80" t="str">
        <f t="shared" si="12"/>
        <v/>
      </c>
      <c r="J395" s="80" t="str">
        <f t="shared" ca="1" si="13"/>
        <v/>
      </c>
      <c r="K395" s="69"/>
      <c r="L395" s="69"/>
    </row>
    <row r="396" spans="1:12" x14ac:dyDescent="0.3">
      <c r="A396" s="69"/>
      <c r="B396" s="69"/>
      <c r="C396" s="68"/>
      <c r="D396" s="69"/>
      <c r="E396" s="69"/>
      <c r="F396" s="69"/>
      <c r="G396" s="69"/>
      <c r="H396" s="68"/>
      <c r="I396" s="80" t="str">
        <f t="shared" si="12"/>
        <v/>
      </c>
      <c r="J396" s="80" t="str">
        <f t="shared" ca="1" si="13"/>
        <v/>
      </c>
      <c r="K396" s="69"/>
      <c r="L396" s="69"/>
    </row>
    <row r="397" spans="1:12" x14ac:dyDescent="0.3">
      <c r="A397" s="69"/>
      <c r="B397" s="69"/>
      <c r="C397" s="68"/>
      <c r="D397" s="69"/>
      <c r="E397" s="69"/>
      <c r="F397" s="69"/>
      <c r="G397" s="69"/>
      <c r="H397" s="68"/>
      <c r="I397" s="80" t="str">
        <f t="shared" si="12"/>
        <v/>
      </c>
      <c r="J397" s="80" t="str">
        <f t="shared" ca="1" si="13"/>
        <v/>
      </c>
      <c r="K397" s="69"/>
      <c r="L397" s="69"/>
    </row>
    <row r="398" spans="1:12" x14ac:dyDescent="0.3">
      <c r="A398" s="69"/>
      <c r="B398" s="69"/>
      <c r="C398" s="68"/>
      <c r="D398" s="69"/>
      <c r="E398" s="69"/>
      <c r="F398" s="69"/>
      <c r="G398" s="69"/>
      <c r="H398" s="68"/>
      <c r="I398" s="80" t="str">
        <f t="shared" si="12"/>
        <v/>
      </c>
      <c r="J398" s="80" t="str">
        <f t="shared" ca="1" si="13"/>
        <v/>
      </c>
      <c r="K398" s="69"/>
      <c r="L398" s="69"/>
    </row>
    <row r="399" spans="1:12" x14ac:dyDescent="0.3">
      <c r="A399" s="69"/>
      <c r="B399" s="69"/>
      <c r="C399" s="68"/>
      <c r="D399" s="69"/>
      <c r="E399" s="69"/>
      <c r="F399" s="69"/>
      <c r="G399" s="69"/>
      <c r="H399" s="68"/>
      <c r="I399" s="80" t="str">
        <f t="shared" si="12"/>
        <v/>
      </c>
      <c r="J399" s="80" t="str">
        <f t="shared" ca="1" si="13"/>
        <v/>
      </c>
      <c r="K399" s="69"/>
      <c r="L399" s="69"/>
    </row>
    <row r="400" spans="1:12" x14ac:dyDescent="0.3">
      <c r="A400" s="69"/>
      <c r="B400" s="69"/>
      <c r="C400" s="68"/>
      <c r="D400" s="69"/>
      <c r="E400" s="69"/>
      <c r="F400" s="69"/>
      <c r="G400" s="69"/>
      <c r="H400" s="68"/>
      <c r="I400" s="80" t="str">
        <f t="shared" si="12"/>
        <v/>
      </c>
      <c r="J400" s="80" t="str">
        <f t="shared" ca="1" si="13"/>
        <v/>
      </c>
      <c r="K400" s="69"/>
      <c r="L400" s="69"/>
    </row>
    <row r="401" spans="1:12" x14ac:dyDescent="0.3">
      <c r="A401" s="69"/>
      <c r="B401" s="69"/>
      <c r="C401" s="68"/>
      <c r="D401" s="69"/>
      <c r="E401" s="69"/>
      <c r="F401" s="69"/>
      <c r="G401" s="69"/>
      <c r="H401" s="68"/>
      <c r="I401" s="80" t="str">
        <f t="shared" si="12"/>
        <v/>
      </c>
      <c r="J401" s="80" t="str">
        <f t="shared" ca="1" si="13"/>
        <v/>
      </c>
      <c r="K401" s="69"/>
      <c r="L401" s="69"/>
    </row>
    <row r="402" spans="1:12" x14ac:dyDescent="0.3">
      <c r="A402" s="69"/>
      <c r="B402" s="69"/>
      <c r="C402" s="68"/>
      <c r="D402" s="69"/>
      <c r="E402" s="69"/>
      <c r="F402" s="69"/>
      <c r="G402" s="69"/>
      <c r="H402" s="68"/>
      <c r="I402" s="80" t="str">
        <f t="shared" si="12"/>
        <v/>
      </c>
      <c r="J402" s="80" t="str">
        <f t="shared" ca="1" si="13"/>
        <v/>
      </c>
      <c r="K402" s="69"/>
      <c r="L402" s="69"/>
    </row>
    <row r="403" spans="1:12" x14ac:dyDescent="0.3">
      <c r="A403" s="69"/>
      <c r="B403" s="69"/>
      <c r="C403" s="68"/>
      <c r="D403" s="69"/>
      <c r="E403" s="69"/>
      <c r="F403" s="69"/>
      <c r="G403" s="69"/>
      <c r="H403" s="68"/>
      <c r="I403" s="80" t="str">
        <f t="shared" si="12"/>
        <v/>
      </c>
      <c r="J403" s="80" t="str">
        <f t="shared" ca="1" si="13"/>
        <v/>
      </c>
      <c r="K403" s="69"/>
      <c r="L403" s="69"/>
    </row>
    <row r="404" spans="1:12" x14ac:dyDescent="0.3">
      <c r="A404" s="69"/>
      <c r="B404" s="69"/>
      <c r="C404" s="68"/>
      <c r="D404" s="69"/>
      <c r="E404" s="69"/>
      <c r="F404" s="69"/>
      <c r="G404" s="69"/>
      <c r="H404" s="68"/>
      <c r="I404" s="80" t="str">
        <f t="shared" si="12"/>
        <v/>
      </c>
      <c r="J404" s="80" t="str">
        <f t="shared" ca="1" si="13"/>
        <v/>
      </c>
      <c r="K404" s="69"/>
      <c r="L404" s="69"/>
    </row>
    <row r="405" spans="1:12" x14ac:dyDescent="0.3">
      <c r="A405" s="69"/>
      <c r="B405" s="69"/>
      <c r="C405" s="68"/>
      <c r="D405" s="69"/>
      <c r="E405" s="69"/>
      <c r="F405" s="69"/>
      <c r="G405" s="69"/>
      <c r="H405" s="68"/>
      <c r="I405" s="80" t="str">
        <f t="shared" si="12"/>
        <v/>
      </c>
      <c r="J405" s="80" t="str">
        <f t="shared" ca="1" si="13"/>
        <v/>
      </c>
      <c r="K405" s="69"/>
      <c r="L405" s="69"/>
    </row>
    <row r="406" spans="1:12" x14ac:dyDescent="0.3">
      <c r="A406" s="69"/>
      <c r="B406" s="69"/>
      <c r="C406" s="68"/>
      <c r="D406" s="69"/>
      <c r="E406" s="69"/>
      <c r="F406" s="69"/>
      <c r="G406" s="69"/>
      <c r="H406" s="68"/>
      <c r="I406" s="80" t="str">
        <f t="shared" si="12"/>
        <v/>
      </c>
      <c r="J406" s="80" t="str">
        <f t="shared" ca="1" si="13"/>
        <v/>
      </c>
      <c r="K406" s="69"/>
      <c r="L406" s="69"/>
    </row>
    <row r="407" spans="1:12" x14ac:dyDescent="0.3">
      <c r="A407" s="69"/>
      <c r="B407" s="69"/>
      <c r="C407" s="68"/>
      <c r="D407" s="69"/>
      <c r="E407" s="69"/>
      <c r="F407" s="69"/>
      <c r="G407" s="69"/>
      <c r="H407" s="68"/>
      <c r="I407" s="80" t="str">
        <f t="shared" si="12"/>
        <v/>
      </c>
      <c r="J407" s="80" t="str">
        <f t="shared" ca="1" si="13"/>
        <v/>
      </c>
      <c r="K407" s="69"/>
      <c r="L407" s="69"/>
    </row>
    <row r="408" spans="1:12" x14ac:dyDescent="0.3">
      <c r="A408" s="69"/>
      <c r="B408" s="69"/>
      <c r="C408" s="68"/>
      <c r="D408" s="69"/>
      <c r="E408" s="69"/>
      <c r="F408" s="69"/>
      <c r="G408" s="69"/>
      <c r="H408" s="68"/>
      <c r="I408" s="80" t="str">
        <f t="shared" si="12"/>
        <v/>
      </c>
      <c r="J408" s="80" t="str">
        <f t="shared" ca="1" si="13"/>
        <v/>
      </c>
      <c r="K408" s="69"/>
      <c r="L408" s="69"/>
    </row>
    <row r="409" spans="1:12" x14ac:dyDescent="0.3">
      <c r="A409" s="69"/>
      <c r="B409" s="69"/>
      <c r="C409" s="68"/>
      <c r="D409" s="69"/>
      <c r="E409" s="69"/>
      <c r="F409" s="69"/>
      <c r="G409" s="69"/>
      <c r="H409" s="68"/>
      <c r="I409" s="80" t="str">
        <f t="shared" si="12"/>
        <v/>
      </c>
      <c r="J409" s="80" t="str">
        <f t="shared" ca="1" si="13"/>
        <v/>
      </c>
      <c r="K409" s="69"/>
      <c r="L409" s="69"/>
    </row>
    <row r="410" spans="1:12" x14ac:dyDescent="0.3">
      <c r="A410" s="69"/>
      <c r="B410" s="69"/>
      <c r="C410" s="68"/>
      <c r="D410" s="69"/>
      <c r="E410" s="69"/>
      <c r="F410" s="69"/>
      <c r="G410" s="69"/>
      <c r="H410" s="68"/>
      <c r="I410" s="80" t="str">
        <f t="shared" si="12"/>
        <v/>
      </c>
      <c r="J410" s="80" t="str">
        <f t="shared" ca="1" si="13"/>
        <v/>
      </c>
      <c r="K410" s="69"/>
      <c r="L410" s="69"/>
    </row>
    <row r="411" spans="1:12" x14ac:dyDescent="0.3">
      <c r="A411" s="69"/>
      <c r="B411" s="69"/>
      <c r="C411" s="68"/>
      <c r="D411" s="69"/>
      <c r="E411" s="69"/>
      <c r="F411" s="69"/>
      <c r="G411" s="69"/>
      <c r="H411" s="68"/>
      <c r="I411" s="80" t="str">
        <f t="shared" si="12"/>
        <v/>
      </c>
      <c r="J411" s="80" t="str">
        <f t="shared" ca="1" si="13"/>
        <v/>
      </c>
      <c r="K411" s="69"/>
      <c r="L411" s="69"/>
    </row>
    <row r="412" spans="1:12" x14ac:dyDescent="0.3">
      <c r="A412" s="69"/>
      <c r="B412" s="69"/>
      <c r="C412" s="68"/>
      <c r="D412" s="69"/>
      <c r="E412" s="69"/>
      <c r="F412" s="69"/>
      <c r="G412" s="69"/>
      <c r="H412" s="68"/>
      <c r="I412" s="80" t="str">
        <f t="shared" si="12"/>
        <v/>
      </c>
      <c r="J412" s="80" t="str">
        <f t="shared" ca="1" si="13"/>
        <v/>
      </c>
      <c r="K412" s="69"/>
      <c r="L412" s="69"/>
    </row>
    <row r="413" spans="1:12" x14ac:dyDescent="0.3">
      <c r="A413" s="69"/>
      <c r="B413" s="69"/>
      <c r="C413" s="68"/>
      <c r="D413" s="69"/>
      <c r="E413" s="69"/>
      <c r="F413" s="69"/>
      <c r="G413" s="69"/>
      <c r="H413" s="68"/>
      <c r="I413" s="80" t="str">
        <f t="shared" si="12"/>
        <v/>
      </c>
      <c r="J413" s="80" t="str">
        <f t="shared" ca="1" si="13"/>
        <v/>
      </c>
      <c r="K413" s="69"/>
      <c r="L413" s="69"/>
    </row>
    <row r="414" spans="1:12" x14ac:dyDescent="0.3">
      <c r="A414" s="69"/>
      <c r="B414" s="69"/>
      <c r="C414" s="68"/>
      <c r="D414" s="69"/>
      <c r="E414" s="69"/>
      <c r="F414" s="69"/>
      <c r="G414" s="69"/>
      <c r="H414" s="68"/>
      <c r="I414" s="80" t="str">
        <f t="shared" si="12"/>
        <v/>
      </c>
      <c r="J414" s="80" t="str">
        <f t="shared" ca="1" si="13"/>
        <v/>
      </c>
      <c r="K414" s="69"/>
      <c r="L414" s="69"/>
    </row>
    <row r="415" spans="1:12" x14ac:dyDescent="0.3">
      <c r="A415" s="69"/>
      <c r="B415" s="69"/>
      <c r="C415" s="68"/>
      <c r="D415" s="69"/>
      <c r="E415" s="69"/>
      <c r="F415" s="69"/>
      <c r="G415" s="69"/>
      <c r="H415" s="68"/>
      <c r="I415" s="80" t="str">
        <f t="shared" si="12"/>
        <v/>
      </c>
      <c r="J415" s="80" t="str">
        <f t="shared" ca="1" si="13"/>
        <v/>
      </c>
      <c r="K415" s="69"/>
      <c r="L415" s="69"/>
    </row>
    <row r="416" spans="1:12" x14ac:dyDescent="0.3">
      <c r="A416" s="69"/>
      <c r="B416" s="69"/>
      <c r="C416" s="68"/>
      <c r="D416" s="69"/>
      <c r="E416" s="69"/>
      <c r="F416" s="69"/>
      <c r="G416" s="69"/>
      <c r="H416" s="68"/>
      <c r="I416" s="80" t="str">
        <f t="shared" si="12"/>
        <v/>
      </c>
      <c r="J416" s="80" t="str">
        <f t="shared" ca="1" si="13"/>
        <v/>
      </c>
      <c r="K416" s="69"/>
      <c r="L416" s="69"/>
    </row>
    <row r="417" spans="1:12" x14ac:dyDescent="0.3">
      <c r="A417" s="69"/>
      <c r="B417" s="69"/>
      <c r="C417" s="68"/>
      <c r="D417" s="69"/>
      <c r="E417" s="69"/>
      <c r="F417" s="69"/>
      <c r="G417" s="69"/>
      <c r="H417" s="68"/>
      <c r="I417" s="80" t="str">
        <f t="shared" si="12"/>
        <v/>
      </c>
      <c r="J417" s="80" t="str">
        <f t="shared" ca="1" si="13"/>
        <v/>
      </c>
      <c r="K417" s="69"/>
      <c r="L417" s="69"/>
    </row>
    <row r="418" spans="1:12" x14ac:dyDescent="0.3">
      <c r="A418" s="69"/>
      <c r="B418" s="69"/>
      <c r="C418" s="68"/>
      <c r="D418" s="69"/>
      <c r="E418" s="69"/>
      <c r="F418" s="69"/>
      <c r="G418" s="69"/>
      <c r="H418" s="68"/>
      <c r="I418" s="80" t="str">
        <f t="shared" si="12"/>
        <v/>
      </c>
      <c r="J418" s="80" t="str">
        <f t="shared" ca="1" si="13"/>
        <v/>
      </c>
      <c r="K418" s="69"/>
      <c r="L418" s="69"/>
    </row>
    <row r="419" spans="1:12" x14ac:dyDescent="0.3">
      <c r="A419" s="69"/>
      <c r="B419" s="69"/>
      <c r="C419" s="68"/>
      <c r="D419" s="69"/>
      <c r="E419" s="69"/>
      <c r="F419" s="69"/>
      <c r="G419" s="69"/>
      <c r="H419" s="68"/>
      <c r="I419" s="80" t="str">
        <f t="shared" si="12"/>
        <v/>
      </c>
      <c r="J419" s="80" t="str">
        <f t="shared" ca="1" si="13"/>
        <v/>
      </c>
      <c r="K419" s="69"/>
      <c r="L419" s="69"/>
    </row>
    <row r="420" spans="1:12" x14ac:dyDescent="0.3">
      <c r="A420" s="69"/>
      <c r="B420" s="69"/>
      <c r="C420" s="68"/>
      <c r="D420" s="69"/>
      <c r="E420" s="69"/>
      <c r="F420" s="69"/>
      <c r="G420" s="69"/>
      <c r="H420" s="68"/>
      <c r="I420" s="80" t="str">
        <f t="shared" si="12"/>
        <v/>
      </c>
      <c r="J420" s="80" t="str">
        <f t="shared" ca="1" si="13"/>
        <v/>
      </c>
      <c r="K420" s="69"/>
      <c r="L420" s="69"/>
    </row>
    <row r="421" spans="1:12" x14ac:dyDescent="0.3">
      <c r="A421" s="69"/>
      <c r="B421" s="69"/>
      <c r="C421" s="68"/>
      <c r="D421" s="69"/>
      <c r="E421" s="69"/>
      <c r="F421" s="69"/>
      <c r="G421" s="69"/>
      <c r="H421" s="68"/>
      <c r="I421" s="80" t="str">
        <f t="shared" si="12"/>
        <v/>
      </c>
      <c r="J421" s="80" t="str">
        <f t="shared" ca="1" si="13"/>
        <v/>
      </c>
      <c r="K421" s="69"/>
      <c r="L421" s="69"/>
    </row>
    <row r="422" spans="1:12" x14ac:dyDescent="0.3">
      <c r="A422" s="69"/>
      <c r="B422" s="69"/>
      <c r="C422" s="68"/>
      <c r="D422" s="69"/>
      <c r="E422" s="69"/>
      <c r="F422" s="69"/>
      <c r="G422" s="69"/>
      <c r="H422" s="68"/>
      <c r="I422" s="80" t="str">
        <f t="shared" si="12"/>
        <v/>
      </c>
      <c r="J422" s="80" t="str">
        <f t="shared" ca="1" si="13"/>
        <v/>
      </c>
      <c r="K422" s="69"/>
      <c r="L422" s="69"/>
    </row>
    <row r="423" spans="1:12" x14ac:dyDescent="0.3">
      <c r="A423" s="69"/>
      <c r="B423" s="69"/>
      <c r="C423" s="68"/>
      <c r="D423" s="69"/>
      <c r="E423" s="69"/>
      <c r="F423" s="69"/>
      <c r="G423" s="69"/>
      <c r="H423" s="68"/>
      <c r="I423" s="80" t="str">
        <f t="shared" si="12"/>
        <v/>
      </c>
      <c r="J423" s="80" t="str">
        <f t="shared" ca="1" si="13"/>
        <v/>
      </c>
      <c r="K423" s="69"/>
      <c r="L423" s="69"/>
    </row>
    <row r="424" spans="1:12" x14ac:dyDescent="0.3">
      <c r="A424" s="69"/>
      <c r="B424" s="69"/>
      <c r="C424" s="68"/>
      <c r="D424" s="69"/>
      <c r="E424" s="69"/>
      <c r="F424" s="69"/>
      <c r="G424" s="69"/>
      <c r="H424" s="68"/>
      <c r="I424" s="80" t="str">
        <f t="shared" si="12"/>
        <v/>
      </c>
      <c r="J424" s="80" t="str">
        <f t="shared" ca="1" si="13"/>
        <v/>
      </c>
      <c r="K424" s="69"/>
      <c r="L424" s="69"/>
    </row>
    <row r="425" spans="1:12" x14ac:dyDescent="0.3">
      <c r="A425" s="69"/>
      <c r="B425" s="69"/>
      <c r="C425" s="68"/>
      <c r="D425" s="69"/>
      <c r="E425" s="69"/>
      <c r="F425" s="69"/>
      <c r="G425" s="69"/>
      <c r="H425" s="68"/>
      <c r="I425" s="80" t="str">
        <f t="shared" si="12"/>
        <v/>
      </c>
      <c r="J425" s="80" t="str">
        <f t="shared" ca="1" si="13"/>
        <v/>
      </c>
      <c r="K425" s="69"/>
      <c r="L425" s="69"/>
    </row>
    <row r="426" spans="1:12" x14ac:dyDescent="0.3">
      <c r="A426" s="69"/>
      <c r="B426" s="69"/>
      <c r="C426" s="68"/>
      <c r="D426" s="69"/>
      <c r="E426" s="69"/>
      <c r="F426" s="69"/>
      <c r="G426" s="69"/>
      <c r="H426" s="68"/>
      <c r="I426" s="80" t="str">
        <f t="shared" si="12"/>
        <v/>
      </c>
      <c r="J426" s="80" t="str">
        <f t="shared" ca="1" si="13"/>
        <v/>
      </c>
      <c r="K426" s="69"/>
      <c r="L426" s="69"/>
    </row>
    <row r="427" spans="1:12" x14ac:dyDescent="0.3">
      <c r="A427" s="69"/>
      <c r="B427" s="69"/>
      <c r="C427" s="68"/>
      <c r="D427" s="69"/>
      <c r="E427" s="69"/>
      <c r="F427" s="69"/>
      <c r="G427" s="69"/>
      <c r="H427" s="68"/>
      <c r="I427" s="80" t="str">
        <f t="shared" si="12"/>
        <v/>
      </c>
      <c r="J427" s="80" t="str">
        <f t="shared" ca="1" si="13"/>
        <v/>
      </c>
      <c r="K427" s="69"/>
      <c r="L427" s="69"/>
    </row>
    <row r="428" spans="1:12" x14ac:dyDescent="0.3">
      <c r="A428" s="69"/>
      <c r="B428" s="69"/>
      <c r="C428" s="68"/>
      <c r="D428" s="69"/>
      <c r="E428" s="69"/>
      <c r="F428" s="69"/>
      <c r="G428" s="69"/>
      <c r="H428" s="68"/>
      <c r="I428" s="80" t="str">
        <f t="shared" si="12"/>
        <v/>
      </c>
      <c r="J428" s="80" t="str">
        <f t="shared" ca="1" si="13"/>
        <v/>
      </c>
      <c r="K428" s="69"/>
      <c r="L428" s="69"/>
    </row>
    <row r="429" spans="1:12" x14ac:dyDescent="0.3">
      <c r="A429" s="69"/>
      <c r="B429" s="69"/>
      <c r="C429" s="68"/>
      <c r="D429" s="69"/>
      <c r="E429" s="69"/>
      <c r="F429" s="69"/>
      <c r="G429" s="69"/>
      <c r="H429" s="68"/>
      <c r="I429" s="80" t="str">
        <f t="shared" si="12"/>
        <v/>
      </c>
      <c r="J429" s="80" t="str">
        <f t="shared" ca="1" si="13"/>
        <v/>
      </c>
      <c r="K429" s="69"/>
      <c r="L429" s="69"/>
    </row>
    <row r="430" spans="1:12" x14ac:dyDescent="0.3">
      <c r="A430" s="69"/>
      <c r="B430" s="69"/>
      <c r="C430" s="68"/>
      <c r="D430" s="69"/>
      <c r="E430" s="69"/>
      <c r="F430" s="69"/>
      <c r="G430" s="69"/>
      <c r="H430" s="68"/>
      <c r="I430" s="80" t="str">
        <f t="shared" si="12"/>
        <v/>
      </c>
      <c r="J430" s="80" t="str">
        <f t="shared" ca="1" si="13"/>
        <v/>
      </c>
      <c r="K430" s="69"/>
      <c r="L430" s="69"/>
    </row>
    <row r="431" spans="1:12" x14ac:dyDescent="0.3">
      <c r="A431" s="69"/>
      <c r="B431" s="69"/>
      <c r="C431" s="68"/>
      <c r="D431" s="69"/>
      <c r="E431" s="69"/>
      <c r="F431" s="69"/>
      <c r="G431" s="69"/>
      <c r="H431" s="68"/>
      <c r="I431" s="80" t="str">
        <f t="shared" si="12"/>
        <v/>
      </c>
      <c r="J431" s="80" t="str">
        <f t="shared" ca="1" si="13"/>
        <v/>
      </c>
      <c r="K431" s="69"/>
      <c r="L431" s="69"/>
    </row>
    <row r="432" spans="1:12" x14ac:dyDescent="0.3">
      <c r="A432" s="69"/>
      <c r="B432" s="69"/>
      <c r="C432" s="68"/>
      <c r="D432" s="69"/>
      <c r="E432" s="69"/>
      <c r="F432" s="69"/>
      <c r="G432" s="69"/>
      <c r="H432" s="68"/>
      <c r="I432" s="80" t="str">
        <f t="shared" si="12"/>
        <v/>
      </c>
      <c r="J432" s="80" t="str">
        <f t="shared" ca="1" si="13"/>
        <v/>
      </c>
      <c r="K432" s="69"/>
      <c r="L432" s="69"/>
    </row>
    <row r="433" spans="1:12" x14ac:dyDescent="0.3">
      <c r="A433" s="69"/>
      <c r="B433" s="69"/>
      <c r="C433" s="68"/>
      <c r="D433" s="69"/>
      <c r="E433" s="69"/>
      <c r="F433" s="69"/>
      <c r="G433" s="69"/>
      <c r="H433" s="68"/>
      <c r="I433" s="80" t="str">
        <f t="shared" si="12"/>
        <v/>
      </c>
      <c r="J433" s="80" t="str">
        <f t="shared" ca="1" si="13"/>
        <v/>
      </c>
      <c r="K433" s="69"/>
      <c r="L433" s="69"/>
    </row>
    <row r="434" spans="1:12" x14ac:dyDescent="0.3">
      <c r="A434" s="69"/>
      <c r="B434" s="69"/>
      <c r="C434" s="68"/>
      <c r="D434" s="69"/>
      <c r="E434" s="69"/>
      <c r="F434" s="69"/>
      <c r="G434" s="69"/>
      <c r="H434" s="68"/>
      <c r="I434" s="80" t="str">
        <f t="shared" si="12"/>
        <v/>
      </c>
      <c r="J434" s="80" t="str">
        <f t="shared" ca="1" si="13"/>
        <v/>
      </c>
      <c r="K434" s="69"/>
      <c r="L434" s="69"/>
    </row>
    <row r="435" spans="1:12" x14ac:dyDescent="0.3">
      <c r="A435" s="69"/>
      <c r="B435" s="69"/>
      <c r="C435" s="68"/>
      <c r="D435" s="69"/>
      <c r="E435" s="69"/>
      <c r="F435" s="69"/>
      <c r="G435" s="69"/>
      <c r="H435" s="68"/>
      <c r="I435" s="80" t="str">
        <f t="shared" si="12"/>
        <v/>
      </c>
      <c r="J435" s="80" t="str">
        <f t="shared" ca="1" si="13"/>
        <v/>
      </c>
      <c r="K435" s="69"/>
      <c r="L435" s="69"/>
    </row>
    <row r="436" spans="1:12" x14ac:dyDescent="0.3">
      <c r="A436" s="69"/>
      <c r="B436" s="69"/>
      <c r="C436" s="68"/>
      <c r="D436" s="69"/>
      <c r="E436" s="69"/>
      <c r="F436" s="69"/>
      <c r="G436" s="69"/>
      <c r="H436" s="68"/>
      <c r="I436" s="80" t="str">
        <f t="shared" si="12"/>
        <v/>
      </c>
      <c r="J436" s="80" t="str">
        <f t="shared" ca="1" si="13"/>
        <v/>
      </c>
      <c r="K436" s="69"/>
      <c r="L436" s="69"/>
    </row>
    <row r="437" spans="1:12" x14ac:dyDescent="0.3">
      <c r="A437" s="69"/>
      <c r="B437" s="69"/>
      <c r="C437" s="68"/>
      <c r="D437" s="69"/>
      <c r="E437" s="69"/>
      <c r="F437" s="69"/>
      <c r="G437" s="69"/>
      <c r="H437" s="68"/>
      <c r="I437" s="80" t="str">
        <f t="shared" si="12"/>
        <v/>
      </c>
      <c r="J437" s="80" t="str">
        <f t="shared" ca="1" si="13"/>
        <v/>
      </c>
      <c r="K437" s="69"/>
      <c r="L437" s="69"/>
    </row>
    <row r="438" spans="1:12" x14ac:dyDescent="0.3">
      <c r="A438" s="69"/>
      <c r="B438" s="69"/>
      <c r="C438" s="68"/>
      <c r="D438" s="69"/>
      <c r="E438" s="69"/>
      <c r="F438" s="69"/>
      <c r="G438" s="69"/>
      <c r="H438" s="68"/>
      <c r="I438" s="80" t="str">
        <f t="shared" si="12"/>
        <v/>
      </c>
      <c r="J438" s="80" t="str">
        <f t="shared" ca="1" si="13"/>
        <v/>
      </c>
      <c r="K438" s="69"/>
      <c r="L438" s="69"/>
    </row>
    <row r="439" spans="1:12" x14ac:dyDescent="0.3">
      <c r="A439" s="69"/>
      <c r="B439" s="69"/>
      <c r="C439" s="68"/>
      <c r="D439" s="69"/>
      <c r="E439" s="69"/>
      <c r="F439" s="69"/>
      <c r="G439" s="69"/>
      <c r="H439" s="68"/>
      <c r="I439" s="80" t="str">
        <f t="shared" si="12"/>
        <v/>
      </c>
      <c r="J439" s="80" t="str">
        <f t="shared" ca="1" si="13"/>
        <v/>
      </c>
      <c r="K439" s="69"/>
      <c r="L439" s="69"/>
    </row>
    <row r="440" spans="1:12" x14ac:dyDescent="0.3">
      <c r="A440" s="69"/>
      <c r="B440" s="69"/>
      <c r="C440" s="68"/>
      <c r="D440" s="69"/>
      <c r="E440" s="69"/>
      <c r="F440" s="69"/>
      <c r="G440" s="69"/>
      <c r="H440" s="68"/>
      <c r="I440" s="80" t="str">
        <f t="shared" si="12"/>
        <v/>
      </c>
      <c r="J440" s="80" t="str">
        <f t="shared" ca="1" si="13"/>
        <v/>
      </c>
      <c r="K440" s="69"/>
      <c r="L440" s="69"/>
    </row>
    <row r="441" spans="1:12" x14ac:dyDescent="0.3">
      <c r="A441" s="69"/>
      <c r="B441" s="69"/>
      <c r="C441" s="68"/>
      <c r="D441" s="69"/>
      <c r="E441" s="69"/>
      <c r="F441" s="69"/>
      <c r="G441" s="69"/>
      <c r="H441" s="68"/>
      <c r="I441" s="80" t="str">
        <f t="shared" si="12"/>
        <v/>
      </c>
      <c r="J441" s="80" t="str">
        <f t="shared" ca="1" si="13"/>
        <v/>
      </c>
      <c r="K441" s="69"/>
      <c r="L441" s="69"/>
    </row>
    <row r="442" spans="1:12" x14ac:dyDescent="0.3">
      <c r="A442" s="69"/>
      <c r="B442" s="69"/>
      <c r="C442" s="68"/>
      <c r="D442" s="69"/>
      <c r="E442" s="69"/>
      <c r="F442" s="69"/>
      <c r="G442" s="69"/>
      <c r="H442" s="68"/>
      <c r="I442" s="80" t="str">
        <f t="shared" si="12"/>
        <v/>
      </c>
      <c r="J442" s="80" t="str">
        <f t="shared" ca="1" si="13"/>
        <v/>
      </c>
      <c r="K442" s="69"/>
      <c r="L442" s="69"/>
    </row>
    <row r="443" spans="1:12" x14ac:dyDescent="0.3">
      <c r="A443" s="69"/>
      <c r="B443" s="69"/>
      <c r="C443" s="68"/>
      <c r="D443" s="69"/>
      <c r="E443" s="69"/>
      <c r="F443" s="69"/>
      <c r="G443" s="69"/>
      <c r="H443" s="68"/>
      <c r="I443" s="80" t="str">
        <f t="shared" si="12"/>
        <v/>
      </c>
      <c r="J443" s="80" t="str">
        <f t="shared" ca="1" si="13"/>
        <v/>
      </c>
      <c r="K443" s="69"/>
      <c r="L443" s="69"/>
    </row>
    <row r="444" spans="1:12" x14ac:dyDescent="0.3">
      <c r="A444" s="69"/>
      <c r="B444" s="69"/>
      <c r="C444" s="68"/>
      <c r="D444" s="69"/>
      <c r="E444" s="69"/>
      <c r="F444" s="69"/>
      <c r="G444" s="69"/>
      <c r="H444" s="68"/>
      <c r="I444" s="80" t="str">
        <f t="shared" si="12"/>
        <v/>
      </c>
      <c r="J444" s="80" t="str">
        <f t="shared" ca="1" si="13"/>
        <v/>
      </c>
      <c r="K444" s="69"/>
      <c r="L444" s="69"/>
    </row>
    <row r="445" spans="1:12" x14ac:dyDescent="0.3">
      <c r="A445" s="69"/>
      <c r="B445" s="69"/>
      <c r="C445" s="68"/>
      <c r="D445" s="69"/>
      <c r="E445" s="69"/>
      <c r="F445" s="69"/>
      <c r="G445" s="69"/>
      <c r="H445" s="68"/>
      <c r="I445" s="80" t="str">
        <f t="shared" si="12"/>
        <v/>
      </c>
      <c r="J445" s="80" t="str">
        <f t="shared" ca="1" si="13"/>
        <v/>
      </c>
      <c r="K445" s="69"/>
      <c r="L445" s="69"/>
    </row>
    <row r="446" spans="1:12" x14ac:dyDescent="0.3">
      <c r="A446" s="69"/>
      <c r="B446" s="69"/>
      <c r="C446" s="68"/>
      <c r="D446" s="69"/>
      <c r="E446" s="69"/>
      <c r="F446" s="69"/>
      <c r="G446" s="69"/>
      <c r="H446" s="68"/>
      <c r="I446" s="80" t="str">
        <f t="shared" si="12"/>
        <v/>
      </c>
      <c r="J446" s="80" t="str">
        <f t="shared" ca="1" si="13"/>
        <v/>
      </c>
      <c r="K446" s="69"/>
      <c r="L446" s="69"/>
    </row>
    <row r="447" spans="1:12" x14ac:dyDescent="0.3">
      <c r="A447" s="69"/>
      <c r="B447" s="69"/>
      <c r="C447" s="68"/>
      <c r="D447" s="69"/>
      <c r="E447" s="69"/>
      <c r="F447" s="69"/>
      <c r="G447" s="69"/>
      <c r="H447" s="68"/>
      <c r="I447" s="80" t="str">
        <f t="shared" si="12"/>
        <v/>
      </c>
      <c r="J447" s="80" t="str">
        <f t="shared" ca="1" si="13"/>
        <v/>
      </c>
      <c r="K447" s="69"/>
      <c r="L447" s="69"/>
    </row>
    <row r="448" spans="1:12" x14ac:dyDescent="0.3">
      <c r="A448" s="69"/>
      <c r="B448" s="69"/>
      <c r="C448" s="68"/>
      <c r="D448" s="69"/>
      <c r="E448" s="69"/>
      <c r="F448" s="69"/>
      <c r="G448" s="69"/>
      <c r="H448" s="68"/>
      <c r="I448" s="80" t="str">
        <f t="shared" si="12"/>
        <v/>
      </c>
      <c r="J448" s="80" t="str">
        <f t="shared" ca="1" si="13"/>
        <v/>
      </c>
      <c r="K448" s="69"/>
      <c r="L448" s="69"/>
    </row>
    <row r="449" spans="1:12" x14ac:dyDescent="0.3">
      <c r="A449" s="69"/>
      <c r="B449" s="69"/>
      <c r="C449" s="68"/>
      <c r="D449" s="69"/>
      <c r="E449" s="69"/>
      <c r="F449" s="69"/>
      <c r="G449" s="69"/>
      <c r="H449" s="68"/>
      <c r="I449" s="80" t="str">
        <f t="shared" si="12"/>
        <v/>
      </c>
      <c r="J449" s="80" t="str">
        <f t="shared" ca="1" si="13"/>
        <v/>
      </c>
      <c r="K449" s="69"/>
      <c r="L449" s="69"/>
    </row>
    <row r="450" spans="1:12" x14ac:dyDescent="0.3">
      <c r="A450" s="69"/>
      <c r="B450" s="69"/>
      <c r="C450" s="68"/>
      <c r="D450" s="69"/>
      <c r="E450" s="69"/>
      <c r="F450" s="69"/>
      <c r="G450" s="69"/>
      <c r="H450" s="68"/>
      <c r="I450" s="80" t="str">
        <f t="shared" si="12"/>
        <v/>
      </c>
      <c r="J450" s="80" t="str">
        <f t="shared" ca="1" si="13"/>
        <v/>
      </c>
      <c r="K450" s="69"/>
      <c r="L450" s="69"/>
    </row>
    <row r="451" spans="1:12" x14ac:dyDescent="0.3">
      <c r="A451" s="69"/>
      <c r="B451" s="69"/>
      <c r="C451" s="68"/>
      <c r="D451" s="69"/>
      <c r="E451" s="69"/>
      <c r="F451" s="69"/>
      <c r="G451" s="69"/>
      <c r="H451" s="68"/>
      <c r="I451" s="80" t="str">
        <f t="shared" si="12"/>
        <v/>
      </c>
      <c r="J451" s="80" t="str">
        <f t="shared" ca="1" si="13"/>
        <v/>
      </c>
      <c r="K451" s="69"/>
      <c r="L451" s="69"/>
    </row>
    <row r="452" spans="1:12" x14ac:dyDescent="0.3">
      <c r="A452" s="69"/>
      <c r="B452" s="69"/>
      <c r="C452" s="68"/>
      <c r="D452" s="69"/>
      <c r="E452" s="69"/>
      <c r="F452" s="69"/>
      <c r="G452" s="69"/>
      <c r="H452" s="68"/>
      <c r="I452" s="80" t="str">
        <f t="shared" si="12"/>
        <v/>
      </c>
      <c r="J452" s="80" t="str">
        <f t="shared" ca="1" si="13"/>
        <v/>
      </c>
      <c r="K452" s="69"/>
      <c r="L452" s="69"/>
    </row>
    <row r="453" spans="1:12" x14ac:dyDescent="0.3">
      <c r="A453" s="69"/>
      <c r="B453" s="69"/>
      <c r="C453" s="68"/>
      <c r="D453" s="69"/>
      <c r="E453" s="69"/>
      <c r="F453" s="69"/>
      <c r="G453" s="69"/>
      <c r="H453" s="68"/>
      <c r="I453" s="80" t="str">
        <f t="shared" ref="I453:I516" si="14">IF(OR(C453="",H453=""),"",H453-C453)</f>
        <v/>
      </c>
      <c r="J453" s="80" t="str">
        <f t="shared" ref="J453:J504" ca="1" si="15">IF(OR(C453="",H453&lt;&gt;""),"",TODAY()-C453)</f>
        <v/>
      </c>
      <c r="K453" s="69"/>
      <c r="L453" s="69"/>
    </row>
    <row r="454" spans="1:12" x14ac:dyDescent="0.3">
      <c r="A454" s="69"/>
      <c r="B454" s="69"/>
      <c r="C454" s="68"/>
      <c r="D454" s="69"/>
      <c r="E454" s="69"/>
      <c r="F454" s="69"/>
      <c r="G454" s="69"/>
      <c r="H454" s="68"/>
      <c r="I454" s="80" t="str">
        <f t="shared" si="14"/>
        <v/>
      </c>
      <c r="J454" s="80" t="str">
        <f t="shared" ca="1" si="15"/>
        <v/>
      </c>
      <c r="K454" s="69"/>
      <c r="L454" s="69"/>
    </row>
    <row r="455" spans="1:12" x14ac:dyDescent="0.3">
      <c r="A455" s="69"/>
      <c r="B455" s="69"/>
      <c r="C455" s="68"/>
      <c r="D455" s="69"/>
      <c r="E455" s="69"/>
      <c r="F455" s="69"/>
      <c r="G455" s="69"/>
      <c r="H455" s="68"/>
      <c r="I455" s="80" t="str">
        <f t="shared" si="14"/>
        <v/>
      </c>
      <c r="J455" s="80" t="str">
        <f t="shared" ca="1" si="15"/>
        <v/>
      </c>
      <c r="K455" s="69"/>
      <c r="L455" s="69"/>
    </row>
    <row r="456" spans="1:12" x14ac:dyDescent="0.3">
      <c r="A456" s="69"/>
      <c r="B456" s="69"/>
      <c r="C456" s="68"/>
      <c r="D456" s="69"/>
      <c r="E456" s="69"/>
      <c r="F456" s="69"/>
      <c r="G456" s="69"/>
      <c r="H456" s="68"/>
      <c r="I456" s="80" t="str">
        <f t="shared" si="14"/>
        <v/>
      </c>
      <c r="J456" s="80" t="str">
        <f t="shared" ca="1" si="15"/>
        <v/>
      </c>
      <c r="K456" s="69"/>
      <c r="L456" s="69"/>
    </row>
    <row r="457" spans="1:12" x14ac:dyDescent="0.3">
      <c r="A457" s="69"/>
      <c r="B457" s="69"/>
      <c r="C457" s="68"/>
      <c r="D457" s="69"/>
      <c r="E457" s="69"/>
      <c r="F457" s="69"/>
      <c r="G457" s="69"/>
      <c r="H457" s="68"/>
      <c r="I457" s="80" t="str">
        <f t="shared" si="14"/>
        <v/>
      </c>
      <c r="J457" s="80" t="str">
        <f t="shared" ca="1" si="15"/>
        <v/>
      </c>
      <c r="K457" s="69"/>
      <c r="L457" s="69"/>
    </row>
    <row r="458" spans="1:12" x14ac:dyDescent="0.3">
      <c r="A458" s="69"/>
      <c r="B458" s="69"/>
      <c r="C458" s="68"/>
      <c r="D458" s="69"/>
      <c r="E458" s="69"/>
      <c r="F458" s="69"/>
      <c r="G458" s="69"/>
      <c r="H458" s="68"/>
      <c r="I458" s="80" t="str">
        <f t="shared" si="14"/>
        <v/>
      </c>
      <c r="J458" s="80" t="str">
        <f t="shared" ca="1" si="15"/>
        <v/>
      </c>
      <c r="K458" s="69"/>
      <c r="L458" s="69"/>
    </row>
    <row r="459" spans="1:12" x14ac:dyDescent="0.3">
      <c r="A459" s="69"/>
      <c r="B459" s="69"/>
      <c r="C459" s="68"/>
      <c r="D459" s="69"/>
      <c r="E459" s="69"/>
      <c r="F459" s="69"/>
      <c r="G459" s="69"/>
      <c r="H459" s="68"/>
      <c r="I459" s="80" t="str">
        <f t="shared" si="14"/>
        <v/>
      </c>
      <c r="J459" s="80" t="str">
        <f t="shared" ca="1" si="15"/>
        <v/>
      </c>
      <c r="K459" s="69"/>
      <c r="L459" s="69"/>
    </row>
    <row r="460" spans="1:12" x14ac:dyDescent="0.3">
      <c r="A460" s="69"/>
      <c r="B460" s="69"/>
      <c r="C460" s="68"/>
      <c r="D460" s="69"/>
      <c r="E460" s="69"/>
      <c r="F460" s="69"/>
      <c r="G460" s="69"/>
      <c r="H460" s="68"/>
      <c r="I460" s="80" t="str">
        <f t="shared" si="14"/>
        <v/>
      </c>
      <c r="J460" s="80" t="str">
        <f t="shared" ca="1" si="15"/>
        <v/>
      </c>
      <c r="K460" s="69"/>
      <c r="L460" s="69"/>
    </row>
    <row r="461" spans="1:12" x14ac:dyDescent="0.3">
      <c r="A461" s="69"/>
      <c r="B461" s="69"/>
      <c r="C461" s="68"/>
      <c r="D461" s="69"/>
      <c r="E461" s="69"/>
      <c r="F461" s="69"/>
      <c r="G461" s="69"/>
      <c r="H461" s="68"/>
      <c r="I461" s="80" t="str">
        <f t="shared" si="14"/>
        <v/>
      </c>
      <c r="J461" s="80" t="str">
        <f t="shared" ca="1" si="15"/>
        <v/>
      </c>
      <c r="K461" s="69"/>
      <c r="L461" s="69"/>
    </row>
    <row r="462" spans="1:12" x14ac:dyDescent="0.3">
      <c r="A462" s="69"/>
      <c r="B462" s="69"/>
      <c r="C462" s="68"/>
      <c r="D462" s="69"/>
      <c r="E462" s="69"/>
      <c r="F462" s="69"/>
      <c r="G462" s="69"/>
      <c r="H462" s="68"/>
      <c r="I462" s="80" t="str">
        <f t="shared" si="14"/>
        <v/>
      </c>
      <c r="J462" s="80" t="str">
        <f t="shared" ca="1" si="15"/>
        <v/>
      </c>
      <c r="K462" s="69"/>
      <c r="L462" s="69"/>
    </row>
    <row r="463" spans="1:12" x14ac:dyDescent="0.3">
      <c r="A463" s="69"/>
      <c r="B463" s="69"/>
      <c r="C463" s="68"/>
      <c r="D463" s="69"/>
      <c r="E463" s="69"/>
      <c r="F463" s="69"/>
      <c r="G463" s="69"/>
      <c r="H463" s="68"/>
      <c r="I463" s="80" t="str">
        <f t="shared" si="14"/>
        <v/>
      </c>
      <c r="J463" s="80" t="str">
        <f t="shared" ca="1" si="15"/>
        <v/>
      </c>
      <c r="K463" s="69"/>
      <c r="L463" s="69"/>
    </row>
    <row r="464" spans="1:12" x14ac:dyDescent="0.3">
      <c r="A464" s="69"/>
      <c r="B464" s="69"/>
      <c r="C464" s="68"/>
      <c r="D464" s="69"/>
      <c r="E464" s="69"/>
      <c r="F464" s="69"/>
      <c r="G464" s="69"/>
      <c r="H464" s="68"/>
      <c r="I464" s="80" t="str">
        <f t="shared" si="14"/>
        <v/>
      </c>
      <c r="J464" s="80" t="str">
        <f t="shared" ca="1" si="15"/>
        <v/>
      </c>
      <c r="K464" s="69"/>
      <c r="L464" s="69"/>
    </row>
    <row r="465" spans="1:12" x14ac:dyDescent="0.3">
      <c r="A465" s="69"/>
      <c r="B465" s="69"/>
      <c r="C465" s="68"/>
      <c r="D465" s="69"/>
      <c r="E465" s="69"/>
      <c r="F465" s="69"/>
      <c r="G465" s="69"/>
      <c r="H465" s="68"/>
      <c r="I465" s="80" t="str">
        <f t="shared" si="14"/>
        <v/>
      </c>
      <c r="J465" s="80" t="str">
        <f t="shared" ca="1" si="15"/>
        <v/>
      </c>
      <c r="K465" s="69"/>
      <c r="L465" s="69"/>
    </row>
    <row r="466" spans="1:12" x14ac:dyDescent="0.3">
      <c r="A466" s="69"/>
      <c r="B466" s="69"/>
      <c r="C466" s="68"/>
      <c r="D466" s="69"/>
      <c r="E466" s="69"/>
      <c r="F466" s="69"/>
      <c r="G466" s="69"/>
      <c r="H466" s="68"/>
      <c r="I466" s="80" t="str">
        <f t="shared" si="14"/>
        <v/>
      </c>
      <c r="J466" s="80" t="str">
        <f t="shared" ca="1" si="15"/>
        <v/>
      </c>
      <c r="K466" s="69"/>
      <c r="L466" s="69"/>
    </row>
    <row r="467" spans="1:12" x14ac:dyDescent="0.3">
      <c r="A467" s="69"/>
      <c r="B467" s="69"/>
      <c r="C467" s="68"/>
      <c r="D467" s="69"/>
      <c r="E467" s="69"/>
      <c r="F467" s="69"/>
      <c r="G467" s="69"/>
      <c r="H467" s="68"/>
      <c r="I467" s="80" t="str">
        <f t="shared" si="14"/>
        <v/>
      </c>
      <c r="J467" s="80" t="str">
        <f t="shared" ca="1" si="15"/>
        <v/>
      </c>
      <c r="K467" s="69"/>
      <c r="L467" s="69"/>
    </row>
    <row r="468" spans="1:12" x14ac:dyDescent="0.3">
      <c r="A468" s="69"/>
      <c r="B468" s="69"/>
      <c r="C468" s="68"/>
      <c r="D468" s="69"/>
      <c r="E468" s="69"/>
      <c r="F468" s="69"/>
      <c r="G468" s="69"/>
      <c r="H468" s="68"/>
      <c r="I468" s="80" t="str">
        <f t="shared" si="14"/>
        <v/>
      </c>
      <c r="J468" s="80" t="str">
        <f t="shared" ca="1" si="15"/>
        <v/>
      </c>
      <c r="K468" s="69"/>
      <c r="L468" s="69"/>
    </row>
    <row r="469" spans="1:12" x14ac:dyDescent="0.3">
      <c r="A469" s="69"/>
      <c r="B469" s="69"/>
      <c r="C469" s="68"/>
      <c r="D469" s="69"/>
      <c r="E469" s="69"/>
      <c r="F469" s="69"/>
      <c r="G469" s="69"/>
      <c r="H469" s="68"/>
      <c r="I469" s="80" t="str">
        <f t="shared" si="14"/>
        <v/>
      </c>
      <c r="J469" s="80" t="str">
        <f t="shared" ca="1" si="15"/>
        <v/>
      </c>
      <c r="K469" s="69"/>
      <c r="L469" s="69"/>
    </row>
    <row r="470" spans="1:12" x14ac:dyDescent="0.3">
      <c r="A470" s="69"/>
      <c r="B470" s="69"/>
      <c r="C470" s="68"/>
      <c r="D470" s="69"/>
      <c r="E470" s="69"/>
      <c r="F470" s="69"/>
      <c r="G470" s="69"/>
      <c r="H470" s="68"/>
      <c r="I470" s="80" t="str">
        <f t="shared" si="14"/>
        <v/>
      </c>
      <c r="J470" s="80" t="str">
        <f t="shared" ca="1" si="15"/>
        <v/>
      </c>
      <c r="K470" s="69"/>
      <c r="L470" s="69"/>
    </row>
    <row r="471" spans="1:12" x14ac:dyDescent="0.3">
      <c r="A471" s="69"/>
      <c r="B471" s="69"/>
      <c r="C471" s="68"/>
      <c r="D471" s="69"/>
      <c r="E471" s="69"/>
      <c r="F471" s="69"/>
      <c r="G471" s="69"/>
      <c r="H471" s="68"/>
      <c r="I471" s="80" t="str">
        <f t="shared" si="14"/>
        <v/>
      </c>
      <c r="J471" s="80" t="str">
        <f t="shared" ca="1" si="15"/>
        <v/>
      </c>
      <c r="K471" s="69"/>
      <c r="L471" s="69"/>
    </row>
    <row r="472" spans="1:12" x14ac:dyDescent="0.3">
      <c r="A472" s="69"/>
      <c r="B472" s="69"/>
      <c r="C472" s="68"/>
      <c r="D472" s="69"/>
      <c r="E472" s="69"/>
      <c r="F472" s="69"/>
      <c r="G472" s="69"/>
      <c r="H472" s="68"/>
      <c r="I472" s="80" t="str">
        <f t="shared" si="14"/>
        <v/>
      </c>
      <c r="J472" s="80" t="str">
        <f t="shared" ca="1" si="15"/>
        <v/>
      </c>
      <c r="K472" s="69"/>
      <c r="L472" s="69"/>
    </row>
    <row r="473" spans="1:12" x14ac:dyDescent="0.3">
      <c r="A473" s="69"/>
      <c r="B473" s="69"/>
      <c r="C473" s="68"/>
      <c r="D473" s="69"/>
      <c r="E473" s="69"/>
      <c r="F473" s="69"/>
      <c r="G473" s="69"/>
      <c r="H473" s="68"/>
      <c r="I473" s="80" t="str">
        <f t="shared" si="14"/>
        <v/>
      </c>
      <c r="J473" s="80" t="str">
        <f t="shared" ca="1" si="15"/>
        <v/>
      </c>
      <c r="K473" s="69"/>
      <c r="L473" s="69"/>
    </row>
    <row r="474" spans="1:12" x14ac:dyDescent="0.3">
      <c r="A474" s="69"/>
      <c r="B474" s="69"/>
      <c r="C474" s="68"/>
      <c r="D474" s="69"/>
      <c r="E474" s="69"/>
      <c r="F474" s="69"/>
      <c r="G474" s="69"/>
      <c r="H474" s="68"/>
      <c r="I474" s="80" t="str">
        <f t="shared" si="14"/>
        <v/>
      </c>
      <c r="J474" s="80" t="str">
        <f t="shared" ca="1" si="15"/>
        <v/>
      </c>
      <c r="K474" s="69"/>
      <c r="L474" s="69"/>
    </row>
    <row r="475" spans="1:12" x14ac:dyDescent="0.3">
      <c r="A475" s="69"/>
      <c r="B475" s="69"/>
      <c r="C475" s="68"/>
      <c r="D475" s="69"/>
      <c r="E475" s="69"/>
      <c r="F475" s="69"/>
      <c r="G475" s="69"/>
      <c r="H475" s="68"/>
      <c r="I475" s="80" t="str">
        <f t="shared" si="14"/>
        <v/>
      </c>
      <c r="J475" s="80" t="str">
        <f t="shared" ca="1" si="15"/>
        <v/>
      </c>
      <c r="K475" s="69"/>
      <c r="L475" s="69"/>
    </row>
    <row r="476" spans="1:12" x14ac:dyDescent="0.3">
      <c r="A476" s="69"/>
      <c r="B476" s="69"/>
      <c r="C476" s="68"/>
      <c r="D476" s="69"/>
      <c r="E476" s="69"/>
      <c r="F476" s="69"/>
      <c r="G476" s="69"/>
      <c r="H476" s="68"/>
      <c r="I476" s="80" t="str">
        <f t="shared" si="14"/>
        <v/>
      </c>
      <c r="J476" s="80" t="str">
        <f t="shared" ca="1" si="15"/>
        <v/>
      </c>
      <c r="K476" s="69"/>
      <c r="L476" s="69"/>
    </row>
    <row r="477" spans="1:12" x14ac:dyDescent="0.3">
      <c r="A477" s="69"/>
      <c r="B477" s="69"/>
      <c r="C477" s="68"/>
      <c r="D477" s="69"/>
      <c r="E477" s="69"/>
      <c r="F477" s="69"/>
      <c r="G477" s="69"/>
      <c r="H477" s="68"/>
      <c r="I477" s="80" t="str">
        <f t="shared" si="14"/>
        <v/>
      </c>
      <c r="J477" s="80" t="str">
        <f t="shared" ca="1" si="15"/>
        <v/>
      </c>
      <c r="K477" s="69"/>
      <c r="L477" s="69"/>
    </row>
    <row r="478" spans="1:12" x14ac:dyDescent="0.3">
      <c r="A478" s="69"/>
      <c r="B478" s="69"/>
      <c r="C478" s="68"/>
      <c r="D478" s="69"/>
      <c r="E478" s="69"/>
      <c r="F478" s="69"/>
      <c r="G478" s="69"/>
      <c r="H478" s="68"/>
      <c r="I478" s="80" t="str">
        <f t="shared" si="14"/>
        <v/>
      </c>
      <c r="J478" s="80" t="str">
        <f t="shared" ca="1" si="15"/>
        <v/>
      </c>
      <c r="K478" s="69"/>
      <c r="L478" s="69"/>
    </row>
    <row r="479" spans="1:12" x14ac:dyDescent="0.3">
      <c r="A479" s="69"/>
      <c r="B479" s="69"/>
      <c r="C479" s="68"/>
      <c r="D479" s="69"/>
      <c r="E479" s="69"/>
      <c r="F479" s="69"/>
      <c r="G479" s="69"/>
      <c r="H479" s="68"/>
      <c r="I479" s="80" t="str">
        <f t="shared" si="14"/>
        <v/>
      </c>
      <c r="J479" s="80" t="str">
        <f t="shared" ca="1" si="15"/>
        <v/>
      </c>
      <c r="K479" s="69"/>
      <c r="L479" s="69"/>
    </row>
    <row r="480" spans="1:12" x14ac:dyDescent="0.3">
      <c r="A480" s="69"/>
      <c r="B480" s="69"/>
      <c r="C480" s="68"/>
      <c r="D480" s="69"/>
      <c r="E480" s="69"/>
      <c r="F480" s="69"/>
      <c r="G480" s="69"/>
      <c r="H480" s="68"/>
      <c r="I480" s="80" t="str">
        <f t="shared" si="14"/>
        <v/>
      </c>
      <c r="J480" s="80" t="str">
        <f t="shared" ca="1" si="15"/>
        <v/>
      </c>
      <c r="K480" s="69"/>
      <c r="L480" s="69"/>
    </row>
    <row r="481" spans="1:12" x14ac:dyDescent="0.3">
      <c r="A481" s="69"/>
      <c r="B481" s="69"/>
      <c r="C481" s="68"/>
      <c r="D481" s="69"/>
      <c r="E481" s="69"/>
      <c r="F481" s="69"/>
      <c r="G481" s="69"/>
      <c r="H481" s="68"/>
      <c r="I481" s="80" t="str">
        <f t="shared" si="14"/>
        <v/>
      </c>
      <c r="J481" s="80" t="str">
        <f t="shared" ca="1" si="15"/>
        <v/>
      </c>
      <c r="K481" s="69"/>
      <c r="L481" s="69"/>
    </row>
    <row r="482" spans="1:12" x14ac:dyDescent="0.3">
      <c r="A482" s="69"/>
      <c r="B482" s="69"/>
      <c r="C482" s="68"/>
      <c r="D482" s="69"/>
      <c r="E482" s="69"/>
      <c r="F482" s="69"/>
      <c r="G482" s="69"/>
      <c r="H482" s="68"/>
      <c r="I482" s="80" t="str">
        <f t="shared" si="14"/>
        <v/>
      </c>
      <c r="J482" s="80" t="str">
        <f t="shared" ca="1" si="15"/>
        <v/>
      </c>
      <c r="K482" s="69"/>
      <c r="L482" s="69"/>
    </row>
    <row r="483" spans="1:12" x14ac:dyDescent="0.3">
      <c r="A483" s="69"/>
      <c r="B483" s="69"/>
      <c r="C483" s="68"/>
      <c r="D483" s="69"/>
      <c r="E483" s="69"/>
      <c r="F483" s="69"/>
      <c r="G483" s="69"/>
      <c r="H483" s="68"/>
      <c r="I483" s="80" t="str">
        <f t="shared" si="14"/>
        <v/>
      </c>
      <c r="J483" s="80" t="str">
        <f t="shared" ca="1" si="15"/>
        <v/>
      </c>
      <c r="K483" s="69"/>
      <c r="L483" s="69"/>
    </row>
    <row r="484" spans="1:12" x14ac:dyDescent="0.3">
      <c r="A484" s="69"/>
      <c r="B484" s="69"/>
      <c r="C484" s="68"/>
      <c r="D484" s="69"/>
      <c r="E484" s="69"/>
      <c r="F484" s="69"/>
      <c r="G484" s="69"/>
      <c r="H484" s="68"/>
      <c r="I484" s="80" t="str">
        <f t="shared" si="14"/>
        <v/>
      </c>
      <c r="J484" s="80" t="str">
        <f t="shared" ca="1" si="15"/>
        <v/>
      </c>
      <c r="K484" s="69"/>
      <c r="L484" s="69"/>
    </row>
    <row r="485" spans="1:12" x14ac:dyDescent="0.3">
      <c r="A485" s="69"/>
      <c r="B485" s="69"/>
      <c r="C485" s="68"/>
      <c r="D485" s="69"/>
      <c r="E485" s="69"/>
      <c r="F485" s="69"/>
      <c r="G485" s="69"/>
      <c r="H485" s="68"/>
      <c r="I485" s="80" t="str">
        <f t="shared" si="14"/>
        <v/>
      </c>
      <c r="J485" s="80" t="str">
        <f t="shared" ca="1" si="15"/>
        <v/>
      </c>
      <c r="K485" s="69"/>
      <c r="L485" s="69"/>
    </row>
    <row r="486" spans="1:12" x14ac:dyDescent="0.3">
      <c r="A486" s="69"/>
      <c r="B486" s="69"/>
      <c r="C486" s="68"/>
      <c r="D486" s="69"/>
      <c r="E486" s="69"/>
      <c r="F486" s="69"/>
      <c r="G486" s="69"/>
      <c r="H486" s="68"/>
      <c r="I486" s="80" t="str">
        <f t="shared" si="14"/>
        <v/>
      </c>
      <c r="J486" s="80" t="str">
        <f t="shared" ca="1" si="15"/>
        <v/>
      </c>
      <c r="K486" s="69"/>
      <c r="L486" s="69"/>
    </row>
    <row r="487" spans="1:12" x14ac:dyDescent="0.3">
      <c r="A487" s="69"/>
      <c r="B487" s="69"/>
      <c r="C487" s="68"/>
      <c r="D487" s="69"/>
      <c r="E487" s="69"/>
      <c r="F487" s="69"/>
      <c r="G487" s="69"/>
      <c r="H487" s="68"/>
      <c r="I487" s="80" t="str">
        <f t="shared" si="14"/>
        <v/>
      </c>
      <c r="J487" s="80" t="str">
        <f t="shared" ca="1" si="15"/>
        <v/>
      </c>
      <c r="K487" s="69"/>
      <c r="L487" s="69"/>
    </row>
    <row r="488" spans="1:12" x14ac:dyDescent="0.3">
      <c r="A488" s="69"/>
      <c r="B488" s="69"/>
      <c r="C488" s="68"/>
      <c r="D488" s="69"/>
      <c r="E488" s="69"/>
      <c r="F488" s="69"/>
      <c r="G488" s="69"/>
      <c r="H488" s="68"/>
      <c r="I488" s="80" t="str">
        <f t="shared" si="14"/>
        <v/>
      </c>
      <c r="J488" s="80" t="str">
        <f t="shared" ca="1" si="15"/>
        <v/>
      </c>
      <c r="K488" s="69"/>
      <c r="L488" s="69"/>
    </row>
    <row r="489" spans="1:12" x14ac:dyDescent="0.3">
      <c r="A489" s="69"/>
      <c r="B489" s="69"/>
      <c r="C489" s="68"/>
      <c r="D489" s="69"/>
      <c r="E489" s="69"/>
      <c r="F489" s="69"/>
      <c r="G489" s="69"/>
      <c r="H489" s="68"/>
      <c r="I489" s="80" t="str">
        <f t="shared" si="14"/>
        <v/>
      </c>
      <c r="J489" s="80" t="str">
        <f t="shared" ca="1" si="15"/>
        <v/>
      </c>
      <c r="K489" s="69"/>
      <c r="L489" s="69"/>
    </row>
    <row r="490" spans="1:12" x14ac:dyDescent="0.3">
      <c r="A490" s="69"/>
      <c r="B490" s="69"/>
      <c r="C490" s="68"/>
      <c r="D490" s="69"/>
      <c r="E490" s="69"/>
      <c r="F490" s="69"/>
      <c r="G490" s="69"/>
      <c r="H490" s="68"/>
      <c r="I490" s="80" t="str">
        <f t="shared" si="14"/>
        <v/>
      </c>
      <c r="J490" s="80" t="str">
        <f t="shared" ca="1" si="15"/>
        <v/>
      </c>
      <c r="K490" s="69"/>
      <c r="L490" s="69"/>
    </row>
    <row r="491" spans="1:12" x14ac:dyDescent="0.3">
      <c r="A491" s="69"/>
      <c r="B491" s="69"/>
      <c r="C491" s="68"/>
      <c r="D491" s="69"/>
      <c r="E491" s="69"/>
      <c r="F491" s="69"/>
      <c r="G491" s="69"/>
      <c r="H491" s="68"/>
      <c r="I491" s="80" t="str">
        <f t="shared" si="14"/>
        <v/>
      </c>
      <c r="J491" s="80" t="str">
        <f t="shared" ca="1" si="15"/>
        <v/>
      </c>
      <c r="K491" s="69"/>
      <c r="L491" s="69"/>
    </row>
    <row r="492" spans="1:12" x14ac:dyDescent="0.3">
      <c r="A492" s="69"/>
      <c r="B492" s="69"/>
      <c r="C492" s="68"/>
      <c r="D492" s="69"/>
      <c r="E492" s="69"/>
      <c r="F492" s="69"/>
      <c r="G492" s="69"/>
      <c r="H492" s="68"/>
      <c r="I492" s="80" t="str">
        <f t="shared" si="14"/>
        <v/>
      </c>
      <c r="J492" s="80" t="str">
        <f t="shared" ca="1" si="15"/>
        <v/>
      </c>
      <c r="K492" s="69"/>
      <c r="L492" s="69"/>
    </row>
    <row r="493" spans="1:12" x14ac:dyDescent="0.3">
      <c r="A493" s="69"/>
      <c r="B493" s="69"/>
      <c r="C493" s="68"/>
      <c r="D493" s="69"/>
      <c r="E493" s="69"/>
      <c r="F493" s="69"/>
      <c r="G493" s="69"/>
      <c r="H493" s="68"/>
      <c r="I493" s="80" t="str">
        <f t="shared" si="14"/>
        <v/>
      </c>
      <c r="J493" s="80" t="str">
        <f t="shared" ca="1" si="15"/>
        <v/>
      </c>
      <c r="K493" s="69"/>
      <c r="L493" s="69"/>
    </row>
    <row r="494" spans="1:12" x14ac:dyDescent="0.3">
      <c r="A494" s="69"/>
      <c r="B494" s="69"/>
      <c r="C494" s="68"/>
      <c r="D494" s="69"/>
      <c r="E494" s="69"/>
      <c r="F494" s="69"/>
      <c r="G494" s="69"/>
      <c r="H494" s="68"/>
      <c r="I494" s="80" t="str">
        <f t="shared" si="14"/>
        <v/>
      </c>
      <c r="J494" s="80" t="str">
        <f t="shared" ca="1" si="15"/>
        <v/>
      </c>
      <c r="K494" s="69"/>
      <c r="L494" s="69"/>
    </row>
    <row r="495" spans="1:12" x14ac:dyDescent="0.3">
      <c r="A495" s="69"/>
      <c r="B495" s="69"/>
      <c r="C495" s="68"/>
      <c r="D495" s="69"/>
      <c r="E495" s="69"/>
      <c r="F495" s="69"/>
      <c r="G495" s="69"/>
      <c r="H495" s="68"/>
      <c r="I495" s="80" t="str">
        <f t="shared" si="14"/>
        <v/>
      </c>
      <c r="J495" s="80" t="str">
        <f t="shared" ca="1" si="15"/>
        <v/>
      </c>
      <c r="K495" s="69"/>
      <c r="L495" s="69"/>
    </row>
    <row r="496" spans="1:12" x14ac:dyDescent="0.3">
      <c r="A496" s="69"/>
      <c r="B496" s="69"/>
      <c r="C496" s="68"/>
      <c r="D496" s="69"/>
      <c r="E496" s="69"/>
      <c r="F496" s="69"/>
      <c r="G496" s="69"/>
      <c r="H496" s="68"/>
      <c r="I496" s="80" t="str">
        <f t="shared" si="14"/>
        <v/>
      </c>
      <c r="J496" s="80" t="str">
        <f t="shared" ca="1" si="15"/>
        <v/>
      </c>
      <c r="K496" s="69"/>
      <c r="L496" s="69"/>
    </row>
    <row r="497" spans="1:12" x14ac:dyDescent="0.3">
      <c r="A497" s="69"/>
      <c r="B497" s="69"/>
      <c r="C497" s="68"/>
      <c r="D497" s="69"/>
      <c r="E497" s="69"/>
      <c r="F497" s="69"/>
      <c r="G497" s="69"/>
      <c r="H497" s="68"/>
      <c r="I497" s="80" t="str">
        <f t="shared" si="14"/>
        <v/>
      </c>
      <c r="J497" s="80" t="str">
        <f t="shared" ca="1" si="15"/>
        <v/>
      </c>
      <c r="K497" s="69"/>
      <c r="L497" s="69"/>
    </row>
    <row r="498" spans="1:12" x14ac:dyDescent="0.3">
      <c r="A498" s="69"/>
      <c r="B498" s="69"/>
      <c r="C498" s="68"/>
      <c r="D498" s="69"/>
      <c r="E498" s="69"/>
      <c r="F498" s="69"/>
      <c r="G498" s="69"/>
      <c r="H498" s="68"/>
      <c r="I498" s="80" t="str">
        <f t="shared" si="14"/>
        <v/>
      </c>
      <c r="J498" s="80" t="str">
        <f t="shared" ca="1" si="15"/>
        <v/>
      </c>
      <c r="K498" s="69"/>
      <c r="L498" s="69"/>
    </row>
    <row r="499" spans="1:12" x14ac:dyDescent="0.3">
      <c r="A499" s="69"/>
      <c r="B499" s="69"/>
      <c r="C499" s="68"/>
      <c r="D499" s="69"/>
      <c r="E499" s="69"/>
      <c r="F499" s="69"/>
      <c r="G499" s="69"/>
      <c r="H499" s="68"/>
      <c r="I499" s="80" t="str">
        <f t="shared" si="14"/>
        <v/>
      </c>
      <c r="J499" s="80" t="str">
        <f t="shared" ca="1" si="15"/>
        <v/>
      </c>
      <c r="K499" s="69"/>
      <c r="L499" s="69"/>
    </row>
    <row r="500" spans="1:12" x14ac:dyDescent="0.3">
      <c r="A500" s="69"/>
      <c r="B500" s="69"/>
      <c r="C500" s="68"/>
      <c r="D500" s="69"/>
      <c r="E500" s="69"/>
      <c r="F500" s="69"/>
      <c r="G500" s="69"/>
      <c r="H500" s="68"/>
      <c r="I500" s="80" t="str">
        <f t="shared" si="14"/>
        <v/>
      </c>
      <c r="J500" s="80" t="str">
        <f t="shared" ca="1" si="15"/>
        <v/>
      </c>
      <c r="K500" s="69"/>
      <c r="L500" s="69"/>
    </row>
    <row r="501" spans="1:12" x14ac:dyDescent="0.3">
      <c r="A501" s="69"/>
      <c r="B501" s="69"/>
      <c r="C501" s="68"/>
      <c r="D501" s="69"/>
      <c r="E501" s="69"/>
      <c r="F501" s="69"/>
      <c r="G501" s="69"/>
      <c r="H501" s="68"/>
      <c r="I501" s="80" t="str">
        <f t="shared" si="14"/>
        <v/>
      </c>
      <c r="J501" s="80" t="str">
        <f t="shared" ca="1" si="15"/>
        <v/>
      </c>
      <c r="K501" s="69"/>
      <c r="L501" s="69"/>
    </row>
    <row r="502" spans="1:12" x14ac:dyDescent="0.3">
      <c r="A502" s="69"/>
      <c r="B502" s="69"/>
      <c r="C502" s="68"/>
      <c r="D502" s="69"/>
      <c r="E502" s="69"/>
      <c r="F502" s="69"/>
      <c r="G502" s="69"/>
      <c r="H502" s="68"/>
      <c r="I502" s="80" t="str">
        <f t="shared" si="14"/>
        <v/>
      </c>
      <c r="J502" s="80" t="str">
        <f t="shared" ca="1" si="15"/>
        <v/>
      </c>
      <c r="K502" s="69"/>
      <c r="L502" s="69"/>
    </row>
    <row r="503" spans="1:12" x14ac:dyDescent="0.3">
      <c r="A503" s="69"/>
      <c r="B503" s="69"/>
      <c r="C503" s="68"/>
      <c r="D503" s="69"/>
      <c r="E503" s="69"/>
      <c r="F503" s="69"/>
      <c r="G503" s="69"/>
      <c r="H503" s="68"/>
      <c r="I503" s="80" t="str">
        <f t="shared" si="14"/>
        <v/>
      </c>
      <c r="J503" s="80" t="str">
        <f t="shared" ca="1" si="15"/>
        <v/>
      </c>
      <c r="K503" s="69"/>
      <c r="L503" s="69"/>
    </row>
    <row r="504" spans="1:12" x14ac:dyDescent="0.3">
      <c r="A504" s="69"/>
      <c r="B504" s="69"/>
      <c r="C504" s="68"/>
      <c r="D504" s="69"/>
      <c r="E504" s="69"/>
      <c r="F504" s="69"/>
      <c r="G504" s="69"/>
      <c r="H504" s="68"/>
      <c r="I504" s="80" t="str">
        <f t="shared" si="14"/>
        <v/>
      </c>
      <c r="J504" s="80" t="str">
        <f t="shared" ca="1" si="15"/>
        <v/>
      </c>
      <c r="K504" s="69"/>
      <c r="L504" s="69"/>
    </row>
  </sheetData>
  <conditionalFormatting sqref="J5:J504">
    <cfRule type="cellIs" dxfId="3" priority="2" operator="greaterThan">
      <formula>14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Invalid entry" error="Pick a value from the list" xr:uid="{00000000-0002-0000-0B00-000000000000}">
          <x14:formula1>
            <xm:f>Projects!$A$5:$A$104</xm:f>
          </x14:formula1>
          <x14:formula2>
            <xm:f>0</xm:f>
          </x14:formula2>
          <xm:sqref>B5:B504</xm:sqref>
        </x14:dataValidation>
        <x14:dataValidation type="list" allowBlank="1" errorTitle="Invalid entry" error="Pick a value from the list" xr:uid="{00000000-0002-0000-0B00-000001000000}">
          <x14:formula1>
            <xm:f>Settings!$G$4:$G$7</xm:f>
          </x14:formula1>
          <x14:formula2>
            <xm:f>0</xm:f>
          </x14:formula2>
          <xm:sqref>E5:E504</xm:sqref>
        </x14:dataValidation>
        <x14:dataValidation type="list" allowBlank="1" errorTitle="Invalid entry" error="Pick a value from the list" xr:uid="{00000000-0002-0000-0B00-000002000000}">
          <x14:formula1>
            <xm:f>Settings!$L$4:$L$6</xm:f>
          </x14:formula1>
          <x14:formula2>
            <xm:f>0</xm:f>
          </x14:formula2>
          <xm:sqref>G5:G504</xm:sqref>
        </x14:dataValidation>
        <x14:dataValidation type="list" allowBlank="1" errorTitle="Invalid entry" error="Pick a value from the list" xr:uid="{00000000-0002-0000-0B00-000003000000}">
          <x14:formula1>
            <xm:f>Settings!$P$4:$P$30</xm:f>
          </x14:formula1>
          <x14:formula2>
            <xm:f>0</xm:f>
          </x14:formula2>
          <xm:sqref>F5:F504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48235"/>
  </sheetPr>
  <dimension ref="A1:J5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8" customWidth="1"/>
    <col min="4" max="4" width="16" customWidth="1"/>
    <col min="5" max="5" width="13" customWidth="1"/>
    <col min="6" max="7" width="12" customWidth="1"/>
    <col min="8" max="8" width="13" customWidth="1"/>
    <col min="9" max="9" width="10" customWidth="1"/>
    <col min="10" max="10" width="40" customWidth="1"/>
  </cols>
  <sheetData>
    <row r="1" spans="1:10" ht="21" x14ac:dyDescent="0.4">
      <c r="A1" s="40" t="s">
        <v>558</v>
      </c>
    </row>
    <row r="2" spans="1:10" x14ac:dyDescent="0.3">
      <c r="A2" s="41" t="s">
        <v>559</v>
      </c>
    </row>
    <row r="4" spans="1:10" ht="31.5" customHeight="1" x14ac:dyDescent="0.3">
      <c r="A4" s="42" t="s">
        <v>560</v>
      </c>
      <c r="B4" s="42" t="s">
        <v>308</v>
      </c>
      <c r="C4" s="42" t="s">
        <v>561</v>
      </c>
      <c r="D4" s="42" t="s">
        <v>562</v>
      </c>
      <c r="E4" s="42" t="s">
        <v>563</v>
      </c>
      <c r="F4" s="42" t="s">
        <v>564</v>
      </c>
      <c r="G4" s="42" t="s">
        <v>565</v>
      </c>
      <c r="H4" s="42" t="s">
        <v>566</v>
      </c>
      <c r="I4" s="42" t="s">
        <v>567</v>
      </c>
      <c r="J4" s="42" t="s">
        <v>568</v>
      </c>
    </row>
    <row r="5" spans="1:10" x14ac:dyDescent="0.3">
      <c r="A5" s="68">
        <v>46045</v>
      </c>
      <c r="B5" s="69" t="s">
        <v>341</v>
      </c>
      <c r="C5" s="69" t="s">
        <v>569</v>
      </c>
      <c r="D5" s="69" t="s">
        <v>570</v>
      </c>
      <c r="E5" s="82">
        <v>4</v>
      </c>
      <c r="F5" s="82">
        <v>4</v>
      </c>
      <c r="G5" s="82">
        <v>4</v>
      </c>
      <c r="H5" s="82">
        <v>4</v>
      </c>
      <c r="I5" s="77">
        <f t="shared" ref="I5:I68" si="0">IF(COUNT(E5:H5)=0,"",AVERAGE(E5:H5))</f>
        <v>4</v>
      </c>
      <c r="J5" s="69"/>
    </row>
    <row r="6" spans="1:10" x14ac:dyDescent="0.3">
      <c r="A6" s="68">
        <v>46060</v>
      </c>
      <c r="B6" s="69" t="s">
        <v>329</v>
      </c>
      <c r="C6" s="69" t="s">
        <v>571</v>
      </c>
      <c r="D6" s="69" t="s">
        <v>572</v>
      </c>
      <c r="E6" s="82">
        <v>2</v>
      </c>
      <c r="F6" s="82">
        <v>4</v>
      </c>
      <c r="G6" s="82">
        <v>4</v>
      </c>
      <c r="H6" s="82">
        <v>3</v>
      </c>
      <c r="I6" s="77">
        <f t="shared" si="0"/>
        <v>3.25</v>
      </c>
      <c r="J6" s="69"/>
    </row>
    <row r="7" spans="1:10" x14ac:dyDescent="0.3">
      <c r="A7" s="68">
        <v>46090</v>
      </c>
      <c r="B7" s="69" t="s">
        <v>271</v>
      </c>
      <c r="C7" s="69" t="s">
        <v>573</v>
      </c>
      <c r="D7" s="69" t="s">
        <v>572</v>
      </c>
      <c r="E7" s="82">
        <v>3</v>
      </c>
      <c r="F7" s="82">
        <v>4</v>
      </c>
      <c r="G7" s="82">
        <v>3</v>
      </c>
      <c r="H7" s="82">
        <v>3</v>
      </c>
      <c r="I7" s="77">
        <f t="shared" si="0"/>
        <v>3.25</v>
      </c>
      <c r="J7" s="69"/>
    </row>
    <row r="8" spans="1:10" x14ac:dyDescent="0.3">
      <c r="A8" s="68">
        <v>46136</v>
      </c>
      <c r="B8" s="69" t="s">
        <v>332</v>
      </c>
      <c r="C8" s="69" t="s">
        <v>574</v>
      </c>
      <c r="D8" s="69" t="s">
        <v>575</v>
      </c>
      <c r="E8" s="82">
        <v>3</v>
      </c>
      <c r="F8" s="82">
        <v>3</v>
      </c>
      <c r="G8" s="82">
        <v>4</v>
      </c>
      <c r="H8" s="82">
        <v>4</v>
      </c>
      <c r="I8" s="77">
        <f t="shared" si="0"/>
        <v>3.5</v>
      </c>
      <c r="J8" s="69"/>
    </row>
    <row r="9" spans="1:10" x14ac:dyDescent="0.3">
      <c r="A9" s="68">
        <v>46165</v>
      </c>
      <c r="B9" s="69" t="s">
        <v>335</v>
      </c>
      <c r="C9" s="69" t="s">
        <v>576</v>
      </c>
      <c r="D9" s="69" t="s">
        <v>577</v>
      </c>
      <c r="E9" s="82">
        <v>3</v>
      </c>
      <c r="F9" s="82">
        <v>4</v>
      </c>
      <c r="G9" s="82">
        <v>4</v>
      </c>
      <c r="H9" s="82">
        <v>4</v>
      </c>
      <c r="I9" s="77">
        <f t="shared" si="0"/>
        <v>3.75</v>
      </c>
      <c r="J9" s="69"/>
    </row>
    <row r="10" spans="1:10" x14ac:dyDescent="0.3">
      <c r="A10" s="68">
        <v>46185</v>
      </c>
      <c r="B10" s="69" t="s">
        <v>335</v>
      </c>
      <c r="C10" s="69" t="s">
        <v>578</v>
      </c>
      <c r="D10" s="69" t="s">
        <v>577</v>
      </c>
      <c r="E10" s="82">
        <v>5</v>
      </c>
      <c r="F10" s="82">
        <v>3</v>
      </c>
      <c r="G10" s="82">
        <v>3</v>
      </c>
      <c r="H10" s="82">
        <v>3</v>
      </c>
      <c r="I10" s="77">
        <f t="shared" si="0"/>
        <v>3.5</v>
      </c>
      <c r="J10" s="69"/>
    </row>
    <row r="11" spans="1:10" x14ac:dyDescent="0.3">
      <c r="A11" s="68">
        <v>46218</v>
      </c>
      <c r="B11" s="69" t="s">
        <v>329</v>
      </c>
      <c r="C11" s="69" t="s">
        <v>579</v>
      </c>
      <c r="D11" s="69" t="s">
        <v>572</v>
      </c>
      <c r="E11" s="82">
        <v>3</v>
      </c>
      <c r="F11" s="82">
        <v>3</v>
      </c>
      <c r="G11" s="82">
        <v>4</v>
      </c>
      <c r="H11" s="82">
        <v>4</v>
      </c>
      <c r="I11" s="77">
        <f t="shared" si="0"/>
        <v>3.5</v>
      </c>
      <c r="J11" s="69"/>
    </row>
    <row r="12" spans="1:10" x14ac:dyDescent="0.3">
      <c r="A12" s="68">
        <v>46252</v>
      </c>
      <c r="B12" s="69" t="s">
        <v>282</v>
      </c>
      <c r="C12" s="69" t="s">
        <v>580</v>
      </c>
      <c r="D12" s="69" t="s">
        <v>570</v>
      </c>
      <c r="E12" s="82">
        <v>4</v>
      </c>
      <c r="F12" s="82">
        <v>5</v>
      </c>
      <c r="G12" s="82">
        <v>3</v>
      </c>
      <c r="H12" s="82">
        <v>4</v>
      </c>
      <c r="I12" s="77">
        <f t="shared" si="0"/>
        <v>4</v>
      </c>
      <c r="J12" s="69"/>
    </row>
    <row r="13" spans="1:10" x14ac:dyDescent="0.3">
      <c r="A13" s="68">
        <v>46275</v>
      </c>
      <c r="B13" s="69" t="s">
        <v>271</v>
      </c>
      <c r="C13" s="69" t="s">
        <v>581</v>
      </c>
      <c r="D13" s="69" t="s">
        <v>577</v>
      </c>
      <c r="E13" s="82">
        <v>4</v>
      </c>
      <c r="F13" s="82">
        <v>4</v>
      </c>
      <c r="G13" s="82">
        <v>4</v>
      </c>
      <c r="H13" s="82">
        <v>5</v>
      </c>
      <c r="I13" s="77">
        <f t="shared" si="0"/>
        <v>4.25</v>
      </c>
      <c r="J13" s="69"/>
    </row>
    <row r="14" spans="1:10" x14ac:dyDescent="0.3">
      <c r="A14" s="68">
        <v>46314</v>
      </c>
      <c r="B14" s="69" t="s">
        <v>332</v>
      </c>
      <c r="C14" s="69" t="s">
        <v>582</v>
      </c>
      <c r="D14" s="69" t="s">
        <v>572</v>
      </c>
      <c r="E14" s="82">
        <v>4</v>
      </c>
      <c r="F14" s="82">
        <v>4</v>
      </c>
      <c r="G14" s="82">
        <v>4</v>
      </c>
      <c r="H14" s="82">
        <v>5</v>
      </c>
      <c r="I14" s="77">
        <f t="shared" si="0"/>
        <v>4.25</v>
      </c>
      <c r="J14" s="69"/>
    </row>
    <row r="15" spans="1:10" x14ac:dyDescent="0.3">
      <c r="A15" s="68">
        <v>46041</v>
      </c>
      <c r="B15" s="69" t="s">
        <v>271</v>
      </c>
      <c r="C15" s="69" t="s">
        <v>583</v>
      </c>
      <c r="D15" s="69" t="s">
        <v>577</v>
      </c>
      <c r="E15" s="82">
        <v>3</v>
      </c>
      <c r="F15" s="82">
        <v>3</v>
      </c>
      <c r="G15" s="82">
        <v>3</v>
      </c>
      <c r="H15" s="82">
        <v>2</v>
      </c>
      <c r="I15" s="77">
        <f t="shared" si="0"/>
        <v>2.75</v>
      </c>
      <c r="J15" s="69"/>
    </row>
    <row r="16" spans="1:10" x14ac:dyDescent="0.3">
      <c r="A16" s="68">
        <v>46074</v>
      </c>
      <c r="B16" s="69" t="s">
        <v>329</v>
      </c>
      <c r="C16" s="69" t="s">
        <v>584</v>
      </c>
      <c r="D16" s="69" t="s">
        <v>577</v>
      </c>
      <c r="E16" s="82">
        <v>4</v>
      </c>
      <c r="F16" s="82">
        <v>2</v>
      </c>
      <c r="G16" s="82">
        <v>3</v>
      </c>
      <c r="H16" s="82">
        <v>3</v>
      </c>
      <c r="I16" s="77">
        <f t="shared" si="0"/>
        <v>3</v>
      </c>
      <c r="J16" s="69"/>
    </row>
    <row r="17" spans="1:10" x14ac:dyDescent="0.3">
      <c r="A17" s="68">
        <v>46086</v>
      </c>
      <c r="B17" s="69" t="s">
        <v>329</v>
      </c>
      <c r="C17" s="69" t="s">
        <v>585</v>
      </c>
      <c r="D17" s="69" t="s">
        <v>570</v>
      </c>
      <c r="E17" s="82">
        <v>3</v>
      </c>
      <c r="F17" s="82">
        <v>3</v>
      </c>
      <c r="G17" s="82">
        <v>4</v>
      </c>
      <c r="H17" s="82">
        <v>5</v>
      </c>
      <c r="I17" s="77">
        <f t="shared" si="0"/>
        <v>3.75</v>
      </c>
      <c r="J17" s="69"/>
    </row>
    <row r="18" spans="1:10" x14ac:dyDescent="0.3">
      <c r="A18" s="68">
        <v>46132</v>
      </c>
      <c r="B18" s="69" t="s">
        <v>282</v>
      </c>
      <c r="C18" s="69" t="s">
        <v>586</v>
      </c>
      <c r="D18" s="69" t="s">
        <v>575</v>
      </c>
      <c r="E18" s="82">
        <v>3</v>
      </c>
      <c r="F18" s="82">
        <v>3</v>
      </c>
      <c r="G18" s="82">
        <v>4</v>
      </c>
      <c r="H18" s="82">
        <v>5</v>
      </c>
      <c r="I18" s="77">
        <f t="shared" si="0"/>
        <v>3.75</v>
      </c>
      <c r="J18" s="69"/>
    </row>
    <row r="19" spans="1:10" x14ac:dyDescent="0.3">
      <c r="A19" s="68">
        <v>46166</v>
      </c>
      <c r="B19" s="69" t="s">
        <v>282</v>
      </c>
      <c r="C19" s="69" t="s">
        <v>587</v>
      </c>
      <c r="D19" s="69" t="s">
        <v>575</v>
      </c>
      <c r="E19" s="82">
        <v>3</v>
      </c>
      <c r="F19" s="82">
        <v>4</v>
      </c>
      <c r="G19" s="82">
        <v>4</v>
      </c>
      <c r="H19" s="82">
        <v>3</v>
      </c>
      <c r="I19" s="77">
        <f t="shared" si="0"/>
        <v>3.5</v>
      </c>
      <c r="J19" s="69"/>
    </row>
    <row r="20" spans="1:10" x14ac:dyDescent="0.3">
      <c r="A20" s="68">
        <v>46186</v>
      </c>
      <c r="B20" s="69" t="s">
        <v>345</v>
      </c>
      <c r="C20" s="69" t="s">
        <v>588</v>
      </c>
      <c r="D20" s="69" t="s">
        <v>575</v>
      </c>
      <c r="E20" s="82">
        <v>3</v>
      </c>
      <c r="F20" s="82">
        <v>3</v>
      </c>
      <c r="G20" s="82">
        <v>4</v>
      </c>
      <c r="H20" s="82">
        <v>4</v>
      </c>
      <c r="I20" s="77">
        <f t="shared" si="0"/>
        <v>3.5</v>
      </c>
      <c r="J20" s="69"/>
    </row>
    <row r="21" spans="1:10" x14ac:dyDescent="0.3">
      <c r="A21" s="68">
        <v>46214</v>
      </c>
      <c r="B21" s="69" t="s">
        <v>332</v>
      </c>
      <c r="C21" s="69" t="s">
        <v>589</v>
      </c>
      <c r="D21" s="69" t="s">
        <v>572</v>
      </c>
      <c r="E21" s="82">
        <v>5</v>
      </c>
      <c r="F21" s="82">
        <v>5</v>
      </c>
      <c r="G21" s="82">
        <v>3</v>
      </c>
      <c r="H21" s="82">
        <v>3</v>
      </c>
      <c r="I21" s="77">
        <f t="shared" si="0"/>
        <v>4</v>
      </c>
      <c r="J21" s="69"/>
    </row>
    <row r="22" spans="1:10" x14ac:dyDescent="0.3">
      <c r="A22" s="68">
        <v>46244</v>
      </c>
      <c r="B22" s="69" t="s">
        <v>282</v>
      </c>
      <c r="C22" s="69" t="s">
        <v>590</v>
      </c>
      <c r="D22" s="69" t="s">
        <v>577</v>
      </c>
      <c r="E22" s="82">
        <v>4</v>
      </c>
      <c r="F22" s="82">
        <v>4</v>
      </c>
      <c r="G22" s="82">
        <v>5</v>
      </c>
      <c r="H22" s="82">
        <v>3</v>
      </c>
      <c r="I22" s="77">
        <f t="shared" si="0"/>
        <v>4</v>
      </c>
      <c r="J22" s="69"/>
    </row>
    <row r="23" spans="1:10" x14ac:dyDescent="0.3">
      <c r="A23" s="68">
        <v>46284</v>
      </c>
      <c r="B23" s="69" t="s">
        <v>329</v>
      </c>
      <c r="C23" s="69" t="s">
        <v>591</v>
      </c>
      <c r="D23" s="69" t="s">
        <v>457</v>
      </c>
      <c r="E23" s="82">
        <v>5</v>
      </c>
      <c r="F23" s="82">
        <v>4</v>
      </c>
      <c r="G23" s="82">
        <v>3</v>
      </c>
      <c r="H23" s="82">
        <v>5</v>
      </c>
      <c r="I23" s="77">
        <f t="shared" si="0"/>
        <v>4.25</v>
      </c>
      <c r="J23" s="69"/>
    </row>
    <row r="24" spans="1:10" x14ac:dyDescent="0.3">
      <c r="A24" s="68">
        <v>46308</v>
      </c>
      <c r="B24" s="69" t="s">
        <v>292</v>
      </c>
      <c r="C24" s="69" t="s">
        <v>592</v>
      </c>
      <c r="D24" s="69" t="s">
        <v>457</v>
      </c>
      <c r="E24" s="82">
        <v>4</v>
      </c>
      <c r="F24" s="82">
        <v>4</v>
      </c>
      <c r="G24" s="82">
        <v>4</v>
      </c>
      <c r="H24" s="82">
        <v>3</v>
      </c>
      <c r="I24" s="77">
        <f t="shared" si="0"/>
        <v>3.75</v>
      </c>
      <c r="J24" s="69"/>
    </row>
    <row r="25" spans="1:10" x14ac:dyDescent="0.3">
      <c r="A25" s="68">
        <v>46032</v>
      </c>
      <c r="B25" s="69" t="s">
        <v>271</v>
      </c>
      <c r="C25" s="69" t="s">
        <v>593</v>
      </c>
      <c r="D25" s="69" t="s">
        <v>457</v>
      </c>
      <c r="E25" s="82">
        <v>4</v>
      </c>
      <c r="F25" s="82">
        <v>3</v>
      </c>
      <c r="G25" s="82">
        <v>2</v>
      </c>
      <c r="H25" s="82">
        <v>2</v>
      </c>
      <c r="I25" s="77">
        <f t="shared" si="0"/>
        <v>2.75</v>
      </c>
      <c r="J25" s="69"/>
    </row>
    <row r="26" spans="1:10" x14ac:dyDescent="0.3">
      <c r="A26" s="68">
        <v>46076</v>
      </c>
      <c r="B26" s="69" t="s">
        <v>341</v>
      </c>
      <c r="C26" s="69" t="s">
        <v>594</v>
      </c>
      <c r="D26" s="69" t="s">
        <v>577</v>
      </c>
      <c r="E26" s="82">
        <v>4</v>
      </c>
      <c r="F26" s="82">
        <v>3</v>
      </c>
      <c r="G26" s="82">
        <v>3</v>
      </c>
      <c r="H26" s="82">
        <v>4</v>
      </c>
      <c r="I26" s="77">
        <f t="shared" si="0"/>
        <v>3.5</v>
      </c>
      <c r="J26" s="69"/>
    </row>
    <row r="27" spans="1:10" x14ac:dyDescent="0.3">
      <c r="A27" s="68">
        <v>46099</v>
      </c>
      <c r="B27" s="69" t="s">
        <v>341</v>
      </c>
      <c r="C27" s="69" t="s">
        <v>595</v>
      </c>
      <c r="D27" s="69" t="s">
        <v>577</v>
      </c>
      <c r="E27" s="82">
        <v>4</v>
      </c>
      <c r="F27" s="82">
        <v>4</v>
      </c>
      <c r="G27" s="82">
        <v>4</v>
      </c>
      <c r="H27" s="82">
        <v>4</v>
      </c>
      <c r="I27" s="77">
        <f t="shared" si="0"/>
        <v>4</v>
      </c>
      <c r="J27" s="69"/>
    </row>
    <row r="28" spans="1:10" x14ac:dyDescent="0.3">
      <c r="A28" s="68">
        <v>46117</v>
      </c>
      <c r="B28" s="69" t="s">
        <v>341</v>
      </c>
      <c r="C28" s="69" t="s">
        <v>596</v>
      </c>
      <c r="D28" s="69" t="s">
        <v>457</v>
      </c>
      <c r="E28" s="82">
        <v>4</v>
      </c>
      <c r="F28" s="82">
        <v>4</v>
      </c>
      <c r="G28" s="82">
        <v>4</v>
      </c>
      <c r="H28" s="82">
        <v>4</v>
      </c>
      <c r="I28" s="77">
        <f t="shared" si="0"/>
        <v>4</v>
      </c>
      <c r="J28" s="69"/>
    </row>
    <row r="29" spans="1:10" x14ac:dyDescent="0.3">
      <c r="A29" s="68">
        <v>46165</v>
      </c>
      <c r="B29" s="69" t="s">
        <v>332</v>
      </c>
      <c r="C29" s="69" t="s">
        <v>597</v>
      </c>
      <c r="D29" s="69" t="s">
        <v>575</v>
      </c>
      <c r="E29" s="82">
        <v>3</v>
      </c>
      <c r="F29" s="82">
        <v>5</v>
      </c>
      <c r="G29" s="82">
        <v>4</v>
      </c>
      <c r="H29" s="82">
        <v>4</v>
      </c>
      <c r="I29" s="77">
        <f t="shared" si="0"/>
        <v>4</v>
      </c>
      <c r="J29" s="69"/>
    </row>
    <row r="30" spans="1:10" x14ac:dyDescent="0.3">
      <c r="A30" s="68">
        <v>46185</v>
      </c>
      <c r="B30" s="69" t="s">
        <v>332</v>
      </c>
      <c r="C30" s="69" t="s">
        <v>598</v>
      </c>
      <c r="D30" s="69" t="s">
        <v>572</v>
      </c>
      <c r="E30" s="82">
        <v>5</v>
      </c>
      <c r="F30" s="82">
        <v>4</v>
      </c>
      <c r="G30" s="82">
        <v>5</v>
      </c>
      <c r="H30" s="82">
        <v>3</v>
      </c>
      <c r="I30" s="77">
        <f t="shared" si="0"/>
        <v>4.25</v>
      </c>
      <c r="J30" s="69"/>
    </row>
    <row r="31" spans="1:10" x14ac:dyDescent="0.3">
      <c r="A31" s="68">
        <v>46220</v>
      </c>
      <c r="B31" s="69" t="s">
        <v>282</v>
      </c>
      <c r="C31" s="69" t="s">
        <v>599</v>
      </c>
      <c r="D31" s="69" t="s">
        <v>577</v>
      </c>
      <c r="E31" s="82">
        <v>5</v>
      </c>
      <c r="F31" s="82">
        <v>4</v>
      </c>
      <c r="G31" s="82">
        <v>5</v>
      </c>
      <c r="H31" s="82">
        <v>3</v>
      </c>
      <c r="I31" s="77">
        <f t="shared" si="0"/>
        <v>4.25</v>
      </c>
      <c r="J31" s="69"/>
    </row>
    <row r="32" spans="1:10" x14ac:dyDescent="0.3">
      <c r="A32" s="68">
        <v>46257</v>
      </c>
      <c r="B32" s="69" t="s">
        <v>345</v>
      </c>
      <c r="C32" s="69" t="s">
        <v>600</v>
      </c>
      <c r="D32" s="69" t="s">
        <v>570</v>
      </c>
      <c r="E32" s="82">
        <v>5</v>
      </c>
      <c r="F32" s="82">
        <v>4</v>
      </c>
      <c r="G32" s="82">
        <v>4</v>
      </c>
      <c r="H32" s="82">
        <v>5</v>
      </c>
      <c r="I32" s="77">
        <f t="shared" si="0"/>
        <v>4.5</v>
      </c>
      <c r="J32" s="69"/>
    </row>
    <row r="33" spans="1:10" x14ac:dyDescent="0.3">
      <c r="A33" s="68">
        <v>46271</v>
      </c>
      <c r="B33" s="69" t="s">
        <v>271</v>
      </c>
      <c r="C33" s="69" t="s">
        <v>601</v>
      </c>
      <c r="D33" s="69" t="s">
        <v>570</v>
      </c>
      <c r="E33" s="82">
        <v>4</v>
      </c>
      <c r="F33" s="82">
        <v>4</v>
      </c>
      <c r="G33" s="82">
        <v>5</v>
      </c>
      <c r="H33" s="82">
        <v>5</v>
      </c>
      <c r="I33" s="77">
        <f t="shared" si="0"/>
        <v>4.5</v>
      </c>
      <c r="J33" s="69"/>
    </row>
    <row r="34" spans="1:10" x14ac:dyDescent="0.3">
      <c r="A34" s="68">
        <v>46303</v>
      </c>
      <c r="B34" s="69" t="s">
        <v>271</v>
      </c>
      <c r="C34" s="69" t="s">
        <v>602</v>
      </c>
      <c r="D34" s="69" t="s">
        <v>570</v>
      </c>
      <c r="E34" s="82">
        <v>3</v>
      </c>
      <c r="F34" s="82">
        <v>4</v>
      </c>
      <c r="G34" s="82">
        <v>4</v>
      </c>
      <c r="H34" s="82">
        <v>4</v>
      </c>
      <c r="I34" s="77">
        <f t="shared" si="0"/>
        <v>3.75</v>
      </c>
      <c r="J34" s="69"/>
    </row>
    <row r="35" spans="1:10" x14ac:dyDescent="0.3">
      <c r="A35" s="68">
        <v>46046</v>
      </c>
      <c r="B35" s="69" t="s">
        <v>292</v>
      </c>
      <c r="C35" s="69" t="s">
        <v>603</v>
      </c>
      <c r="D35" s="69" t="s">
        <v>570</v>
      </c>
      <c r="E35" s="82">
        <v>4</v>
      </c>
      <c r="F35" s="82">
        <v>4</v>
      </c>
      <c r="G35" s="82">
        <v>3</v>
      </c>
      <c r="H35" s="82">
        <v>4</v>
      </c>
      <c r="I35" s="77">
        <f t="shared" si="0"/>
        <v>3.75</v>
      </c>
      <c r="J35" s="69"/>
    </row>
    <row r="36" spans="1:10" x14ac:dyDescent="0.3">
      <c r="A36" s="68">
        <v>46073</v>
      </c>
      <c r="B36" s="69" t="s">
        <v>271</v>
      </c>
      <c r="C36" s="69" t="s">
        <v>604</v>
      </c>
      <c r="D36" s="69" t="s">
        <v>572</v>
      </c>
      <c r="E36" s="82">
        <v>4</v>
      </c>
      <c r="F36" s="82">
        <v>3</v>
      </c>
      <c r="G36" s="82">
        <v>3</v>
      </c>
      <c r="H36" s="82">
        <v>4</v>
      </c>
      <c r="I36" s="77">
        <f t="shared" si="0"/>
        <v>3.5</v>
      </c>
      <c r="J36" s="69"/>
    </row>
    <row r="37" spans="1:10" x14ac:dyDescent="0.3">
      <c r="A37" s="68">
        <v>46100</v>
      </c>
      <c r="B37" s="69" t="s">
        <v>332</v>
      </c>
      <c r="C37" s="69" t="s">
        <v>605</v>
      </c>
      <c r="D37" s="69" t="s">
        <v>575</v>
      </c>
      <c r="E37" s="82">
        <v>4</v>
      </c>
      <c r="F37" s="82">
        <v>4</v>
      </c>
      <c r="G37" s="82">
        <v>3</v>
      </c>
      <c r="H37" s="82">
        <v>3</v>
      </c>
      <c r="I37" s="77">
        <f t="shared" si="0"/>
        <v>3.5</v>
      </c>
      <c r="J37" s="69"/>
    </row>
    <row r="38" spans="1:10" x14ac:dyDescent="0.3">
      <c r="A38" s="68">
        <v>46125</v>
      </c>
      <c r="B38" s="69" t="s">
        <v>271</v>
      </c>
      <c r="C38" s="69" t="s">
        <v>606</v>
      </c>
      <c r="D38" s="69" t="s">
        <v>457</v>
      </c>
      <c r="E38" s="82">
        <v>3</v>
      </c>
      <c r="F38" s="82">
        <v>3</v>
      </c>
      <c r="G38" s="82">
        <v>3</v>
      </c>
      <c r="H38" s="82">
        <v>2</v>
      </c>
      <c r="I38" s="77">
        <f t="shared" si="0"/>
        <v>2.75</v>
      </c>
      <c r="J38" s="69"/>
    </row>
    <row r="39" spans="1:10" x14ac:dyDescent="0.3">
      <c r="A39" s="68">
        <v>46155</v>
      </c>
      <c r="B39" s="69" t="s">
        <v>282</v>
      </c>
      <c r="C39" s="69" t="s">
        <v>607</v>
      </c>
      <c r="D39" s="69" t="s">
        <v>575</v>
      </c>
      <c r="E39" s="82">
        <v>4</v>
      </c>
      <c r="F39" s="82">
        <v>4</v>
      </c>
      <c r="G39" s="82">
        <v>4</v>
      </c>
      <c r="H39" s="82">
        <v>5</v>
      </c>
      <c r="I39" s="77">
        <f t="shared" si="0"/>
        <v>4.25</v>
      </c>
      <c r="J39" s="69"/>
    </row>
    <row r="40" spans="1:10" x14ac:dyDescent="0.3">
      <c r="A40" s="68">
        <v>46184</v>
      </c>
      <c r="B40" s="69" t="s">
        <v>332</v>
      </c>
      <c r="C40" s="69" t="s">
        <v>608</v>
      </c>
      <c r="D40" s="69" t="s">
        <v>457</v>
      </c>
      <c r="E40" s="82">
        <v>4</v>
      </c>
      <c r="F40" s="82">
        <v>4</v>
      </c>
      <c r="G40" s="82">
        <v>3</v>
      </c>
      <c r="H40" s="82">
        <v>3</v>
      </c>
      <c r="I40" s="77">
        <f t="shared" si="0"/>
        <v>3.5</v>
      </c>
      <c r="J40" s="69"/>
    </row>
    <row r="41" spans="1:10" x14ac:dyDescent="0.3">
      <c r="A41" s="68"/>
      <c r="B41" s="69"/>
      <c r="C41" s="69"/>
      <c r="D41" s="69"/>
      <c r="E41" s="82"/>
      <c r="F41" s="82"/>
      <c r="G41" s="82"/>
      <c r="H41" s="82"/>
      <c r="I41" s="77" t="str">
        <f t="shared" si="0"/>
        <v/>
      </c>
      <c r="J41" s="69"/>
    </row>
    <row r="42" spans="1:10" x14ac:dyDescent="0.3">
      <c r="A42" s="68"/>
      <c r="B42" s="69"/>
      <c r="C42" s="69"/>
      <c r="D42" s="69"/>
      <c r="E42" s="82"/>
      <c r="F42" s="82"/>
      <c r="G42" s="82"/>
      <c r="H42" s="82"/>
      <c r="I42" s="77" t="str">
        <f t="shared" si="0"/>
        <v/>
      </c>
      <c r="J42" s="69"/>
    </row>
    <row r="43" spans="1:10" x14ac:dyDescent="0.3">
      <c r="A43" s="68"/>
      <c r="B43" s="69"/>
      <c r="C43" s="69"/>
      <c r="D43" s="69"/>
      <c r="E43" s="82"/>
      <c r="F43" s="82"/>
      <c r="G43" s="82"/>
      <c r="H43" s="82"/>
      <c r="I43" s="77" t="str">
        <f t="shared" si="0"/>
        <v/>
      </c>
      <c r="J43" s="69"/>
    </row>
    <row r="44" spans="1:10" x14ac:dyDescent="0.3">
      <c r="A44" s="68"/>
      <c r="B44" s="69"/>
      <c r="C44" s="69"/>
      <c r="D44" s="69"/>
      <c r="E44" s="82"/>
      <c r="F44" s="82"/>
      <c r="G44" s="82"/>
      <c r="H44" s="82"/>
      <c r="I44" s="77" t="str">
        <f t="shared" si="0"/>
        <v/>
      </c>
      <c r="J44" s="69"/>
    </row>
    <row r="45" spans="1:10" x14ac:dyDescent="0.3">
      <c r="A45" s="68"/>
      <c r="B45" s="69"/>
      <c r="C45" s="69"/>
      <c r="D45" s="69"/>
      <c r="E45" s="82"/>
      <c r="F45" s="82"/>
      <c r="G45" s="82"/>
      <c r="H45" s="82"/>
      <c r="I45" s="77" t="str">
        <f t="shared" si="0"/>
        <v/>
      </c>
      <c r="J45" s="69"/>
    </row>
    <row r="46" spans="1:10" x14ac:dyDescent="0.3">
      <c r="A46" s="68"/>
      <c r="B46" s="69"/>
      <c r="C46" s="69"/>
      <c r="D46" s="69"/>
      <c r="E46" s="82"/>
      <c r="F46" s="82"/>
      <c r="G46" s="82"/>
      <c r="H46" s="82"/>
      <c r="I46" s="77" t="str">
        <f t="shared" si="0"/>
        <v/>
      </c>
      <c r="J46" s="69"/>
    </row>
    <row r="47" spans="1:10" x14ac:dyDescent="0.3">
      <c r="A47" s="68"/>
      <c r="B47" s="69"/>
      <c r="C47" s="69"/>
      <c r="D47" s="69"/>
      <c r="E47" s="82"/>
      <c r="F47" s="82"/>
      <c r="G47" s="82"/>
      <c r="H47" s="82"/>
      <c r="I47" s="77" t="str">
        <f t="shared" si="0"/>
        <v/>
      </c>
      <c r="J47" s="69"/>
    </row>
    <row r="48" spans="1:10" x14ac:dyDescent="0.3">
      <c r="A48" s="68"/>
      <c r="B48" s="69"/>
      <c r="C48" s="69"/>
      <c r="D48" s="69"/>
      <c r="E48" s="82"/>
      <c r="F48" s="82"/>
      <c r="G48" s="82"/>
      <c r="H48" s="82"/>
      <c r="I48" s="77" t="str">
        <f t="shared" si="0"/>
        <v/>
      </c>
      <c r="J48" s="69"/>
    </row>
    <row r="49" spans="1:10" x14ac:dyDescent="0.3">
      <c r="A49" s="68"/>
      <c r="B49" s="69"/>
      <c r="C49" s="69"/>
      <c r="D49" s="69"/>
      <c r="E49" s="82"/>
      <c r="F49" s="82"/>
      <c r="G49" s="82"/>
      <c r="H49" s="82"/>
      <c r="I49" s="77" t="str">
        <f t="shared" si="0"/>
        <v/>
      </c>
      <c r="J49" s="69"/>
    </row>
    <row r="50" spans="1:10" x14ac:dyDescent="0.3">
      <c r="A50" s="68"/>
      <c r="B50" s="69"/>
      <c r="C50" s="69"/>
      <c r="D50" s="69"/>
      <c r="E50" s="82"/>
      <c r="F50" s="82"/>
      <c r="G50" s="82"/>
      <c r="H50" s="82"/>
      <c r="I50" s="77" t="str">
        <f t="shared" si="0"/>
        <v/>
      </c>
      <c r="J50" s="69"/>
    </row>
    <row r="51" spans="1:10" x14ac:dyDescent="0.3">
      <c r="A51" s="68"/>
      <c r="B51" s="69"/>
      <c r="C51" s="69"/>
      <c r="D51" s="69"/>
      <c r="E51" s="82"/>
      <c r="F51" s="82"/>
      <c r="G51" s="82"/>
      <c r="H51" s="82"/>
      <c r="I51" s="77" t="str">
        <f t="shared" si="0"/>
        <v/>
      </c>
      <c r="J51" s="69"/>
    </row>
    <row r="52" spans="1:10" x14ac:dyDescent="0.3">
      <c r="A52" s="68"/>
      <c r="B52" s="69"/>
      <c r="C52" s="69"/>
      <c r="D52" s="69"/>
      <c r="E52" s="82"/>
      <c r="F52" s="82"/>
      <c r="G52" s="82"/>
      <c r="H52" s="82"/>
      <c r="I52" s="77" t="str">
        <f t="shared" si="0"/>
        <v/>
      </c>
      <c r="J52" s="69"/>
    </row>
    <row r="53" spans="1:10" x14ac:dyDescent="0.3">
      <c r="A53" s="68"/>
      <c r="B53" s="69"/>
      <c r="C53" s="69"/>
      <c r="D53" s="69"/>
      <c r="E53" s="82"/>
      <c r="F53" s="82"/>
      <c r="G53" s="82"/>
      <c r="H53" s="82"/>
      <c r="I53" s="77" t="str">
        <f t="shared" si="0"/>
        <v/>
      </c>
      <c r="J53" s="69"/>
    </row>
    <row r="54" spans="1:10" x14ac:dyDescent="0.3">
      <c r="A54" s="68"/>
      <c r="B54" s="69"/>
      <c r="C54" s="69"/>
      <c r="D54" s="69"/>
      <c r="E54" s="82"/>
      <c r="F54" s="82"/>
      <c r="G54" s="82"/>
      <c r="H54" s="82"/>
      <c r="I54" s="77" t="str">
        <f t="shared" si="0"/>
        <v/>
      </c>
      <c r="J54" s="69"/>
    </row>
    <row r="55" spans="1:10" x14ac:dyDescent="0.3">
      <c r="A55" s="68"/>
      <c r="B55" s="69"/>
      <c r="C55" s="69"/>
      <c r="D55" s="69"/>
      <c r="E55" s="82"/>
      <c r="F55" s="82"/>
      <c r="G55" s="82"/>
      <c r="H55" s="82"/>
      <c r="I55" s="77" t="str">
        <f t="shared" si="0"/>
        <v/>
      </c>
      <c r="J55" s="69"/>
    </row>
    <row r="56" spans="1:10" x14ac:dyDescent="0.3">
      <c r="A56" s="68"/>
      <c r="B56" s="69"/>
      <c r="C56" s="69"/>
      <c r="D56" s="69"/>
      <c r="E56" s="82"/>
      <c r="F56" s="82"/>
      <c r="G56" s="82"/>
      <c r="H56" s="82"/>
      <c r="I56" s="77" t="str">
        <f t="shared" si="0"/>
        <v/>
      </c>
      <c r="J56" s="69"/>
    </row>
    <row r="57" spans="1:10" x14ac:dyDescent="0.3">
      <c r="A57" s="68"/>
      <c r="B57" s="69"/>
      <c r="C57" s="69"/>
      <c r="D57" s="69"/>
      <c r="E57" s="82"/>
      <c r="F57" s="82"/>
      <c r="G57" s="82"/>
      <c r="H57" s="82"/>
      <c r="I57" s="77" t="str">
        <f t="shared" si="0"/>
        <v/>
      </c>
      <c r="J57" s="69"/>
    </row>
    <row r="58" spans="1:10" x14ac:dyDescent="0.3">
      <c r="A58" s="68"/>
      <c r="B58" s="69"/>
      <c r="C58" s="69"/>
      <c r="D58" s="69"/>
      <c r="E58" s="82"/>
      <c r="F58" s="82"/>
      <c r="G58" s="82"/>
      <c r="H58" s="82"/>
      <c r="I58" s="77" t="str">
        <f t="shared" si="0"/>
        <v/>
      </c>
      <c r="J58" s="69"/>
    </row>
    <row r="59" spans="1:10" x14ac:dyDescent="0.3">
      <c r="A59" s="68"/>
      <c r="B59" s="69"/>
      <c r="C59" s="69"/>
      <c r="D59" s="69"/>
      <c r="E59" s="82"/>
      <c r="F59" s="82"/>
      <c r="G59" s="82"/>
      <c r="H59" s="82"/>
      <c r="I59" s="77" t="str">
        <f t="shared" si="0"/>
        <v/>
      </c>
      <c r="J59" s="69"/>
    </row>
    <row r="60" spans="1:10" x14ac:dyDescent="0.3">
      <c r="A60" s="68"/>
      <c r="B60" s="69"/>
      <c r="C60" s="69"/>
      <c r="D60" s="69"/>
      <c r="E60" s="82"/>
      <c r="F60" s="82"/>
      <c r="G60" s="82"/>
      <c r="H60" s="82"/>
      <c r="I60" s="77" t="str">
        <f t="shared" si="0"/>
        <v/>
      </c>
      <c r="J60" s="69"/>
    </row>
    <row r="61" spans="1:10" x14ac:dyDescent="0.3">
      <c r="A61" s="68"/>
      <c r="B61" s="69"/>
      <c r="C61" s="69"/>
      <c r="D61" s="69"/>
      <c r="E61" s="82"/>
      <c r="F61" s="82"/>
      <c r="G61" s="82"/>
      <c r="H61" s="82"/>
      <c r="I61" s="77" t="str">
        <f t="shared" si="0"/>
        <v/>
      </c>
      <c r="J61" s="69"/>
    </row>
    <row r="62" spans="1:10" x14ac:dyDescent="0.3">
      <c r="A62" s="68"/>
      <c r="B62" s="69"/>
      <c r="C62" s="69"/>
      <c r="D62" s="69"/>
      <c r="E62" s="82"/>
      <c r="F62" s="82"/>
      <c r="G62" s="82"/>
      <c r="H62" s="82"/>
      <c r="I62" s="77" t="str">
        <f t="shared" si="0"/>
        <v/>
      </c>
      <c r="J62" s="69"/>
    </row>
    <row r="63" spans="1:10" x14ac:dyDescent="0.3">
      <c r="A63" s="68"/>
      <c r="B63" s="69"/>
      <c r="C63" s="69"/>
      <c r="D63" s="69"/>
      <c r="E63" s="82"/>
      <c r="F63" s="82"/>
      <c r="G63" s="82"/>
      <c r="H63" s="82"/>
      <c r="I63" s="77" t="str">
        <f t="shared" si="0"/>
        <v/>
      </c>
      <c r="J63" s="69"/>
    </row>
    <row r="64" spans="1:10" x14ac:dyDescent="0.3">
      <c r="A64" s="68"/>
      <c r="B64" s="69"/>
      <c r="C64" s="69"/>
      <c r="D64" s="69"/>
      <c r="E64" s="82"/>
      <c r="F64" s="82"/>
      <c r="G64" s="82"/>
      <c r="H64" s="82"/>
      <c r="I64" s="77" t="str">
        <f t="shared" si="0"/>
        <v/>
      </c>
      <c r="J64" s="69"/>
    </row>
    <row r="65" spans="1:10" x14ac:dyDescent="0.3">
      <c r="A65" s="68"/>
      <c r="B65" s="69"/>
      <c r="C65" s="69"/>
      <c r="D65" s="69"/>
      <c r="E65" s="82"/>
      <c r="F65" s="82"/>
      <c r="G65" s="82"/>
      <c r="H65" s="82"/>
      <c r="I65" s="77" t="str">
        <f t="shared" si="0"/>
        <v/>
      </c>
      <c r="J65" s="69"/>
    </row>
    <row r="66" spans="1:10" x14ac:dyDescent="0.3">
      <c r="A66" s="68"/>
      <c r="B66" s="69"/>
      <c r="C66" s="69"/>
      <c r="D66" s="69"/>
      <c r="E66" s="82"/>
      <c r="F66" s="82"/>
      <c r="G66" s="82"/>
      <c r="H66" s="82"/>
      <c r="I66" s="77" t="str">
        <f t="shared" si="0"/>
        <v/>
      </c>
      <c r="J66" s="69"/>
    </row>
    <row r="67" spans="1:10" x14ac:dyDescent="0.3">
      <c r="A67" s="68"/>
      <c r="B67" s="69"/>
      <c r="C67" s="69"/>
      <c r="D67" s="69"/>
      <c r="E67" s="82"/>
      <c r="F67" s="82"/>
      <c r="G67" s="82"/>
      <c r="H67" s="82"/>
      <c r="I67" s="77" t="str">
        <f t="shared" si="0"/>
        <v/>
      </c>
      <c r="J67" s="69"/>
    </row>
    <row r="68" spans="1:10" x14ac:dyDescent="0.3">
      <c r="A68" s="68"/>
      <c r="B68" s="69"/>
      <c r="C68" s="69"/>
      <c r="D68" s="69"/>
      <c r="E68" s="82"/>
      <c r="F68" s="82"/>
      <c r="G68" s="82"/>
      <c r="H68" s="82"/>
      <c r="I68" s="77" t="str">
        <f t="shared" si="0"/>
        <v/>
      </c>
      <c r="J68" s="69"/>
    </row>
    <row r="69" spans="1:10" x14ac:dyDescent="0.3">
      <c r="A69" s="68"/>
      <c r="B69" s="69"/>
      <c r="C69" s="69"/>
      <c r="D69" s="69"/>
      <c r="E69" s="82"/>
      <c r="F69" s="82"/>
      <c r="G69" s="82"/>
      <c r="H69" s="82"/>
      <c r="I69" s="77" t="str">
        <f t="shared" ref="I69:I132" si="1">IF(COUNT(E69:H69)=0,"",AVERAGE(E69:H69))</f>
        <v/>
      </c>
      <c r="J69" s="69"/>
    </row>
    <row r="70" spans="1:10" x14ac:dyDescent="0.3">
      <c r="A70" s="68"/>
      <c r="B70" s="69"/>
      <c r="C70" s="69"/>
      <c r="D70" s="69"/>
      <c r="E70" s="82"/>
      <c r="F70" s="82"/>
      <c r="G70" s="82"/>
      <c r="H70" s="82"/>
      <c r="I70" s="77" t="str">
        <f t="shared" si="1"/>
        <v/>
      </c>
      <c r="J70" s="69"/>
    </row>
    <row r="71" spans="1:10" x14ac:dyDescent="0.3">
      <c r="A71" s="68"/>
      <c r="B71" s="69"/>
      <c r="C71" s="69"/>
      <c r="D71" s="69"/>
      <c r="E71" s="82"/>
      <c r="F71" s="82"/>
      <c r="G71" s="82"/>
      <c r="H71" s="82"/>
      <c r="I71" s="77" t="str">
        <f t="shared" si="1"/>
        <v/>
      </c>
      <c r="J71" s="69"/>
    </row>
    <row r="72" spans="1:10" x14ac:dyDescent="0.3">
      <c r="A72" s="68"/>
      <c r="B72" s="69"/>
      <c r="C72" s="69"/>
      <c r="D72" s="69"/>
      <c r="E72" s="82"/>
      <c r="F72" s="82"/>
      <c r="G72" s="82"/>
      <c r="H72" s="82"/>
      <c r="I72" s="77" t="str">
        <f t="shared" si="1"/>
        <v/>
      </c>
      <c r="J72" s="69"/>
    </row>
    <row r="73" spans="1:10" x14ac:dyDescent="0.3">
      <c r="A73" s="68"/>
      <c r="B73" s="69"/>
      <c r="C73" s="69"/>
      <c r="D73" s="69"/>
      <c r="E73" s="82"/>
      <c r="F73" s="82"/>
      <c r="G73" s="82"/>
      <c r="H73" s="82"/>
      <c r="I73" s="77" t="str">
        <f t="shared" si="1"/>
        <v/>
      </c>
      <c r="J73" s="69"/>
    </row>
    <row r="74" spans="1:10" x14ac:dyDescent="0.3">
      <c r="A74" s="68"/>
      <c r="B74" s="69"/>
      <c r="C74" s="69"/>
      <c r="D74" s="69"/>
      <c r="E74" s="82"/>
      <c r="F74" s="82"/>
      <c r="G74" s="82"/>
      <c r="H74" s="82"/>
      <c r="I74" s="77" t="str">
        <f t="shared" si="1"/>
        <v/>
      </c>
      <c r="J74" s="69"/>
    </row>
    <row r="75" spans="1:10" x14ac:dyDescent="0.3">
      <c r="A75" s="68"/>
      <c r="B75" s="69"/>
      <c r="C75" s="69"/>
      <c r="D75" s="69"/>
      <c r="E75" s="82"/>
      <c r="F75" s="82"/>
      <c r="G75" s="82"/>
      <c r="H75" s="82"/>
      <c r="I75" s="77" t="str">
        <f t="shared" si="1"/>
        <v/>
      </c>
      <c r="J75" s="69"/>
    </row>
    <row r="76" spans="1:10" x14ac:dyDescent="0.3">
      <c r="A76" s="68"/>
      <c r="B76" s="69"/>
      <c r="C76" s="69"/>
      <c r="D76" s="69"/>
      <c r="E76" s="82"/>
      <c r="F76" s="82"/>
      <c r="G76" s="82"/>
      <c r="H76" s="82"/>
      <c r="I76" s="77" t="str">
        <f t="shared" si="1"/>
        <v/>
      </c>
      <c r="J76" s="69"/>
    </row>
    <row r="77" spans="1:10" x14ac:dyDescent="0.3">
      <c r="A77" s="68"/>
      <c r="B77" s="69"/>
      <c r="C77" s="69"/>
      <c r="D77" s="69"/>
      <c r="E77" s="82"/>
      <c r="F77" s="82"/>
      <c r="G77" s="82"/>
      <c r="H77" s="82"/>
      <c r="I77" s="77" t="str">
        <f t="shared" si="1"/>
        <v/>
      </c>
      <c r="J77" s="69"/>
    </row>
    <row r="78" spans="1:10" x14ac:dyDescent="0.3">
      <c r="A78" s="68"/>
      <c r="B78" s="69"/>
      <c r="C78" s="69"/>
      <c r="D78" s="69"/>
      <c r="E78" s="82"/>
      <c r="F78" s="82"/>
      <c r="G78" s="82"/>
      <c r="H78" s="82"/>
      <c r="I78" s="77" t="str">
        <f t="shared" si="1"/>
        <v/>
      </c>
      <c r="J78" s="69"/>
    </row>
    <row r="79" spans="1:10" x14ac:dyDescent="0.3">
      <c r="A79" s="68"/>
      <c r="B79" s="69"/>
      <c r="C79" s="69"/>
      <c r="D79" s="69"/>
      <c r="E79" s="82"/>
      <c r="F79" s="82"/>
      <c r="G79" s="82"/>
      <c r="H79" s="82"/>
      <c r="I79" s="77" t="str">
        <f t="shared" si="1"/>
        <v/>
      </c>
      <c r="J79" s="69"/>
    </row>
    <row r="80" spans="1:10" x14ac:dyDescent="0.3">
      <c r="A80" s="68"/>
      <c r="B80" s="69"/>
      <c r="C80" s="69"/>
      <c r="D80" s="69"/>
      <c r="E80" s="82"/>
      <c r="F80" s="82"/>
      <c r="G80" s="82"/>
      <c r="H80" s="82"/>
      <c r="I80" s="77" t="str">
        <f t="shared" si="1"/>
        <v/>
      </c>
      <c r="J80" s="69"/>
    </row>
    <row r="81" spans="1:10" x14ac:dyDescent="0.3">
      <c r="A81" s="68"/>
      <c r="B81" s="69"/>
      <c r="C81" s="69"/>
      <c r="D81" s="69"/>
      <c r="E81" s="82"/>
      <c r="F81" s="82"/>
      <c r="G81" s="82"/>
      <c r="H81" s="82"/>
      <c r="I81" s="77" t="str">
        <f t="shared" si="1"/>
        <v/>
      </c>
      <c r="J81" s="69"/>
    </row>
    <row r="82" spans="1:10" x14ac:dyDescent="0.3">
      <c r="A82" s="68"/>
      <c r="B82" s="69"/>
      <c r="C82" s="69"/>
      <c r="D82" s="69"/>
      <c r="E82" s="82"/>
      <c r="F82" s="82"/>
      <c r="G82" s="82"/>
      <c r="H82" s="82"/>
      <c r="I82" s="77" t="str">
        <f t="shared" si="1"/>
        <v/>
      </c>
      <c r="J82" s="69"/>
    </row>
    <row r="83" spans="1:10" x14ac:dyDescent="0.3">
      <c r="A83" s="68"/>
      <c r="B83" s="69"/>
      <c r="C83" s="69"/>
      <c r="D83" s="69"/>
      <c r="E83" s="82"/>
      <c r="F83" s="82"/>
      <c r="G83" s="82"/>
      <c r="H83" s="82"/>
      <c r="I83" s="77" t="str">
        <f t="shared" si="1"/>
        <v/>
      </c>
      <c r="J83" s="69"/>
    </row>
    <row r="84" spans="1:10" x14ac:dyDescent="0.3">
      <c r="A84" s="68"/>
      <c r="B84" s="69"/>
      <c r="C84" s="69"/>
      <c r="D84" s="69"/>
      <c r="E84" s="82"/>
      <c r="F84" s="82"/>
      <c r="G84" s="82"/>
      <c r="H84" s="82"/>
      <c r="I84" s="77" t="str">
        <f t="shared" si="1"/>
        <v/>
      </c>
      <c r="J84" s="69"/>
    </row>
    <row r="85" spans="1:10" x14ac:dyDescent="0.3">
      <c r="A85" s="68"/>
      <c r="B85" s="69"/>
      <c r="C85" s="69"/>
      <c r="D85" s="69"/>
      <c r="E85" s="82"/>
      <c r="F85" s="82"/>
      <c r="G85" s="82"/>
      <c r="H85" s="82"/>
      <c r="I85" s="77" t="str">
        <f t="shared" si="1"/>
        <v/>
      </c>
      <c r="J85" s="69"/>
    </row>
    <row r="86" spans="1:10" x14ac:dyDescent="0.3">
      <c r="A86" s="68"/>
      <c r="B86" s="69"/>
      <c r="C86" s="69"/>
      <c r="D86" s="69"/>
      <c r="E86" s="82"/>
      <c r="F86" s="82"/>
      <c r="G86" s="82"/>
      <c r="H86" s="82"/>
      <c r="I86" s="77" t="str">
        <f t="shared" si="1"/>
        <v/>
      </c>
      <c r="J86" s="69"/>
    </row>
    <row r="87" spans="1:10" x14ac:dyDescent="0.3">
      <c r="A87" s="68"/>
      <c r="B87" s="69"/>
      <c r="C87" s="69"/>
      <c r="D87" s="69"/>
      <c r="E87" s="82"/>
      <c r="F87" s="82"/>
      <c r="G87" s="82"/>
      <c r="H87" s="82"/>
      <c r="I87" s="77" t="str">
        <f t="shared" si="1"/>
        <v/>
      </c>
      <c r="J87" s="69"/>
    </row>
    <row r="88" spans="1:10" x14ac:dyDescent="0.3">
      <c r="A88" s="68"/>
      <c r="B88" s="69"/>
      <c r="C88" s="69"/>
      <c r="D88" s="69"/>
      <c r="E88" s="82"/>
      <c r="F88" s="82"/>
      <c r="G88" s="82"/>
      <c r="H88" s="82"/>
      <c r="I88" s="77" t="str">
        <f t="shared" si="1"/>
        <v/>
      </c>
      <c r="J88" s="69"/>
    </row>
    <row r="89" spans="1:10" x14ac:dyDescent="0.3">
      <c r="A89" s="68"/>
      <c r="B89" s="69"/>
      <c r="C89" s="69"/>
      <c r="D89" s="69"/>
      <c r="E89" s="82"/>
      <c r="F89" s="82"/>
      <c r="G89" s="82"/>
      <c r="H89" s="82"/>
      <c r="I89" s="77" t="str">
        <f t="shared" si="1"/>
        <v/>
      </c>
      <c r="J89" s="69"/>
    </row>
    <row r="90" spans="1:10" x14ac:dyDescent="0.3">
      <c r="A90" s="68"/>
      <c r="B90" s="69"/>
      <c r="C90" s="69"/>
      <c r="D90" s="69"/>
      <c r="E90" s="82"/>
      <c r="F90" s="82"/>
      <c r="G90" s="82"/>
      <c r="H90" s="82"/>
      <c r="I90" s="77" t="str">
        <f t="shared" si="1"/>
        <v/>
      </c>
      <c r="J90" s="69"/>
    </row>
    <row r="91" spans="1:10" x14ac:dyDescent="0.3">
      <c r="A91" s="68"/>
      <c r="B91" s="69"/>
      <c r="C91" s="69"/>
      <c r="D91" s="69"/>
      <c r="E91" s="82"/>
      <c r="F91" s="82"/>
      <c r="G91" s="82"/>
      <c r="H91" s="82"/>
      <c r="I91" s="77" t="str">
        <f t="shared" si="1"/>
        <v/>
      </c>
      <c r="J91" s="69"/>
    </row>
    <row r="92" spans="1:10" x14ac:dyDescent="0.3">
      <c r="A92" s="68"/>
      <c r="B92" s="69"/>
      <c r="C92" s="69"/>
      <c r="D92" s="69"/>
      <c r="E92" s="82"/>
      <c r="F92" s="82"/>
      <c r="G92" s="82"/>
      <c r="H92" s="82"/>
      <c r="I92" s="77" t="str">
        <f t="shared" si="1"/>
        <v/>
      </c>
      <c r="J92" s="69"/>
    </row>
    <row r="93" spans="1:10" x14ac:dyDescent="0.3">
      <c r="A93" s="68"/>
      <c r="B93" s="69"/>
      <c r="C93" s="69"/>
      <c r="D93" s="69"/>
      <c r="E93" s="82"/>
      <c r="F93" s="82"/>
      <c r="G93" s="82"/>
      <c r="H93" s="82"/>
      <c r="I93" s="77" t="str">
        <f t="shared" si="1"/>
        <v/>
      </c>
      <c r="J93" s="69"/>
    </row>
    <row r="94" spans="1:10" x14ac:dyDescent="0.3">
      <c r="A94" s="68"/>
      <c r="B94" s="69"/>
      <c r="C94" s="69"/>
      <c r="D94" s="69"/>
      <c r="E94" s="82"/>
      <c r="F94" s="82"/>
      <c r="G94" s="82"/>
      <c r="H94" s="82"/>
      <c r="I94" s="77" t="str">
        <f t="shared" si="1"/>
        <v/>
      </c>
      <c r="J94" s="69"/>
    </row>
    <row r="95" spans="1:10" x14ac:dyDescent="0.3">
      <c r="A95" s="68"/>
      <c r="B95" s="69"/>
      <c r="C95" s="69"/>
      <c r="D95" s="69"/>
      <c r="E95" s="82"/>
      <c r="F95" s="82"/>
      <c r="G95" s="82"/>
      <c r="H95" s="82"/>
      <c r="I95" s="77" t="str">
        <f t="shared" si="1"/>
        <v/>
      </c>
      <c r="J95" s="69"/>
    </row>
    <row r="96" spans="1:10" x14ac:dyDescent="0.3">
      <c r="A96" s="68"/>
      <c r="B96" s="69"/>
      <c r="C96" s="69"/>
      <c r="D96" s="69"/>
      <c r="E96" s="82"/>
      <c r="F96" s="82"/>
      <c r="G96" s="82"/>
      <c r="H96" s="82"/>
      <c r="I96" s="77" t="str">
        <f t="shared" si="1"/>
        <v/>
      </c>
      <c r="J96" s="69"/>
    </row>
    <row r="97" spans="1:10" x14ac:dyDescent="0.3">
      <c r="A97" s="68"/>
      <c r="B97" s="69"/>
      <c r="C97" s="69"/>
      <c r="D97" s="69"/>
      <c r="E97" s="82"/>
      <c r="F97" s="82"/>
      <c r="G97" s="82"/>
      <c r="H97" s="82"/>
      <c r="I97" s="77" t="str">
        <f t="shared" si="1"/>
        <v/>
      </c>
      <c r="J97" s="69"/>
    </row>
    <row r="98" spans="1:10" x14ac:dyDescent="0.3">
      <c r="A98" s="68"/>
      <c r="B98" s="69"/>
      <c r="C98" s="69"/>
      <c r="D98" s="69"/>
      <c r="E98" s="82"/>
      <c r="F98" s="82"/>
      <c r="G98" s="82"/>
      <c r="H98" s="82"/>
      <c r="I98" s="77" t="str">
        <f t="shared" si="1"/>
        <v/>
      </c>
      <c r="J98" s="69"/>
    </row>
    <row r="99" spans="1:10" x14ac:dyDescent="0.3">
      <c r="A99" s="68"/>
      <c r="B99" s="69"/>
      <c r="C99" s="69"/>
      <c r="D99" s="69"/>
      <c r="E99" s="82"/>
      <c r="F99" s="82"/>
      <c r="G99" s="82"/>
      <c r="H99" s="82"/>
      <c r="I99" s="77" t="str">
        <f t="shared" si="1"/>
        <v/>
      </c>
      <c r="J99" s="69"/>
    </row>
    <row r="100" spans="1:10" x14ac:dyDescent="0.3">
      <c r="A100" s="68"/>
      <c r="B100" s="69"/>
      <c r="C100" s="69"/>
      <c r="D100" s="69"/>
      <c r="E100" s="82"/>
      <c r="F100" s="82"/>
      <c r="G100" s="82"/>
      <c r="H100" s="82"/>
      <c r="I100" s="77" t="str">
        <f t="shared" si="1"/>
        <v/>
      </c>
      <c r="J100" s="69"/>
    </row>
    <row r="101" spans="1:10" x14ac:dyDescent="0.3">
      <c r="A101" s="68"/>
      <c r="B101" s="69"/>
      <c r="C101" s="69"/>
      <c r="D101" s="69"/>
      <c r="E101" s="82"/>
      <c r="F101" s="82"/>
      <c r="G101" s="82"/>
      <c r="H101" s="82"/>
      <c r="I101" s="77" t="str">
        <f t="shared" si="1"/>
        <v/>
      </c>
      <c r="J101" s="69"/>
    </row>
    <row r="102" spans="1:10" x14ac:dyDescent="0.3">
      <c r="A102" s="68"/>
      <c r="B102" s="69"/>
      <c r="C102" s="69"/>
      <c r="D102" s="69"/>
      <c r="E102" s="82"/>
      <c r="F102" s="82"/>
      <c r="G102" s="82"/>
      <c r="H102" s="82"/>
      <c r="I102" s="77" t="str">
        <f t="shared" si="1"/>
        <v/>
      </c>
      <c r="J102" s="69"/>
    </row>
    <row r="103" spans="1:10" x14ac:dyDescent="0.3">
      <c r="A103" s="68"/>
      <c r="B103" s="69"/>
      <c r="C103" s="69"/>
      <c r="D103" s="69"/>
      <c r="E103" s="82"/>
      <c r="F103" s="82"/>
      <c r="G103" s="82"/>
      <c r="H103" s="82"/>
      <c r="I103" s="77" t="str">
        <f t="shared" si="1"/>
        <v/>
      </c>
      <c r="J103" s="69"/>
    </row>
    <row r="104" spans="1:10" x14ac:dyDescent="0.3">
      <c r="A104" s="68"/>
      <c r="B104" s="69"/>
      <c r="C104" s="69"/>
      <c r="D104" s="69"/>
      <c r="E104" s="82"/>
      <c r="F104" s="82"/>
      <c r="G104" s="82"/>
      <c r="H104" s="82"/>
      <c r="I104" s="77" t="str">
        <f t="shared" si="1"/>
        <v/>
      </c>
      <c r="J104" s="69"/>
    </row>
    <row r="105" spans="1:10" x14ac:dyDescent="0.3">
      <c r="A105" s="68"/>
      <c r="B105" s="69"/>
      <c r="C105" s="69"/>
      <c r="D105" s="69"/>
      <c r="E105" s="82"/>
      <c r="F105" s="82"/>
      <c r="G105" s="82"/>
      <c r="H105" s="82"/>
      <c r="I105" s="77" t="str">
        <f t="shared" si="1"/>
        <v/>
      </c>
      <c r="J105" s="69"/>
    </row>
    <row r="106" spans="1:10" x14ac:dyDescent="0.3">
      <c r="A106" s="68"/>
      <c r="B106" s="69"/>
      <c r="C106" s="69"/>
      <c r="D106" s="69"/>
      <c r="E106" s="82"/>
      <c r="F106" s="82"/>
      <c r="G106" s="82"/>
      <c r="H106" s="82"/>
      <c r="I106" s="77" t="str">
        <f t="shared" si="1"/>
        <v/>
      </c>
      <c r="J106" s="69"/>
    </row>
    <row r="107" spans="1:10" x14ac:dyDescent="0.3">
      <c r="A107" s="68"/>
      <c r="B107" s="69"/>
      <c r="C107" s="69"/>
      <c r="D107" s="69"/>
      <c r="E107" s="82"/>
      <c r="F107" s="82"/>
      <c r="G107" s="82"/>
      <c r="H107" s="82"/>
      <c r="I107" s="77" t="str">
        <f t="shared" si="1"/>
        <v/>
      </c>
      <c r="J107" s="69"/>
    </row>
    <row r="108" spans="1:10" x14ac:dyDescent="0.3">
      <c r="A108" s="68"/>
      <c r="B108" s="69"/>
      <c r="C108" s="69"/>
      <c r="D108" s="69"/>
      <c r="E108" s="82"/>
      <c r="F108" s="82"/>
      <c r="G108" s="82"/>
      <c r="H108" s="82"/>
      <c r="I108" s="77" t="str">
        <f t="shared" si="1"/>
        <v/>
      </c>
      <c r="J108" s="69"/>
    </row>
    <row r="109" spans="1:10" x14ac:dyDescent="0.3">
      <c r="A109" s="68"/>
      <c r="B109" s="69"/>
      <c r="C109" s="69"/>
      <c r="D109" s="69"/>
      <c r="E109" s="82"/>
      <c r="F109" s="82"/>
      <c r="G109" s="82"/>
      <c r="H109" s="82"/>
      <c r="I109" s="77" t="str">
        <f t="shared" si="1"/>
        <v/>
      </c>
      <c r="J109" s="69"/>
    </row>
    <row r="110" spans="1:10" x14ac:dyDescent="0.3">
      <c r="A110" s="68"/>
      <c r="B110" s="69"/>
      <c r="C110" s="69"/>
      <c r="D110" s="69"/>
      <c r="E110" s="82"/>
      <c r="F110" s="82"/>
      <c r="G110" s="82"/>
      <c r="H110" s="82"/>
      <c r="I110" s="77" t="str">
        <f t="shared" si="1"/>
        <v/>
      </c>
      <c r="J110" s="69"/>
    </row>
    <row r="111" spans="1:10" x14ac:dyDescent="0.3">
      <c r="A111" s="68"/>
      <c r="B111" s="69"/>
      <c r="C111" s="69"/>
      <c r="D111" s="69"/>
      <c r="E111" s="82"/>
      <c r="F111" s="82"/>
      <c r="G111" s="82"/>
      <c r="H111" s="82"/>
      <c r="I111" s="77" t="str">
        <f t="shared" si="1"/>
        <v/>
      </c>
      <c r="J111" s="69"/>
    </row>
    <row r="112" spans="1:10" x14ac:dyDescent="0.3">
      <c r="A112" s="68"/>
      <c r="B112" s="69"/>
      <c r="C112" s="69"/>
      <c r="D112" s="69"/>
      <c r="E112" s="82"/>
      <c r="F112" s="82"/>
      <c r="G112" s="82"/>
      <c r="H112" s="82"/>
      <c r="I112" s="77" t="str">
        <f t="shared" si="1"/>
        <v/>
      </c>
      <c r="J112" s="69"/>
    </row>
    <row r="113" spans="1:10" x14ac:dyDescent="0.3">
      <c r="A113" s="68"/>
      <c r="B113" s="69"/>
      <c r="C113" s="69"/>
      <c r="D113" s="69"/>
      <c r="E113" s="82"/>
      <c r="F113" s="82"/>
      <c r="G113" s="82"/>
      <c r="H113" s="82"/>
      <c r="I113" s="77" t="str">
        <f t="shared" si="1"/>
        <v/>
      </c>
      <c r="J113" s="69"/>
    </row>
    <row r="114" spans="1:10" x14ac:dyDescent="0.3">
      <c r="A114" s="68"/>
      <c r="B114" s="69"/>
      <c r="C114" s="69"/>
      <c r="D114" s="69"/>
      <c r="E114" s="82"/>
      <c r="F114" s="82"/>
      <c r="G114" s="82"/>
      <c r="H114" s="82"/>
      <c r="I114" s="77" t="str">
        <f t="shared" si="1"/>
        <v/>
      </c>
      <c r="J114" s="69"/>
    </row>
    <row r="115" spans="1:10" x14ac:dyDescent="0.3">
      <c r="A115" s="68"/>
      <c r="B115" s="69"/>
      <c r="C115" s="69"/>
      <c r="D115" s="69"/>
      <c r="E115" s="82"/>
      <c r="F115" s="82"/>
      <c r="G115" s="82"/>
      <c r="H115" s="82"/>
      <c r="I115" s="77" t="str">
        <f t="shared" si="1"/>
        <v/>
      </c>
      <c r="J115" s="69"/>
    </row>
    <row r="116" spans="1:10" x14ac:dyDescent="0.3">
      <c r="A116" s="68"/>
      <c r="B116" s="69"/>
      <c r="C116" s="69"/>
      <c r="D116" s="69"/>
      <c r="E116" s="82"/>
      <c r="F116" s="82"/>
      <c r="G116" s="82"/>
      <c r="H116" s="82"/>
      <c r="I116" s="77" t="str">
        <f t="shared" si="1"/>
        <v/>
      </c>
      <c r="J116" s="69"/>
    </row>
    <row r="117" spans="1:10" x14ac:dyDescent="0.3">
      <c r="A117" s="68"/>
      <c r="B117" s="69"/>
      <c r="C117" s="69"/>
      <c r="D117" s="69"/>
      <c r="E117" s="82"/>
      <c r="F117" s="82"/>
      <c r="G117" s="82"/>
      <c r="H117" s="82"/>
      <c r="I117" s="77" t="str">
        <f t="shared" si="1"/>
        <v/>
      </c>
      <c r="J117" s="69"/>
    </row>
    <row r="118" spans="1:10" x14ac:dyDescent="0.3">
      <c r="A118" s="68"/>
      <c r="B118" s="69"/>
      <c r="C118" s="69"/>
      <c r="D118" s="69"/>
      <c r="E118" s="82"/>
      <c r="F118" s="82"/>
      <c r="G118" s="82"/>
      <c r="H118" s="82"/>
      <c r="I118" s="77" t="str">
        <f t="shared" si="1"/>
        <v/>
      </c>
      <c r="J118" s="69"/>
    </row>
    <row r="119" spans="1:10" x14ac:dyDescent="0.3">
      <c r="A119" s="68"/>
      <c r="B119" s="69"/>
      <c r="C119" s="69"/>
      <c r="D119" s="69"/>
      <c r="E119" s="82"/>
      <c r="F119" s="82"/>
      <c r="G119" s="82"/>
      <c r="H119" s="82"/>
      <c r="I119" s="77" t="str">
        <f t="shared" si="1"/>
        <v/>
      </c>
      <c r="J119" s="69"/>
    </row>
    <row r="120" spans="1:10" x14ac:dyDescent="0.3">
      <c r="A120" s="68"/>
      <c r="B120" s="69"/>
      <c r="C120" s="69"/>
      <c r="D120" s="69"/>
      <c r="E120" s="82"/>
      <c r="F120" s="82"/>
      <c r="G120" s="82"/>
      <c r="H120" s="82"/>
      <c r="I120" s="77" t="str">
        <f t="shared" si="1"/>
        <v/>
      </c>
      <c r="J120" s="69"/>
    </row>
    <row r="121" spans="1:10" x14ac:dyDescent="0.3">
      <c r="A121" s="68"/>
      <c r="B121" s="69"/>
      <c r="C121" s="69"/>
      <c r="D121" s="69"/>
      <c r="E121" s="82"/>
      <c r="F121" s="82"/>
      <c r="G121" s="82"/>
      <c r="H121" s="82"/>
      <c r="I121" s="77" t="str">
        <f t="shared" si="1"/>
        <v/>
      </c>
      <c r="J121" s="69"/>
    </row>
    <row r="122" spans="1:10" x14ac:dyDescent="0.3">
      <c r="A122" s="68"/>
      <c r="B122" s="69"/>
      <c r="C122" s="69"/>
      <c r="D122" s="69"/>
      <c r="E122" s="82"/>
      <c r="F122" s="82"/>
      <c r="G122" s="82"/>
      <c r="H122" s="82"/>
      <c r="I122" s="77" t="str">
        <f t="shared" si="1"/>
        <v/>
      </c>
      <c r="J122" s="69"/>
    </row>
    <row r="123" spans="1:10" x14ac:dyDescent="0.3">
      <c r="A123" s="68"/>
      <c r="B123" s="69"/>
      <c r="C123" s="69"/>
      <c r="D123" s="69"/>
      <c r="E123" s="82"/>
      <c r="F123" s="82"/>
      <c r="G123" s="82"/>
      <c r="H123" s="82"/>
      <c r="I123" s="77" t="str">
        <f t="shared" si="1"/>
        <v/>
      </c>
      <c r="J123" s="69"/>
    </row>
    <row r="124" spans="1:10" x14ac:dyDescent="0.3">
      <c r="A124" s="68"/>
      <c r="B124" s="69"/>
      <c r="C124" s="69"/>
      <c r="D124" s="69"/>
      <c r="E124" s="82"/>
      <c r="F124" s="82"/>
      <c r="G124" s="82"/>
      <c r="H124" s="82"/>
      <c r="I124" s="77" t="str">
        <f t="shared" si="1"/>
        <v/>
      </c>
      <c r="J124" s="69"/>
    </row>
    <row r="125" spans="1:10" x14ac:dyDescent="0.3">
      <c r="A125" s="68"/>
      <c r="B125" s="69"/>
      <c r="C125" s="69"/>
      <c r="D125" s="69"/>
      <c r="E125" s="82"/>
      <c r="F125" s="82"/>
      <c r="G125" s="82"/>
      <c r="H125" s="82"/>
      <c r="I125" s="77" t="str">
        <f t="shared" si="1"/>
        <v/>
      </c>
      <c r="J125" s="69"/>
    </row>
    <row r="126" spans="1:10" x14ac:dyDescent="0.3">
      <c r="A126" s="68"/>
      <c r="B126" s="69"/>
      <c r="C126" s="69"/>
      <c r="D126" s="69"/>
      <c r="E126" s="82"/>
      <c r="F126" s="82"/>
      <c r="G126" s="82"/>
      <c r="H126" s="82"/>
      <c r="I126" s="77" t="str">
        <f t="shared" si="1"/>
        <v/>
      </c>
      <c r="J126" s="69"/>
    </row>
    <row r="127" spans="1:10" x14ac:dyDescent="0.3">
      <c r="A127" s="68"/>
      <c r="B127" s="69"/>
      <c r="C127" s="69"/>
      <c r="D127" s="69"/>
      <c r="E127" s="82"/>
      <c r="F127" s="82"/>
      <c r="G127" s="82"/>
      <c r="H127" s="82"/>
      <c r="I127" s="77" t="str">
        <f t="shared" si="1"/>
        <v/>
      </c>
      <c r="J127" s="69"/>
    </row>
    <row r="128" spans="1:10" x14ac:dyDescent="0.3">
      <c r="A128" s="68"/>
      <c r="B128" s="69"/>
      <c r="C128" s="69"/>
      <c r="D128" s="69"/>
      <c r="E128" s="82"/>
      <c r="F128" s="82"/>
      <c r="G128" s="82"/>
      <c r="H128" s="82"/>
      <c r="I128" s="77" t="str">
        <f t="shared" si="1"/>
        <v/>
      </c>
      <c r="J128" s="69"/>
    </row>
    <row r="129" spans="1:10" x14ac:dyDescent="0.3">
      <c r="A129" s="68"/>
      <c r="B129" s="69"/>
      <c r="C129" s="69"/>
      <c r="D129" s="69"/>
      <c r="E129" s="82"/>
      <c r="F129" s="82"/>
      <c r="G129" s="82"/>
      <c r="H129" s="82"/>
      <c r="I129" s="77" t="str">
        <f t="shared" si="1"/>
        <v/>
      </c>
      <c r="J129" s="69"/>
    </row>
    <row r="130" spans="1:10" x14ac:dyDescent="0.3">
      <c r="A130" s="68"/>
      <c r="B130" s="69"/>
      <c r="C130" s="69"/>
      <c r="D130" s="69"/>
      <c r="E130" s="82"/>
      <c r="F130" s="82"/>
      <c r="G130" s="82"/>
      <c r="H130" s="82"/>
      <c r="I130" s="77" t="str">
        <f t="shared" si="1"/>
        <v/>
      </c>
      <c r="J130" s="69"/>
    </row>
    <row r="131" spans="1:10" x14ac:dyDescent="0.3">
      <c r="A131" s="68"/>
      <c r="B131" s="69"/>
      <c r="C131" s="69"/>
      <c r="D131" s="69"/>
      <c r="E131" s="82"/>
      <c r="F131" s="82"/>
      <c r="G131" s="82"/>
      <c r="H131" s="82"/>
      <c r="I131" s="77" t="str">
        <f t="shared" si="1"/>
        <v/>
      </c>
      <c r="J131" s="69"/>
    </row>
    <row r="132" spans="1:10" x14ac:dyDescent="0.3">
      <c r="A132" s="68"/>
      <c r="B132" s="69"/>
      <c r="C132" s="69"/>
      <c r="D132" s="69"/>
      <c r="E132" s="82"/>
      <c r="F132" s="82"/>
      <c r="G132" s="82"/>
      <c r="H132" s="82"/>
      <c r="I132" s="77" t="str">
        <f t="shared" si="1"/>
        <v/>
      </c>
      <c r="J132" s="69"/>
    </row>
    <row r="133" spans="1:10" x14ac:dyDescent="0.3">
      <c r="A133" s="68"/>
      <c r="B133" s="69"/>
      <c r="C133" s="69"/>
      <c r="D133" s="69"/>
      <c r="E133" s="82"/>
      <c r="F133" s="82"/>
      <c r="G133" s="82"/>
      <c r="H133" s="82"/>
      <c r="I133" s="77" t="str">
        <f t="shared" ref="I133:I196" si="2">IF(COUNT(E133:H133)=0,"",AVERAGE(E133:H133))</f>
        <v/>
      </c>
      <c r="J133" s="69"/>
    </row>
    <row r="134" spans="1:10" x14ac:dyDescent="0.3">
      <c r="A134" s="68"/>
      <c r="B134" s="69"/>
      <c r="C134" s="69"/>
      <c r="D134" s="69"/>
      <c r="E134" s="82"/>
      <c r="F134" s="82"/>
      <c r="G134" s="82"/>
      <c r="H134" s="82"/>
      <c r="I134" s="77" t="str">
        <f t="shared" si="2"/>
        <v/>
      </c>
      <c r="J134" s="69"/>
    </row>
    <row r="135" spans="1:10" x14ac:dyDescent="0.3">
      <c r="A135" s="68"/>
      <c r="B135" s="69"/>
      <c r="C135" s="69"/>
      <c r="D135" s="69"/>
      <c r="E135" s="82"/>
      <c r="F135" s="82"/>
      <c r="G135" s="82"/>
      <c r="H135" s="82"/>
      <c r="I135" s="77" t="str">
        <f t="shared" si="2"/>
        <v/>
      </c>
      <c r="J135" s="69"/>
    </row>
    <row r="136" spans="1:10" x14ac:dyDescent="0.3">
      <c r="A136" s="68"/>
      <c r="B136" s="69"/>
      <c r="C136" s="69"/>
      <c r="D136" s="69"/>
      <c r="E136" s="82"/>
      <c r="F136" s="82"/>
      <c r="G136" s="82"/>
      <c r="H136" s="82"/>
      <c r="I136" s="77" t="str">
        <f t="shared" si="2"/>
        <v/>
      </c>
      <c r="J136" s="69"/>
    </row>
    <row r="137" spans="1:10" x14ac:dyDescent="0.3">
      <c r="A137" s="68"/>
      <c r="B137" s="69"/>
      <c r="C137" s="69"/>
      <c r="D137" s="69"/>
      <c r="E137" s="82"/>
      <c r="F137" s="82"/>
      <c r="G137" s="82"/>
      <c r="H137" s="82"/>
      <c r="I137" s="77" t="str">
        <f t="shared" si="2"/>
        <v/>
      </c>
      <c r="J137" s="69"/>
    </row>
    <row r="138" spans="1:10" x14ac:dyDescent="0.3">
      <c r="A138" s="68"/>
      <c r="B138" s="69"/>
      <c r="C138" s="69"/>
      <c r="D138" s="69"/>
      <c r="E138" s="82"/>
      <c r="F138" s="82"/>
      <c r="G138" s="82"/>
      <c r="H138" s="82"/>
      <c r="I138" s="77" t="str">
        <f t="shared" si="2"/>
        <v/>
      </c>
      <c r="J138" s="69"/>
    </row>
    <row r="139" spans="1:10" x14ac:dyDescent="0.3">
      <c r="A139" s="68"/>
      <c r="B139" s="69"/>
      <c r="C139" s="69"/>
      <c r="D139" s="69"/>
      <c r="E139" s="82"/>
      <c r="F139" s="82"/>
      <c r="G139" s="82"/>
      <c r="H139" s="82"/>
      <c r="I139" s="77" t="str">
        <f t="shared" si="2"/>
        <v/>
      </c>
      <c r="J139" s="69"/>
    </row>
    <row r="140" spans="1:10" x14ac:dyDescent="0.3">
      <c r="A140" s="68"/>
      <c r="B140" s="69"/>
      <c r="C140" s="69"/>
      <c r="D140" s="69"/>
      <c r="E140" s="82"/>
      <c r="F140" s="82"/>
      <c r="G140" s="82"/>
      <c r="H140" s="82"/>
      <c r="I140" s="77" t="str">
        <f t="shared" si="2"/>
        <v/>
      </c>
      <c r="J140" s="69"/>
    </row>
    <row r="141" spans="1:10" x14ac:dyDescent="0.3">
      <c r="A141" s="68"/>
      <c r="B141" s="69"/>
      <c r="C141" s="69"/>
      <c r="D141" s="69"/>
      <c r="E141" s="82"/>
      <c r="F141" s="82"/>
      <c r="G141" s="82"/>
      <c r="H141" s="82"/>
      <c r="I141" s="77" t="str">
        <f t="shared" si="2"/>
        <v/>
      </c>
      <c r="J141" s="69"/>
    </row>
    <row r="142" spans="1:10" x14ac:dyDescent="0.3">
      <c r="A142" s="68"/>
      <c r="B142" s="69"/>
      <c r="C142" s="69"/>
      <c r="D142" s="69"/>
      <c r="E142" s="82"/>
      <c r="F142" s="82"/>
      <c r="G142" s="82"/>
      <c r="H142" s="82"/>
      <c r="I142" s="77" t="str">
        <f t="shared" si="2"/>
        <v/>
      </c>
      <c r="J142" s="69"/>
    </row>
    <row r="143" spans="1:10" x14ac:dyDescent="0.3">
      <c r="A143" s="68"/>
      <c r="B143" s="69"/>
      <c r="C143" s="69"/>
      <c r="D143" s="69"/>
      <c r="E143" s="82"/>
      <c r="F143" s="82"/>
      <c r="G143" s="82"/>
      <c r="H143" s="82"/>
      <c r="I143" s="77" t="str">
        <f t="shared" si="2"/>
        <v/>
      </c>
      <c r="J143" s="69"/>
    </row>
    <row r="144" spans="1:10" x14ac:dyDescent="0.3">
      <c r="A144" s="68"/>
      <c r="B144" s="69"/>
      <c r="C144" s="69"/>
      <c r="D144" s="69"/>
      <c r="E144" s="82"/>
      <c r="F144" s="82"/>
      <c r="G144" s="82"/>
      <c r="H144" s="82"/>
      <c r="I144" s="77" t="str">
        <f t="shared" si="2"/>
        <v/>
      </c>
      <c r="J144" s="69"/>
    </row>
    <row r="145" spans="1:10" x14ac:dyDescent="0.3">
      <c r="A145" s="68"/>
      <c r="B145" s="69"/>
      <c r="C145" s="69"/>
      <c r="D145" s="69"/>
      <c r="E145" s="82"/>
      <c r="F145" s="82"/>
      <c r="G145" s="82"/>
      <c r="H145" s="82"/>
      <c r="I145" s="77" t="str">
        <f t="shared" si="2"/>
        <v/>
      </c>
      <c r="J145" s="69"/>
    </row>
    <row r="146" spans="1:10" x14ac:dyDescent="0.3">
      <c r="A146" s="68"/>
      <c r="B146" s="69"/>
      <c r="C146" s="69"/>
      <c r="D146" s="69"/>
      <c r="E146" s="82"/>
      <c r="F146" s="82"/>
      <c r="G146" s="82"/>
      <c r="H146" s="82"/>
      <c r="I146" s="77" t="str">
        <f t="shared" si="2"/>
        <v/>
      </c>
      <c r="J146" s="69"/>
    </row>
    <row r="147" spans="1:10" x14ac:dyDescent="0.3">
      <c r="A147" s="68"/>
      <c r="B147" s="69"/>
      <c r="C147" s="69"/>
      <c r="D147" s="69"/>
      <c r="E147" s="82"/>
      <c r="F147" s="82"/>
      <c r="G147" s="82"/>
      <c r="H147" s="82"/>
      <c r="I147" s="77" t="str">
        <f t="shared" si="2"/>
        <v/>
      </c>
      <c r="J147" s="69"/>
    </row>
    <row r="148" spans="1:10" x14ac:dyDescent="0.3">
      <c r="A148" s="68"/>
      <c r="B148" s="69"/>
      <c r="C148" s="69"/>
      <c r="D148" s="69"/>
      <c r="E148" s="82"/>
      <c r="F148" s="82"/>
      <c r="G148" s="82"/>
      <c r="H148" s="82"/>
      <c r="I148" s="77" t="str">
        <f t="shared" si="2"/>
        <v/>
      </c>
      <c r="J148" s="69"/>
    </row>
    <row r="149" spans="1:10" x14ac:dyDescent="0.3">
      <c r="A149" s="68"/>
      <c r="B149" s="69"/>
      <c r="C149" s="69"/>
      <c r="D149" s="69"/>
      <c r="E149" s="82"/>
      <c r="F149" s="82"/>
      <c r="G149" s="82"/>
      <c r="H149" s="82"/>
      <c r="I149" s="77" t="str">
        <f t="shared" si="2"/>
        <v/>
      </c>
      <c r="J149" s="69"/>
    </row>
    <row r="150" spans="1:10" x14ac:dyDescent="0.3">
      <c r="A150" s="68"/>
      <c r="B150" s="69"/>
      <c r="C150" s="69"/>
      <c r="D150" s="69"/>
      <c r="E150" s="82"/>
      <c r="F150" s="82"/>
      <c r="G150" s="82"/>
      <c r="H150" s="82"/>
      <c r="I150" s="77" t="str">
        <f t="shared" si="2"/>
        <v/>
      </c>
      <c r="J150" s="69"/>
    </row>
    <row r="151" spans="1:10" x14ac:dyDescent="0.3">
      <c r="A151" s="68"/>
      <c r="B151" s="69"/>
      <c r="C151" s="69"/>
      <c r="D151" s="69"/>
      <c r="E151" s="82"/>
      <c r="F151" s="82"/>
      <c r="G151" s="82"/>
      <c r="H151" s="82"/>
      <c r="I151" s="77" t="str">
        <f t="shared" si="2"/>
        <v/>
      </c>
      <c r="J151" s="69"/>
    </row>
    <row r="152" spans="1:10" x14ac:dyDescent="0.3">
      <c r="A152" s="68"/>
      <c r="B152" s="69"/>
      <c r="C152" s="69"/>
      <c r="D152" s="69"/>
      <c r="E152" s="82"/>
      <c r="F152" s="82"/>
      <c r="G152" s="82"/>
      <c r="H152" s="82"/>
      <c r="I152" s="77" t="str">
        <f t="shared" si="2"/>
        <v/>
      </c>
      <c r="J152" s="69"/>
    </row>
    <row r="153" spans="1:10" x14ac:dyDescent="0.3">
      <c r="A153" s="68"/>
      <c r="B153" s="69"/>
      <c r="C153" s="69"/>
      <c r="D153" s="69"/>
      <c r="E153" s="82"/>
      <c r="F153" s="82"/>
      <c r="G153" s="82"/>
      <c r="H153" s="82"/>
      <c r="I153" s="77" t="str">
        <f t="shared" si="2"/>
        <v/>
      </c>
      <c r="J153" s="69"/>
    </row>
    <row r="154" spans="1:10" x14ac:dyDescent="0.3">
      <c r="A154" s="68"/>
      <c r="B154" s="69"/>
      <c r="C154" s="69"/>
      <c r="D154" s="69"/>
      <c r="E154" s="82"/>
      <c r="F154" s="82"/>
      <c r="G154" s="82"/>
      <c r="H154" s="82"/>
      <c r="I154" s="77" t="str">
        <f t="shared" si="2"/>
        <v/>
      </c>
      <c r="J154" s="69"/>
    </row>
    <row r="155" spans="1:10" x14ac:dyDescent="0.3">
      <c r="A155" s="68"/>
      <c r="B155" s="69"/>
      <c r="C155" s="69"/>
      <c r="D155" s="69"/>
      <c r="E155" s="82"/>
      <c r="F155" s="82"/>
      <c r="G155" s="82"/>
      <c r="H155" s="82"/>
      <c r="I155" s="77" t="str">
        <f t="shared" si="2"/>
        <v/>
      </c>
      <c r="J155" s="69"/>
    </row>
    <row r="156" spans="1:10" x14ac:dyDescent="0.3">
      <c r="A156" s="68"/>
      <c r="B156" s="69"/>
      <c r="C156" s="69"/>
      <c r="D156" s="69"/>
      <c r="E156" s="82"/>
      <c r="F156" s="82"/>
      <c r="G156" s="82"/>
      <c r="H156" s="82"/>
      <c r="I156" s="77" t="str">
        <f t="shared" si="2"/>
        <v/>
      </c>
      <c r="J156" s="69"/>
    </row>
    <row r="157" spans="1:10" x14ac:dyDescent="0.3">
      <c r="A157" s="68"/>
      <c r="B157" s="69"/>
      <c r="C157" s="69"/>
      <c r="D157" s="69"/>
      <c r="E157" s="82"/>
      <c r="F157" s="82"/>
      <c r="G157" s="82"/>
      <c r="H157" s="82"/>
      <c r="I157" s="77" t="str">
        <f t="shared" si="2"/>
        <v/>
      </c>
      <c r="J157" s="69"/>
    </row>
    <row r="158" spans="1:10" x14ac:dyDescent="0.3">
      <c r="A158" s="68"/>
      <c r="B158" s="69"/>
      <c r="C158" s="69"/>
      <c r="D158" s="69"/>
      <c r="E158" s="82"/>
      <c r="F158" s="82"/>
      <c r="G158" s="82"/>
      <c r="H158" s="82"/>
      <c r="I158" s="77" t="str">
        <f t="shared" si="2"/>
        <v/>
      </c>
      <c r="J158" s="69"/>
    </row>
    <row r="159" spans="1:10" x14ac:dyDescent="0.3">
      <c r="A159" s="68"/>
      <c r="B159" s="69"/>
      <c r="C159" s="69"/>
      <c r="D159" s="69"/>
      <c r="E159" s="82"/>
      <c r="F159" s="82"/>
      <c r="G159" s="82"/>
      <c r="H159" s="82"/>
      <c r="I159" s="77" t="str">
        <f t="shared" si="2"/>
        <v/>
      </c>
      <c r="J159" s="69"/>
    </row>
    <row r="160" spans="1:10" x14ac:dyDescent="0.3">
      <c r="A160" s="68"/>
      <c r="B160" s="69"/>
      <c r="C160" s="69"/>
      <c r="D160" s="69"/>
      <c r="E160" s="82"/>
      <c r="F160" s="82"/>
      <c r="G160" s="82"/>
      <c r="H160" s="82"/>
      <c r="I160" s="77" t="str">
        <f t="shared" si="2"/>
        <v/>
      </c>
      <c r="J160" s="69"/>
    </row>
    <row r="161" spans="1:10" x14ac:dyDescent="0.3">
      <c r="A161" s="68"/>
      <c r="B161" s="69"/>
      <c r="C161" s="69"/>
      <c r="D161" s="69"/>
      <c r="E161" s="82"/>
      <c r="F161" s="82"/>
      <c r="G161" s="82"/>
      <c r="H161" s="82"/>
      <c r="I161" s="77" t="str">
        <f t="shared" si="2"/>
        <v/>
      </c>
      <c r="J161" s="69"/>
    </row>
    <row r="162" spans="1:10" x14ac:dyDescent="0.3">
      <c r="A162" s="68"/>
      <c r="B162" s="69"/>
      <c r="C162" s="69"/>
      <c r="D162" s="69"/>
      <c r="E162" s="82"/>
      <c r="F162" s="82"/>
      <c r="G162" s="82"/>
      <c r="H162" s="82"/>
      <c r="I162" s="77" t="str">
        <f t="shared" si="2"/>
        <v/>
      </c>
      <c r="J162" s="69"/>
    </row>
    <row r="163" spans="1:10" x14ac:dyDescent="0.3">
      <c r="A163" s="68"/>
      <c r="B163" s="69"/>
      <c r="C163" s="69"/>
      <c r="D163" s="69"/>
      <c r="E163" s="82"/>
      <c r="F163" s="82"/>
      <c r="G163" s="82"/>
      <c r="H163" s="82"/>
      <c r="I163" s="77" t="str">
        <f t="shared" si="2"/>
        <v/>
      </c>
      <c r="J163" s="69"/>
    </row>
    <row r="164" spans="1:10" x14ac:dyDescent="0.3">
      <c r="A164" s="68"/>
      <c r="B164" s="69"/>
      <c r="C164" s="69"/>
      <c r="D164" s="69"/>
      <c r="E164" s="82"/>
      <c r="F164" s="82"/>
      <c r="G164" s="82"/>
      <c r="H164" s="82"/>
      <c r="I164" s="77" t="str">
        <f t="shared" si="2"/>
        <v/>
      </c>
      <c r="J164" s="69"/>
    </row>
    <row r="165" spans="1:10" x14ac:dyDescent="0.3">
      <c r="A165" s="68"/>
      <c r="B165" s="69"/>
      <c r="C165" s="69"/>
      <c r="D165" s="69"/>
      <c r="E165" s="82"/>
      <c r="F165" s="82"/>
      <c r="G165" s="82"/>
      <c r="H165" s="82"/>
      <c r="I165" s="77" t="str">
        <f t="shared" si="2"/>
        <v/>
      </c>
      <c r="J165" s="69"/>
    </row>
    <row r="166" spans="1:10" x14ac:dyDescent="0.3">
      <c r="A166" s="68"/>
      <c r="B166" s="69"/>
      <c r="C166" s="69"/>
      <c r="D166" s="69"/>
      <c r="E166" s="82"/>
      <c r="F166" s="82"/>
      <c r="G166" s="82"/>
      <c r="H166" s="82"/>
      <c r="I166" s="77" t="str">
        <f t="shared" si="2"/>
        <v/>
      </c>
      <c r="J166" s="69"/>
    </row>
    <row r="167" spans="1:10" x14ac:dyDescent="0.3">
      <c r="A167" s="68"/>
      <c r="B167" s="69"/>
      <c r="C167" s="69"/>
      <c r="D167" s="69"/>
      <c r="E167" s="82"/>
      <c r="F167" s="82"/>
      <c r="G167" s="82"/>
      <c r="H167" s="82"/>
      <c r="I167" s="77" t="str">
        <f t="shared" si="2"/>
        <v/>
      </c>
      <c r="J167" s="69"/>
    </row>
    <row r="168" spans="1:10" x14ac:dyDescent="0.3">
      <c r="A168" s="68"/>
      <c r="B168" s="69"/>
      <c r="C168" s="69"/>
      <c r="D168" s="69"/>
      <c r="E168" s="82"/>
      <c r="F168" s="82"/>
      <c r="G168" s="82"/>
      <c r="H168" s="82"/>
      <c r="I168" s="77" t="str">
        <f t="shared" si="2"/>
        <v/>
      </c>
      <c r="J168" s="69"/>
    </row>
    <row r="169" spans="1:10" x14ac:dyDescent="0.3">
      <c r="A169" s="68"/>
      <c r="B169" s="69"/>
      <c r="C169" s="69"/>
      <c r="D169" s="69"/>
      <c r="E169" s="82"/>
      <c r="F169" s="82"/>
      <c r="G169" s="82"/>
      <c r="H169" s="82"/>
      <c r="I169" s="77" t="str">
        <f t="shared" si="2"/>
        <v/>
      </c>
      <c r="J169" s="69"/>
    </row>
    <row r="170" spans="1:10" x14ac:dyDescent="0.3">
      <c r="A170" s="68"/>
      <c r="B170" s="69"/>
      <c r="C170" s="69"/>
      <c r="D170" s="69"/>
      <c r="E170" s="82"/>
      <c r="F170" s="82"/>
      <c r="G170" s="82"/>
      <c r="H170" s="82"/>
      <c r="I170" s="77" t="str">
        <f t="shared" si="2"/>
        <v/>
      </c>
      <c r="J170" s="69"/>
    </row>
    <row r="171" spans="1:10" x14ac:dyDescent="0.3">
      <c r="A171" s="68"/>
      <c r="B171" s="69"/>
      <c r="C171" s="69"/>
      <c r="D171" s="69"/>
      <c r="E171" s="82"/>
      <c r="F171" s="82"/>
      <c r="G171" s="82"/>
      <c r="H171" s="82"/>
      <c r="I171" s="77" t="str">
        <f t="shared" si="2"/>
        <v/>
      </c>
      <c r="J171" s="69"/>
    </row>
    <row r="172" spans="1:10" x14ac:dyDescent="0.3">
      <c r="A172" s="68"/>
      <c r="B172" s="69"/>
      <c r="C172" s="69"/>
      <c r="D172" s="69"/>
      <c r="E172" s="82"/>
      <c r="F172" s="82"/>
      <c r="G172" s="82"/>
      <c r="H172" s="82"/>
      <c r="I172" s="77" t="str">
        <f t="shared" si="2"/>
        <v/>
      </c>
      <c r="J172" s="69"/>
    </row>
    <row r="173" spans="1:10" x14ac:dyDescent="0.3">
      <c r="A173" s="68"/>
      <c r="B173" s="69"/>
      <c r="C173" s="69"/>
      <c r="D173" s="69"/>
      <c r="E173" s="82"/>
      <c r="F173" s="82"/>
      <c r="G173" s="82"/>
      <c r="H173" s="82"/>
      <c r="I173" s="77" t="str">
        <f t="shared" si="2"/>
        <v/>
      </c>
      <c r="J173" s="69"/>
    </row>
    <row r="174" spans="1:10" x14ac:dyDescent="0.3">
      <c r="A174" s="68"/>
      <c r="B174" s="69"/>
      <c r="C174" s="69"/>
      <c r="D174" s="69"/>
      <c r="E174" s="82"/>
      <c r="F174" s="82"/>
      <c r="G174" s="82"/>
      <c r="H174" s="82"/>
      <c r="I174" s="77" t="str">
        <f t="shared" si="2"/>
        <v/>
      </c>
      <c r="J174" s="69"/>
    </row>
    <row r="175" spans="1:10" x14ac:dyDescent="0.3">
      <c r="A175" s="68"/>
      <c r="B175" s="69"/>
      <c r="C175" s="69"/>
      <c r="D175" s="69"/>
      <c r="E175" s="82"/>
      <c r="F175" s="82"/>
      <c r="G175" s="82"/>
      <c r="H175" s="82"/>
      <c r="I175" s="77" t="str">
        <f t="shared" si="2"/>
        <v/>
      </c>
      <c r="J175" s="69"/>
    </row>
    <row r="176" spans="1:10" x14ac:dyDescent="0.3">
      <c r="A176" s="68"/>
      <c r="B176" s="69"/>
      <c r="C176" s="69"/>
      <c r="D176" s="69"/>
      <c r="E176" s="82"/>
      <c r="F176" s="82"/>
      <c r="G176" s="82"/>
      <c r="H176" s="82"/>
      <c r="I176" s="77" t="str">
        <f t="shared" si="2"/>
        <v/>
      </c>
      <c r="J176" s="69"/>
    </row>
    <row r="177" spans="1:10" x14ac:dyDescent="0.3">
      <c r="A177" s="68"/>
      <c r="B177" s="69"/>
      <c r="C177" s="69"/>
      <c r="D177" s="69"/>
      <c r="E177" s="82"/>
      <c r="F177" s="82"/>
      <c r="G177" s="82"/>
      <c r="H177" s="82"/>
      <c r="I177" s="77" t="str">
        <f t="shared" si="2"/>
        <v/>
      </c>
      <c r="J177" s="69"/>
    </row>
    <row r="178" spans="1:10" x14ac:dyDescent="0.3">
      <c r="A178" s="68"/>
      <c r="B178" s="69"/>
      <c r="C178" s="69"/>
      <c r="D178" s="69"/>
      <c r="E178" s="82"/>
      <c r="F178" s="82"/>
      <c r="G178" s="82"/>
      <c r="H178" s="82"/>
      <c r="I178" s="77" t="str">
        <f t="shared" si="2"/>
        <v/>
      </c>
      <c r="J178" s="69"/>
    </row>
    <row r="179" spans="1:10" x14ac:dyDescent="0.3">
      <c r="A179" s="68"/>
      <c r="B179" s="69"/>
      <c r="C179" s="69"/>
      <c r="D179" s="69"/>
      <c r="E179" s="82"/>
      <c r="F179" s="82"/>
      <c r="G179" s="82"/>
      <c r="H179" s="82"/>
      <c r="I179" s="77" t="str">
        <f t="shared" si="2"/>
        <v/>
      </c>
      <c r="J179" s="69"/>
    </row>
    <row r="180" spans="1:10" x14ac:dyDescent="0.3">
      <c r="A180" s="68"/>
      <c r="B180" s="69"/>
      <c r="C180" s="69"/>
      <c r="D180" s="69"/>
      <c r="E180" s="82"/>
      <c r="F180" s="82"/>
      <c r="G180" s="82"/>
      <c r="H180" s="82"/>
      <c r="I180" s="77" t="str">
        <f t="shared" si="2"/>
        <v/>
      </c>
      <c r="J180" s="69"/>
    </row>
    <row r="181" spans="1:10" x14ac:dyDescent="0.3">
      <c r="A181" s="68"/>
      <c r="B181" s="69"/>
      <c r="C181" s="69"/>
      <c r="D181" s="69"/>
      <c r="E181" s="82"/>
      <c r="F181" s="82"/>
      <c r="G181" s="82"/>
      <c r="H181" s="82"/>
      <c r="I181" s="77" t="str">
        <f t="shared" si="2"/>
        <v/>
      </c>
      <c r="J181" s="69"/>
    </row>
    <row r="182" spans="1:10" x14ac:dyDescent="0.3">
      <c r="A182" s="68"/>
      <c r="B182" s="69"/>
      <c r="C182" s="69"/>
      <c r="D182" s="69"/>
      <c r="E182" s="82"/>
      <c r="F182" s="82"/>
      <c r="G182" s="82"/>
      <c r="H182" s="82"/>
      <c r="I182" s="77" t="str">
        <f t="shared" si="2"/>
        <v/>
      </c>
      <c r="J182" s="69"/>
    </row>
    <row r="183" spans="1:10" x14ac:dyDescent="0.3">
      <c r="A183" s="68"/>
      <c r="B183" s="69"/>
      <c r="C183" s="69"/>
      <c r="D183" s="69"/>
      <c r="E183" s="82"/>
      <c r="F183" s="82"/>
      <c r="G183" s="82"/>
      <c r="H183" s="82"/>
      <c r="I183" s="77" t="str">
        <f t="shared" si="2"/>
        <v/>
      </c>
      <c r="J183" s="69"/>
    </row>
    <row r="184" spans="1:10" x14ac:dyDescent="0.3">
      <c r="A184" s="68"/>
      <c r="B184" s="69"/>
      <c r="C184" s="69"/>
      <c r="D184" s="69"/>
      <c r="E184" s="82"/>
      <c r="F184" s="82"/>
      <c r="G184" s="82"/>
      <c r="H184" s="82"/>
      <c r="I184" s="77" t="str">
        <f t="shared" si="2"/>
        <v/>
      </c>
      <c r="J184" s="69"/>
    </row>
    <row r="185" spans="1:10" x14ac:dyDescent="0.3">
      <c r="A185" s="68"/>
      <c r="B185" s="69"/>
      <c r="C185" s="69"/>
      <c r="D185" s="69"/>
      <c r="E185" s="82"/>
      <c r="F185" s="82"/>
      <c r="G185" s="82"/>
      <c r="H185" s="82"/>
      <c r="I185" s="77" t="str">
        <f t="shared" si="2"/>
        <v/>
      </c>
      <c r="J185" s="69"/>
    </row>
    <row r="186" spans="1:10" x14ac:dyDescent="0.3">
      <c r="A186" s="68"/>
      <c r="B186" s="69"/>
      <c r="C186" s="69"/>
      <c r="D186" s="69"/>
      <c r="E186" s="82"/>
      <c r="F186" s="82"/>
      <c r="G186" s="82"/>
      <c r="H186" s="82"/>
      <c r="I186" s="77" t="str">
        <f t="shared" si="2"/>
        <v/>
      </c>
      <c r="J186" s="69"/>
    </row>
    <row r="187" spans="1:10" x14ac:dyDescent="0.3">
      <c r="A187" s="68"/>
      <c r="B187" s="69"/>
      <c r="C187" s="69"/>
      <c r="D187" s="69"/>
      <c r="E187" s="82"/>
      <c r="F187" s="82"/>
      <c r="G187" s="82"/>
      <c r="H187" s="82"/>
      <c r="I187" s="77" t="str">
        <f t="shared" si="2"/>
        <v/>
      </c>
      <c r="J187" s="69"/>
    </row>
    <row r="188" spans="1:10" x14ac:dyDescent="0.3">
      <c r="A188" s="68"/>
      <c r="B188" s="69"/>
      <c r="C188" s="69"/>
      <c r="D188" s="69"/>
      <c r="E188" s="82"/>
      <c r="F188" s="82"/>
      <c r="G188" s="82"/>
      <c r="H188" s="82"/>
      <c r="I188" s="77" t="str">
        <f t="shared" si="2"/>
        <v/>
      </c>
      <c r="J188" s="69"/>
    </row>
    <row r="189" spans="1:10" x14ac:dyDescent="0.3">
      <c r="A189" s="68"/>
      <c r="B189" s="69"/>
      <c r="C189" s="69"/>
      <c r="D189" s="69"/>
      <c r="E189" s="82"/>
      <c r="F189" s="82"/>
      <c r="G189" s="82"/>
      <c r="H189" s="82"/>
      <c r="I189" s="77" t="str">
        <f t="shared" si="2"/>
        <v/>
      </c>
      <c r="J189" s="69"/>
    </row>
    <row r="190" spans="1:10" x14ac:dyDescent="0.3">
      <c r="A190" s="68"/>
      <c r="B190" s="69"/>
      <c r="C190" s="69"/>
      <c r="D190" s="69"/>
      <c r="E190" s="82"/>
      <c r="F190" s="82"/>
      <c r="G190" s="82"/>
      <c r="H190" s="82"/>
      <c r="I190" s="77" t="str">
        <f t="shared" si="2"/>
        <v/>
      </c>
      <c r="J190" s="69"/>
    </row>
    <row r="191" spans="1:10" x14ac:dyDescent="0.3">
      <c r="A191" s="68"/>
      <c r="B191" s="69"/>
      <c r="C191" s="69"/>
      <c r="D191" s="69"/>
      <c r="E191" s="82"/>
      <c r="F191" s="82"/>
      <c r="G191" s="82"/>
      <c r="H191" s="82"/>
      <c r="I191" s="77" t="str">
        <f t="shared" si="2"/>
        <v/>
      </c>
      <c r="J191" s="69"/>
    </row>
    <row r="192" spans="1:10" x14ac:dyDescent="0.3">
      <c r="A192" s="68"/>
      <c r="B192" s="69"/>
      <c r="C192" s="69"/>
      <c r="D192" s="69"/>
      <c r="E192" s="82"/>
      <c r="F192" s="82"/>
      <c r="G192" s="82"/>
      <c r="H192" s="82"/>
      <c r="I192" s="77" t="str">
        <f t="shared" si="2"/>
        <v/>
      </c>
      <c r="J192" s="69"/>
    </row>
    <row r="193" spans="1:10" x14ac:dyDescent="0.3">
      <c r="A193" s="68"/>
      <c r="B193" s="69"/>
      <c r="C193" s="69"/>
      <c r="D193" s="69"/>
      <c r="E193" s="82"/>
      <c r="F193" s="82"/>
      <c r="G193" s="82"/>
      <c r="H193" s="82"/>
      <c r="I193" s="77" t="str">
        <f t="shared" si="2"/>
        <v/>
      </c>
      <c r="J193" s="69"/>
    </row>
    <row r="194" spans="1:10" x14ac:dyDescent="0.3">
      <c r="A194" s="68"/>
      <c r="B194" s="69"/>
      <c r="C194" s="69"/>
      <c r="D194" s="69"/>
      <c r="E194" s="82"/>
      <c r="F194" s="82"/>
      <c r="G194" s="82"/>
      <c r="H194" s="82"/>
      <c r="I194" s="77" t="str">
        <f t="shared" si="2"/>
        <v/>
      </c>
      <c r="J194" s="69"/>
    </row>
    <row r="195" spans="1:10" x14ac:dyDescent="0.3">
      <c r="A195" s="68"/>
      <c r="B195" s="69"/>
      <c r="C195" s="69"/>
      <c r="D195" s="69"/>
      <c r="E195" s="82"/>
      <c r="F195" s="82"/>
      <c r="G195" s="82"/>
      <c r="H195" s="82"/>
      <c r="I195" s="77" t="str">
        <f t="shared" si="2"/>
        <v/>
      </c>
      <c r="J195" s="69"/>
    </row>
    <row r="196" spans="1:10" x14ac:dyDescent="0.3">
      <c r="A196" s="68"/>
      <c r="B196" s="69"/>
      <c r="C196" s="69"/>
      <c r="D196" s="69"/>
      <c r="E196" s="82"/>
      <c r="F196" s="82"/>
      <c r="G196" s="82"/>
      <c r="H196" s="82"/>
      <c r="I196" s="77" t="str">
        <f t="shared" si="2"/>
        <v/>
      </c>
      <c r="J196" s="69"/>
    </row>
    <row r="197" spans="1:10" x14ac:dyDescent="0.3">
      <c r="A197" s="68"/>
      <c r="B197" s="69"/>
      <c r="C197" s="69"/>
      <c r="D197" s="69"/>
      <c r="E197" s="82"/>
      <c r="F197" s="82"/>
      <c r="G197" s="82"/>
      <c r="H197" s="82"/>
      <c r="I197" s="77" t="str">
        <f t="shared" ref="I197:I260" si="3">IF(COUNT(E197:H197)=0,"",AVERAGE(E197:H197))</f>
        <v/>
      </c>
      <c r="J197" s="69"/>
    </row>
    <row r="198" spans="1:10" x14ac:dyDescent="0.3">
      <c r="A198" s="68"/>
      <c r="B198" s="69"/>
      <c r="C198" s="69"/>
      <c r="D198" s="69"/>
      <c r="E198" s="82"/>
      <c r="F198" s="82"/>
      <c r="G198" s="82"/>
      <c r="H198" s="82"/>
      <c r="I198" s="77" t="str">
        <f t="shared" si="3"/>
        <v/>
      </c>
      <c r="J198" s="69"/>
    </row>
    <row r="199" spans="1:10" x14ac:dyDescent="0.3">
      <c r="A199" s="68"/>
      <c r="B199" s="69"/>
      <c r="C199" s="69"/>
      <c r="D199" s="69"/>
      <c r="E199" s="82"/>
      <c r="F199" s="82"/>
      <c r="G199" s="82"/>
      <c r="H199" s="82"/>
      <c r="I199" s="77" t="str">
        <f t="shared" si="3"/>
        <v/>
      </c>
      <c r="J199" s="69"/>
    </row>
    <row r="200" spans="1:10" x14ac:dyDescent="0.3">
      <c r="A200" s="68"/>
      <c r="B200" s="69"/>
      <c r="C200" s="69"/>
      <c r="D200" s="69"/>
      <c r="E200" s="82"/>
      <c r="F200" s="82"/>
      <c r="G200" s="82"/>
      <c r="H200" s="82"/>
      <c r="I200" s="77" t="str">
        <f t="shared" si="3"/>
        <v/>
      </c>
      <c r="J200" s="69"/>
    </row>
    <row r="201" spans="1:10" x14ac:dyDescent="0.3">
      <c r="A201" s="68"/>
      <c r="B201" s="69"/>
      <c r="C201" s="69"/>
      <c r="D201" s="69"/>
      <c r="E201" s="82"/>
      <c r="F201" s="82"/>
      <c r="G201" s="82"/>
      <c r="H201" s="82"/>
      <c r="I201" s="77" t="str">
        <f t="shared" si="3"/>
        <v/>
      </c>
      <c r="J201" s="69"/>
    </row>
    <row r="202" spans="1:10" x14ac:dyDescent="0.3">
      <c r="A202" s="68"/>
      <c r="B202" s="69"/>
      <c r="C202" s="69"/>
      <c r="D202" s="69"/>
      <c r="E202" s="82"/>
      <c r="F202" s="82"/>
      <c r="G202" s="82"/>
      <c r="H202" s="82"/>
      <c r="I202" s="77" t="str">
        <f t="shared" si="3"/>
        <v/>
      </c>
      <c r="J202" s="69"/>
    </row>
    <row r="203" spans="1:10" x14ac:dyDescent="0.3">
      <c r="A203" s="68"/>
      <c r="B203" s="69"/>
      <c r="C203" s="69"/>
      <c r="D203" s="69"/>
      <c r="E203" s="82"/>
      <c r="F203" s="82"/>
      <c r="G203" s="82"/>
      <c r="H203" s="82"/>
      <c r="I203" s="77" t="str">
        <f t="shared" si="3"/>
        <v/>
      </c>
      <c r="J203" s="69"/>
    </row>
    <row r="204" spans="1:10" x14ac:dyDescent="0.3">
      <c r="A204" s="68"/>
      <c r="B204" s="69"/>
      <c r="C204" s="69"/>
      <c r="D204" s="69"/>
      <c r="E204" s="82"/>
      <c r="F204" s="82"/>
      <c r="G204" s="82"/>
      <c r="H204" s="82"/>
      <c r="I204" s="77" t="str">
        <f t="shared" si="3"/>
        <v/>
      </c>
      <c r="J204" s="69"/>
    </row>
    <row r="205" spans="1:10" x14ac:dyDescent="0.3">
      <c r="A205" s="68"/>
      <c r="B205" s="69"/>
      <c r="C205" s="69"/>
      <c r="D205" s="69"/>
      <c r="E205" s="82"/>
      <c r="F205" s="82"/>
      <c r="G205" s="82"/>
      <c r="H205" s="82"/>
      <c r="I205" s="77" t="str">
        <f t="shared" si="3"/>
        <v/>
      </c>
      <c r="J205" s="69"/>
    </row>
    <row r="206" spans="1:10" x14ac:dyDescent="0.3">
      <c r="A206" s="68"/>
      <c r="B206" s="69"/>
      <c r="C206" s="69"/>
      <c r="D206" s="69"/>
      <c r="E206" s="82"/>
      <c r="F206" s="82"/>
      <c r="G206" s="82"/>
      <c r="H206" s="82"/>
      <c r="I206" s="77" t="str">
        <f t="shared" si="3"/>
        <v/>
      </c>
      <c r="J206" s="69"/>
    </row>
    <row r="207" spans="1:10" x14ac:dyDescent="0.3">
      <c r="A207" s="68"/>
      <c r="B207" s="69"/>
      <c r="C207" s="69"/>
      <c r="D207" s="69"/>
      <c r="E207" s="82"/>
      <c r="F207" s="82"/>
      <c r="G207" s="82"/>
      <c r="H207" s="82"/>
      <c r="I207" s="77" t="str">
        <f t="shared" si="3"/>
        <v/>
      </c>
      <c r="J207" s="69"/>
    </row>
    <row r="208" spans="1:10" x14ac:dyDescent="0.3">
      <c r="A208" s="68"/>
      <c r="B208" s="69"/>
      <c r="C208" s="69"/>
      <c r="D208" s="69"/>
      <c r="E208" s="82"/>
      <c r="F208" s="82"/>
      <c r="G208" s="82"/>
      <c r="H208" s="82"/>
      <c r="I208" s="77" t="str">
        <f t="shared" si="3"/>
        <v/>
      </c>
      <c r="J208" s="69"/>
    </row>
    <row r="209" spans="1:10" x14ac:dyDescent="0.3">
      <c r="A209" s="68"/>
      <c r="B209" s="69"/>
      <c r="C209" s="69"/>
      <c r="D209" s="69"/>
      <c r="E209" s="82"/>
      <c r="F209" s="82"/>
      <c r="G209" s="82"/>
      <c r="H209" s="82"/>
      <c r="I209" s="77" t="str">
        <f t="shared" si="3"/>
        <v/>
      </c>
      <c r="J209" s="69"/>
    </row>
    <row r="210" spans="1:10" x14ac:dyDescent="0.3">
      <c r="A210" s="68"/>
      <c r="B210" s="69"/>
      <c r="C210" s="69"/>
      <c r="D210" s="69"/>
      <c r="E210" s="82"/>
      <c r="F210" s="82"/>
      <c r="G210" s="82"/>
      <c r="H210" s="82"/>
      <c r="I210" s="77" t="str">
        <f t="shared" si="3"/>
        <v/>
      </c>
      <c r="J210" s="69"/>
    </row>
    <row r="211" spans="1:10" x14ac:dyDescent="0.3">
      <c r="A211" s="68"/>
      <c r="B211" s="69"/>
      <c r="C211" s="69"/>
      <c r="D211" s="69"/>
      <c r="E211" s="82"/>
      <c r="F211" s="82"/>
      <c r="G211" s="82"/>
      <c r="H211" s="82"/>
      <c r="I211" s="77" t="str">
        <f t="shared" si="3"/>
        <v/>
      </c>
      <c r="J211" s="69"/>
    </row>
    <row r="212" spans="1:10" x14ac:dyDescent="0.3">
      <c r="A212" s="68"/>
      <c r="B212" s="69"/>
      <c r="C212" s="69"/>
      <c r="D212" s="69"/>
      <c r="E212" s="82"/>
      <c r="F212" s="82"/>
      <c r="G212" s="82"/>
      <c r="H212" s="82"/>
      <c r="I212" s="77" t="str">
        <f t="shared" si="3"/>
        <v/>
      </c>
      <c r="J212" s="69"/>
    </row>
    <row r="213" spans="1:10" x14ac:dyDescent="0.3">
      <c r="A213" s="68"/>
      <c r="B213" s="69"/>
      <c r="C213" s="69"/>
      <c r="D213" s="69"/>
      <c r="E213" s="82"/>
      <c r="F213" s="82"/>
      <c r="G213" s="82"/>
      <c r="H213" s="82"/>
      <c r="I213" s="77" t="str">
        <f t="shared" si="3"/>
        <v/>
      </c>
      <c r="J213" s="69"/>
    </row>
    <row r="214" spans="1:10" x14ac:dyDescent="0.3">
      <c r="A214" s="68"/>
      <c r="B214" s="69"/>
      <c r="C214" s="69"/>
      <c r="D214" s="69"/>
      <c r="E214" s="82"/>
      <c r="F214" s="82"/>
      <c r="G214" s="82"/>
      <c r="H214" s="82"/>
      <c r="I214" s="77" t="str">
        <f t="shared" si="3"/>
        <v/>
      </c>
      <c r="J214" s="69"/>
    </row>
    <row r="215" spans="1:10" x14ac:dyDescent="0.3">
      <c r="A215" s="68"/>
      <c r="B215" s="69"/>
      <c r="C215" s="69"/>
      <c r="D215" s="69"/>
      <c r="E215" s="82"/>
      <c r="F215" s="82"/>
      <c r="G215" s="82"/>
      <c r="H215" s="82"/>
      <c r="I215" s="77" t="str">
        <f t="shared" si="3"/>
        <v/>
      </c>
      <c r="J215" s="69"/>
    </row>
    <row r="216" spans="1:10" x14ac:dyDescent="0.3">
      <c r="A216" s="68"/>
      <c r="B216" s="69"/>
      <c r="C216" s="69"/>
      <c r="D216" s="69"/>
      <c r="E216" s="82"/>
      <c r="F216" s="82"/>
      <c r="G216" s="82"/>
      <c r="H216" s="82"/>
      <c r="I216" s="77" t="str">
        <f t="shared" si="3"/>
        <v/>
      </c>
      <c r="J216" s="69"/>
    </row>
    <row r="217" spans="1:10" x14ac:dyDescent="0.3">
      <c r="A217" s="68"/>
      <c r="B217" s="69"/>
      <c r="C217" s="69"/>
      <c r="D217" s="69"/>
      <c r="E217" s="82"/>
      <c r="F217" s="82"/>
      <c r="G217" s="82"/>
      <c r="H217" s="82"/>
      <c r="I217" s="77" t="str">
        <f t="shared" si="3"/>
        <v/>
      </c>
      <c r="J217" s="69"/>
    </row>
    <row r="218" spans="1:10" x14ac:dyDescent="0.3">
      <c r="A218" s="68"/>
      <c r="B218" s="69"/>
      <c r="C218" s="69"/>
      <c r="D218" s="69"/>
      <c r="E218" s="82"/>
      <c r="F218" s="82"/>
      <c r="G218" s="82"/>
      <c r="H218" s="82"/>
      <c r="I218" s="77" t="str">
        <f t="shared" si="3"/>
        <v/>
      </c>
      <c r="J218" s="69"/>
    </row>
    <row r="219" spans="1:10" x14ac:dyDescent="0.3">
      <c r="A219" s="68"/>
      <c r="B219" s="69"/>
      <c r="C219" s="69"/>
      <c r="D219" s="69"/>
      <c r="E219" s="82"/>
      <c r="F219" s="82"/>
      <c r="G219" s="82"/>
      <c r="H219" s="82"/>
      <c r="I219" s="77" t="str">
        <f t="shared" si="3"/>
        <v/>
      </c>
      <c r="J219" s="69"/>
    </row>
    <row r="220" spans="1:10" x14ac:dyDescent="0.3">
      <c r="A220" s="68"/>
      <c r="B220" s="69"/>
      <c r="C220" s="69"/>
      <c r="D220" s="69"/>
      <c r="E220" s="82"/>
      <c r="F220" s="82"/>
      <c r="G220" s="82"/>
      <c r="H220" s="82"/>
      <c r="I220" s="77" t="str">
        <f t="shared" si="3"/>
        <v/>
      </c>
      <c r="J220" s="69"/>
    </row>
    <row r="221" spans="1:10" x14ac:dyDescent="0.3">
      <c r="A221" s="68"/>
      <c r="B221" s="69"/>
      <c r="C221" s="69"/>
      <c r="D221" s="69"/>
      <c r="E221" s="82"/>
      <c r="F221" s="82"/>
      <c r="G221" s="82"/>
      <c r="H221" s="82"/>
      <c r="I221" s="77" t="str">
        <f t="shared" si="3"/>
        <v/>
      </c>
      <c r="J221" s="69"/>
    </row>
    <row r="222" spans="1:10" x14ac:dyDescent="0.3">
      <c r="A222" s="68"/>
      <c r="B222" s="69"/>
      <c r="C222" s="69"/>
      <c r="D222" s="69"/>
      <c r="E222" s="82"/>
      <c r="F222" s="82"/>
      <c r="G222" s="82"/>
      <c r="H222" s="82"/>
      <c r="I222" s="77" t="str">
        <f t="shared" si="3"/>
        <v/>
      </c>
      <c r="J222" s="69"/>
    </row>
    <row r="223" spans="1:10" x14ac:dyDescent="0.3">
      <c r="A223" s="68"/>
      <c r="B223" s="69"/>
      <c r="C223" s="69"/>
      <c r="D223" s="69"/>
      <c r="E223" s="82"/>
      <c r="F223" s="82"/>
      <c r="G223" s="82"/>
      <c r="H223" s="82"/>
      <c r="I223" s="77" t="str">
        <f t="shared" si="3"/>
        <v/>
      </c>
      <c r="J223" s="69"/>
    </row>
    <row r="224" spans="1:10" x14ac:dyDescent="0.3">
      <c r="A224" s="68"/>
      <c r="B224" s="69"/>
      <c r="C224" s="69"/>
      <c r="D224" s="69"/>
      <c r="E224" s="82"/>
      <c r="F224" s="82"/>
      <c r="G224" s="82"/>
      <c r="H224" s="82"/>
      <c r="I224" s="77" t="str">
        <f t="shared" si="3"/>
        <v/>
      </c>
      <c r="J224" s="69"/>
    </row>
    <row r="225" spans="1:10" x14ac:dyDescent="0.3">
      <c r="A225" s="68"/>
      <c r="B225" s="69"/>
      <c r="C225" s="69"/>
      <c r="D225" s="69"/>
      <c r="E225" s="82"/>
      <c r="F225" s="82"/>
      <c r="G225" s="82"/>
      <c r="H225" s="82"/>
      <c r="I225" s="77" t="str">
        <f t="shared" si="3"/>
        <v/>
      </c>
      <c r="J225" s="69"/>
    </row>
    <row r="226" spans="1:10" x14ac:dyDescent="0.3">
      <c r="A226" s="68"/>
      <c r="B226" s="69"/>
      <c r="C226" s="69"/>
      <c r="D226" s="69"/>
      <c r="E226" s="82"/>
      <c r="F226" s="82"/>
      <c r="G226" s="82"/>
      <c r="H226" s="82"/>
      <c r="I226" s="77" t="str">
        <f t="shared" si="3"/>
        <v/>
      </c>
      <c r="J226" s="69"/>
    </row>
    <row r="227" spans="1:10" x14ac:dyDescent="0.3">
      <c r="A227" s="68"/>
      <c r="B227" s="69"/>
      <c r="C227" s="69"/>
      <c r="D227" s="69"/>
      <c r="E227" s="82"/>
      <c r="F227" s="82"/>
      <c r="G227" s="82"/>
      <c r="H227" s="82"/>
      <c r="I227" s="77" t="str">
        <f t="shared" si="3"/>
        <v/>
      </c>
      <c r="J227" s="69"/>
    </row>
    <row r="228" spans="1:10" x14ac:dyDescent="0.3">
      <c r="A228" s="68"/>
      <c r="B228" s="69"/>
      <c r="C228" s="69"/>
      <c r="D228" s="69"/>
      <c r="E228" s="82"/>
      <c r="F228" s="82"/>
      <c r="G228" s="82"/>
      <c r="H228" s="82"/>
      <c r="I228" s="77" t="str">
        <f t="shared" si="3"/>
        <v/>
      </c>
      <c r="J228" s="69"/>
    </row>
    <row r="229" spans="1:10" x14ac:dyDescent="0.3">
      <c r="A229" s="68"/>
      <c r="B229" s="69"/>
      <c r="C229" s="69"/>
      <c r="D229" s="69"/>
      <c r="E229" s="82"/>
      <c r="F229" s="82"/>
      <c r="G229" s="82"/>
      <c r="H229" s="82"/>
      <c r="I229" s="77" t="str">
        <f t="shared" si="3"/>
        <v/>
      </c>
      <c r="J229" s="69"/>
    </row>
    <row r="230" spans="1:10" x14ac:dyDescent="0.3">
      <c r="A230" s="68"/>
      <c r="B230" s="69"/>
      <c r="C230" s="69"/>
      <c r="D230" s="69"/>
      <c r="E230" s="82"/>
      <c r="F230" s="82"/>
      <c r="G230" s="82"/>
      <c r="H230" s="82"/>
      <c r="I230" s="77" t="str">
        <f t="shared" si="3"/>
        <v/>
      </c>
      <c r="J230" s="69"/>
    </row>
    <row r="231" spans="1:10" x14ac:dyDescent="0.3">
      <c r="A231" s="68"/>
      <c r="B231" s="69"/>
      <c r="C231" s="69"/>
      <c r="D231" s="69"/>
      <c r="E231" s="82"/>
      <c r="F231" s="82"/>
      <c r="G231" s="82"/>
      <c r="H231" s="82"/>
      <c r="I231" s="77" t="str">
        <f t="shared" si="3"/>
        <v/>
      </c>
      <c r="J231" s="69"/>
    </row>
    <row r="232" spans="1:10" x14ac:dyDescent="0.3">
      <c r="A232" s="68"/>
      <c r="B232" s="69"/>
      <c r="C232" s="69"/>
      <c r="D232" s="69"/>
      <c r="E232" s="82"/>
      <c r="F232" s="82"/>
      <c r="G232" s="82"/>
      <c r="H232" s="82"/>
      <c r="I232" s="77" t="str">
        <f t="shared" si="3"/>
        <v/>
      </c>
      <c r="J232" s="69"/>
    </row>
    <row r="233" spans="1:10" x14ac:dyDescent="0.3">
      <c r="A233" s="68"/>
      <c r="B233" s="69"/>
      <c r="C233" s="69"/>
      <c r="D233" s="69"/>
      <c r="E233" s="82"/>
      <c r="F233" s="82"/>
      <c r="G233" s="82"/>
      <c r="H233" s="82"/>
      <c r="I233" s="77" t="str">
        <f t="shared" si="3"/>
        <v/>
      </c>
      <c r="J233" s="69"/>
    </row>
    <row r="234" spans="1:10" x14ac:dyDescent="0.3">
      <c r="A234" s="68"/>
      <c r="B234" s="69"/>
      <c r="C234" s="69"/>
      <c r="D234" s="69"/>
      <c r="E234" s="82"/>
      <c r="F234" s="82"/>
      <c r="G234" s="82"/>
      <c r="H234" s="82"/>
      <c r="I234" s="77" t="str">
        <f t="shared" si="3"/>
        <v/>
      </c>
      <c r="J234" s="69"/>
    </row>
    <row r="235" spans="1:10" x14ac:dyDescent="0.3">
      <c r="A235" s="68"/>
      <c r="B235" s="69"/>
      <c r="C235" s="69"/>
      <c r="D235" s="69"/>
      <c r="E235" s="82"/>
      <c r="F235" s="82"/>
      <c r="G235" s="82"/>
      <c r="H235" s="82"/>
      <c r="I235" s="77" t="str">
        <f t="shared" si="3"/>
        <v/>
      </c>
      <c r="J235" s="69"/>
    </row>
    <row r="236" spans="1:10" x14ac:dyDescent="0.3">
      <c r="A236" s="68"/>
      <c r="B236" s="69"/>
      <c r="C236" s="69"/>
      <c r="D236" s="69"/>
      <c r="E236" s="82"/>
      <c r="F236" s="82"/>
      <c r="G236" s="82"/>
      <c r="H236" s="82"/>
      <c r="I236" s="77" t="str">
        <f t="shared" si="3"/>
        <v/>
      </c>
      <c r="J236" s="69"/>
    </row>
    <row r="237" spans="1:10" x14ac:dyDescent="0.3">
      <c r="A237" s="68"/>
      <c r="B237" s="69"/>
      <c r="C237" s="69"/>
      <c r="D237" s="69"/>
      <c r="E237" s="82"/>
      <c r="F237" s="82"/>
      <c r="G237" s="82"/>
      <c r="H237" s="82"/>
      <c r="I237" s="77" t="str">
        <f t="shared" si="3"/>
        <v/>
      </c>
      <c r="J237" s="69"/>
    </row>
    <row r="238" spans="1:10" x14ac:dyDescent="0.3">
      <c r="A238" s="68"/>
      <c r="B238" s="69"/>
      <c r="C238" s="69"/>
      <c r="D238" s="69"/>
      <c r="E238" s="82"/>
      <c r="F238" s="82"/>
      <c r="G238" s="82"/>
      <c r="H238" s="82"/>
      <c r="I238" s="77" t="str">
        <f t="shared" si="3"/>
        <v/>
      </c>
      <c r="J238" s="69"/>
    </row>
    <row r="239" spans="1:10" x14ac:dyDescent="0.3">
      <c r="A239" s="68"/>
      <c r="B239" s="69"/>
      <c r="C239" s="69"/>
      <c r="D239" s="69"/>
      <c r="E239" s="82"/>
      <c r="F239" s="82"/>
      <c r="G239" s="82"/>
      <c r="H239" s="82"/>
      <c r="I239" s="77" t="str">
        <f t="shared" si="3"/>
        <v/>
      </c>
      <c r="J239" s="69"/>
    </row>
    <row r="240" spans="1:10" x14ac:dyDescent="0.3">
      <c r="A240" s="68"/>
      <c r="B240" s="69"/>
      <c r="C240" s="69"/>
      <c r="D240" s="69"/>
      <c r="E240" s="82"/>
      <c r="F240" s="82"/>
      <c r="G240" s="82"/>
      <c r="H240" s="82"/>
      <c r="I240" s="77" t="str">
        <f t="shared" si="3"/>
        <v/>
      </c>
      <c r="J240" s="69"/>
    </row>
    <row r="241" spans="1:10" x14ac:dyDescent="0.3">
      <c r="A241" s="68"/>
      <c r="B241" s="69"/>
      <c r="C241" s="69"/>
      <c r="D241" s="69"/>
      <c r="E241" s="82"/>
      <c r="F241" s="82"/>
      <c r="G241" s="82"/>
      <c r="H241" s="82"/>
      <c r="I241" s="77" t="str">
        <f t="shared" si="3"/>
        <v/>
      </c>
      <c r="J241" s="69"/>
    </row>
    <row r="242" spans="1:10" x14ac:dyDescent="0.3">
      <c r="A242" s="68"/>
      <c r="B242" s="69"/>
      <c r="C242" s="69"/>
      <c r="D242" s="69"/>
      <c r="E242" s="82"/>
      <c r="F242" s="82"/>
      <c r="G242" s="82"/>
      <c r="H242" s="82"/>
      <c r="I242" s="77" t="str">
        <f t="shared" si="3"/>
        <v/>
      </c>
      <c r="J242" s="69"/>
    </row>
    <row r="243" spans="1:10" x14ac:dyDescent="0.3">
      <c r="A243" s="68"/>
      <c r="B243" s="69"/>
      <c r="C243" s="69"/>
      <c r="D243" s="69"/>
      <c r="E243" s="82"/>
      <c r="F243" s="82"/>
      <c r="G243" s="82"/>
      <c r="H243" s="82"/>
      <c r="I243" s="77" t="str">
        <f t="shared" si="3"/>
        <v/>
      </c>
      <c r="J243" s="69"/>
    </row>
    <row r="244" spans="1:10" x14ac:dyDescent="0.3">
      <c r="A244" s="68"/>
      <c r="B244" s="69"/>
      <c r="C244" s="69"/>
      <c r="D244" s="69"/>
      <c r="E244" s="82"/>
      <c r="F244" s="82"/>
      <c r="G244" s="82"/>
      <c r="H244" s="82"/>
      <c r="I244" s="77" t="str">
        <f t="shared" si="3"/>
        <v/>
      </c>
      <c r="J244" s="69"/>
    </row>
    <row r="245" spans="1:10" x14ac:dyDescent="0.3">
      <c r="A245" s="68"/>
      <c r="B245" s="69"/>
      <c r="C245" s="69"/>
      <c r="D245" s="69"/>
      <c r="E245" s="82"/>
      <c r="F245" s="82"/>
      <c r="G245" s="82"/>
      <c r="H245" s="82"/>
      <c r="I245" s="77" t="str">
        <f t="shared" si="3"/>
        <v/>
      </c>
      <c r="J245" s="69"/>
    </row>
    <row r="246" spans="1:10" x14ac:dyDescent="0.3">
      <c r="A246" s="68"/>
      <c r="B246" s="69"/>
      <c r="C246" s="69"/>
      <c r="D246" s="69"/>
      <c r="E246" s="82"/>
      <c r="F246" s="82"/>
      <c r="G246" s="82"/>
      <c r="H246" s="82"/>
      <c r="I246" s="77" t="str">
        <f t="shared" si="3"/>
        <v/>
      </c>
      <c r="J246" s="69"/>
    </row>
    <row r="247" spans="1:10" x14ac:dyDescent="0.3">
      <c r="A247" s="68"/>
      <c r="B247" s="69"/>
      <c r="C247" s="69"/>
      <c r="D247" s="69"/>
      <c r="E247" s="82"/>
      <c r="F247" s="82"/>
      <c r="G247" s="82"/>
      <c r="H247" s="82"/>
      <c r="I247" s="77" t="str">
        <f t="shared" si="3"/>
        <v/>
      </c>
      <c r="J247" s="69"/>
    </row>
    <row r="248" spans="1:10" x14ac:dyDescent="0.3">
      <c r="A248" s="68"/>
      <c r="B248" s="69"/>
      <c r="C248" s="69"/>
      <c r="D248" s="69"/>
      <c r="E248" s="82"/>
      <c r="F248" s="82"/>
      <c r="G248" s="82"/>
      <c r="H248" s="82"/>
      <c r="I248" s="77" t="str">
        <f t="shared" si="3"/>
        <v/>
      </c>
      <c r="J248" s="69"/>
    </row>
    <row r="249" spans="1:10" x14ac:dyDescent="0.3">
      <c r="A249" s="68"/>
      <c r="B249" s="69"/>
      <c r="C249" s="69"/>
      <c r="D249" s="69"/>
      <c r="E249" s="82"/>
      <c r="F249" s="82"/>
      <c r="G249" s="82"/>
      <c r="H249" s="82"/>
      <c r="I249" s="77" t="str">
        <f t="shared" si="3"/>
        <v/>
      </c>
      <c r="J249" s="69"/>
    </row>
    <row r="250" spans="1:10" x14ac:dyDescent="0.3">
      <c r="A250" s="68"/>
      <c r="B250" s="69"/>
      <c r="C250" s="69"/>
      <c r="D250" s="69"/>
      <c r="E250" s="82"/>
      <c r="F250" s="82"/>
      <c r="G250" s="82"/>
      <c r="H250" s="82"/>
      <c r="I250" s="77" t="str">
        <f t="shared" si="3"/>
        <v/>
      </c>
      <c r="J250" s="69"/>
    </row>
    <row r="251" spans="1:10" x14ac:dyDescent="0.3">
      <c r="A251" s="68"/>
      <c r="B251" s="69"/>
      <c r="C251" s="69"/>
      <c r="D251" s="69"/>
      <c r="E251" s="82"/>
      <c r="F251" s="82"/>
      <c r="G251" s="82"/>
      <c r="H251" s="82"/>
      <c r="I251" s="77" t="str">
        <f t="shared" si="3"/>
        <v/>
      </c>
      <c r="J251" s="69"/>
    </row>
    <row r="252" spans="1:10" x14ac:dyDescent="0.3">
      <c r="A252" s="68"/>
      <c r="B252" s="69"/>
      <c r="C252" s="69"/>
      <c r="D252" s="69"/>
      <c r="E252" s="82"/>
      <c r="F252" s="82"/>
      <c r="G252" s="82"/>
      <c r="H252" s="82"/>
      <c r="I252" s="77" t="str">
        <f t="shared" si="3"/>
        <v/>
      </c>
      <c r="J252" s="69"/>
    </row>
    <row r="253" spans="1:10" x14ac:dyDescent="0.3">
      <c r="A253" s="68"/>
      <c r="B253" s="69"/>
      <c r="C253" s="69"/>
      <c r="D253" s="69"/>
      <c r="E253" s="82"/>
      <c r="F253" s="82"/>
      <c r="G253" s="82"/>
      <c r="H253" s="82"/>
      <c r="I253" s="77" t="str">
        <f t="shared" si="3"/>
        <v/>
      </c>
      <c r="J253" s="69"/>
    </row>
    <row r="254" spans="1:10" x14ac:dyDescent="0.3">
      <c r="A254" s="68"/>
      <c r="B254" s="69"/>
      <c r="C254" s="69"/>
      <c r="D254" s="69"/>
      <c r="E254" s="82"/>
      <c r="F254" s="82"/>
      <c r="G254" s="82"/>
      <c r="H254" s="82"/>
      <c r="I254" s="77" t="str">
        <f t="shared" si="3"/>
        <v/>
      </c>
      <c r="J254" s="69"/>
    </row>
    <row r="255" spans="1:10" x14ac:dyDescent="0.3">
      <c r="A255" s="68"/>
      <c r="B255" s="69"/>
      <c r="C255" s="69"/>
      <c r="D255" s="69"/>
      <c r="E255" s="82"/>
      <c r="F255" s="82"/>
      <c r="G255" s="82"/>
      <c r="H255" s="82"/>
      <c r="I255" s="77" t="str">
        <f t="shared" si="3"/>
        <v/>
      </c>
      <c r="J255" s="69"/>
    </row>
    <row r="256" spans="1:10" x14ac:dyDescent="0.3">
      <c r="A256" s="68"/>
      <c r="B256" s="69"/>
      <c r="C256" s="69"/>
      <c r="D256" s="69"/>
      <c r="E256" s="82"/>
      <c r="F256" s="82"/>
      <c r="G256" s="82"/>
      <c r="H256" s="82"/>
      <c r="I256" s="77" t="str">
        <f t="shared" si="3"/>
        <v/>
      </c>
      <c r="J256" s="69"/>
    </row>
    <row r="257" spans="1:10" x14ac:dyDescent="0.3">
      <c r="A257" s="68"/>
      <c r="B257" s="69"/>
      <c r="C257" s="69"/>
      <c r="D257" s="69"/>
      <c r="E257" s="82"/>
      <c r="F257" s="82"/>
      <c r="G257" s="82"/>
      <c r="H257" s="82"/>
      <c r="I257" s="77" t="str">
        <f t="shared" si="3"/>
        <v/>
      </c>
      <c r="J257" s="69"/>
    </row>
    <row r="258" spans="1:10" x14ac:dyDescent="0.3">
      <c r="A258" s="68"/>
      <c r="B258" s="69"/>
      <c r="C258" s="69"/>
      <c r="D258" s="69"/>
      <c r="E258" s="82"/>
      <c r="F258" s="82"/>
      <c r="G258" s="82"/>
      <c r="H258" s="82"/>
      <c r="I258" s="77" t="str">
        <f t="shared" si="3"/>
        <v/>
      </c>
      <c r="J258" s="69"/>
    </row>
    <row r="259" spans="1:10" x14ac:dyDescent="0.3">
      <c r="A259" s="68"/>
      <c r="B259" s="69"/>
      <c r="C259" s="69"/>
      <c r="D259" s="69"/>
      <c r="E259" s="82"/>
      <c r="F259" s="82"/>
      <c r="G259" s="82"/>
      <c r="H259" s="82"/>
      <c r="I259" s="77" t="str">
        <f t="shared" si="3"/>
        <v/>
      </c>
      <c r="J259" s="69"/>
    </row>
    <row r="260" spans="1:10" x14ac:dyDescent="0.3">
      <c r="A260" s="68"/>
      <c r="B260" s="69"/>
      <c r="C260" s="69"/>
      <c r="D260" s="69"/>
      <c r="E260" s="82"/>
      <c r="F260" s="82"/>
      <c r="G260" s="82"/>
      <c r="H260" s="82"/>
      <c r="I260" s="77" t="str">
        <f t="shared" si="3"/>
        <v/>
      </c>
      <c r="J260" s="69"/>
    </row>
    <row r="261" spans="1:10" x14ac:dyDescent="0.3">
      <c r="A261" s="68"/>
      <c r="B261" s="69"/>
      <c r="C261" s="69"/>
      <c r="D261" s="69"/>
      <c r="E261" s="82"/>
      <c r="F261" s="82"/>
      <c r="G261" s="82"/>
      <c r="H261" s="82"/>
      <c r="I261" s="77" t="str">
        <f t="shared" ref="I261:I324" si="4">IF(COUNT(E261:H261)=0,"",AVERAGE(E261:H261))</f>
        <v/>
      </c>
      <c r="J261" s="69"/>
    </row>
    <row r="262" spans="1:10" x14ac:dyDescent="0.3">
      <c r="A262" s="68"/>
      <c r="B262" s="69"/>
      <c r="C262" s="69"/>
      <c r="D262" s="69"/>
      <c r="E262" s="82"/>
      <c r="F262" s="82"/>
      <c r="G262" s="82"/>
      <c r="H262" s="82"/>
      <c r="I262" s="77" t="str">
        <f t="shared" si="4"/>
        <v/>
      </c>
      <c r="J262" s="69"/>
    </row>
    <row r="263" spans="1:10" x14ac:dyDescent="0.3">
      <c r="A263" s="68"/>
      <c r="B263" s="69"/>
      <c r="C263" s="69"/>
      <c r="D263" s="69"/>
      <c r="E263" s="82"/>
      <c r="F263" s="82"/>
      <c r="G263" s="82"/>
      <c r="H263" s="82"/>
      <c r="I263" s="77" t="str">
        <f t="shared" si="4"/>
        <v/>
      </c>
      <c r="J263" s="69"/>
    </row>
    <row r="264" spans="1:10" x14ac:dyDescent="0.3">
      <c r="A264" s="68"/>
      <c r="B264" s="69"/>
      <c r="C264" s="69"/>
      <c r="D264" s="69"/>
      <c r="E264" s="82"/>
      <c r="F264" s="82"/>
      <c r="G264" s="82"/>
      <c r="H264" s="82"/>
      <c r="I264" s="77" t="str">
        <f t="shared" si="4"/>
        <v/>
      </c>
      <c r="J264" s="69"/>
    </row>
    <row r="265" spans="1:10" x14ac:dyDescent="0.3">
      <c r="A265" s="68"/>
      <c r="B265" s="69"/>
      <c r="C265" s="69"/>
      <c r="D265" s="69"/>
      <c r="E265" s="82"/>
      <c r="F265" s="82"/>
      <c r="G265" s="82"/>
      <c r="H265" s="82"/>
      <c r="I265" s="77" t="str">
        <f t="shared" si="4"/>
        <v/>
      </c>
      <c r="J265" s="69"/>
    </row>
    <row r="266" spans="1:10" x14ac:dyDescent="0.3">
      <c r="A266" s="68"/>
      <c r="B266" s="69"/>
      <c r="C266" s="69"/>
      <c r="D266" s="69"/>
      <c r="E266" s="82"/>
      <c r="F266" s="82"/>
      <c r="G266" s="82"/>
      <c r="H266" s="82"/>
      <c r="I266" s="77" t="str">
        <f t="shared" si="4"/>
        <v/>
      </c>
      <c r="J266" s="69"/>
    </row>
    <row r="267" spans="1:10" x14ac:dyDescent="0.3">
      <c r="A267" s="68"/>
      <c r="B267" s="69"/>
      <c r="C267" s="69"/>
      <c r="D267" s="69"/>
      <c r="E267" s="82"/>
      <c r="F267" s="82"/>
      <c r="G267" s="82"/>
      <c r="H267" s="82"/>
      <c r="I267" s="77" t="str">
        <f t="shared" si="4"/>
        <v/>
      </c>
      <c r="J267" s="69"/>
    </row>
    <row r="268" spans="1:10" x14ac:dyDescent="0.3">
      <c r="A268" s="68"/>
      <c r="B268" s="69"/>
      <c r="C268" s="69"/>
      <c r="D268" s="69"/>
      <c r="E268" s="82"/>
      <c r="F268" s="82"/>
      <c r="G268" s="82"/>
      <c r="H268" s="82"/>
      <c r="I268" s="77" t="str">
        <f t="shared" si="4"/>
        <v/>
      </c>
      <c r="J268" s="69"/>
    </row>
    <row r="269" spans="1:10" x14ac:dyDescent="0.3">
      <c r="A269" s="68"/>
      <c r="B269" s="69"/>
      <c r="C269" s="69"/>
      <c r="D269" s="69"/>
      <c r="E269" s="82"/>
      <c r="F269" s="82"/>
      <c r="G269" s="82"/>
      <c r="H269" s="82"/>
      <c r="I269" s="77" t="str">
        <f t="shared" si="4"/>
        <v/>
      </c>
      <c r="J269" s="69"/>
    </row>
    <row r="270" spans="1:10" x14ac:dyDescent="0.3">
      <c r="A270" s="68"/>
      <c r="B270" s="69"/>
      <c r="C270" s="69"/>
      <c r="D270" s="69"/>
      <c r="E270" s="82"/>
      <c r="F270" s="82"/>
      <c r="G270" s="82"/>
      <c r="H270" s="82"/>
      <c r="I270" s="77" t="str">
        <f t="shared" si="4"/>
        <v/>
      </c>
      <c r="J270" s="69"/>
    </row>
    <row r="271" spans="1:10" x14ac:dyDescent="0.3">
      <c r="A271" s="68"/>
      <c r="B271" s="69"/>
      <c r="C271" s="69"/>
      <c r="D271" s="69"/>
      <c r="E271" s="82"/>
      <c r="F271" s="82"/>
      <c r="G271" s="82"/>
      <c r="H271" s="82"/>
      <c r="I271" s="77" t="str">
        <f t="shared" si="4"/>
        <v/>
      </c>
      <c r="J271" s="69"/>
    </row>
    <row r="272" spans="1:10" x14ac:dyDescent="0.3">
      <c r="A272" s="68"/>
      <c r="B272" s="69"/>
      <c r="C272" s="69"/>
      <c r="D272" s="69"/>
      <c r="E272" s="82"/>
      <c r="F272" s="82"/>
      <c r="G272" s="82"/>
      <c r="H272" s="82"/>
      <c r="I272" s="77" t="str">
        <f t="shared" si="4"/>
        <v/>
      </c>
      <c r="J272" s="69"/>
    </row>
    <row r="273" spans="1:10" x14ac:dyDescent="0.3">
      <c r="A273" s="68"/>
      <c r="B273" s="69"/>
      <c r="C273" s="69"/>
      <c r="D273" s="69"/>
      <c r="E273" s="82"/>
      <c r="F273" s="82"/>
      <c r="G273" s="82"/>
      <c r="H273" s="82"/>
      <c r="I273" s="77" t="str">
        <f t="shared" si="4"/>
        <v/>
      </c>
      <c r="J273" s="69"/>
    </row>
    <row r="274" spans="1:10" x14ac:dyDescent="0.3">
      <c r="A274" s="68"/>
      <c r="B274" s="69"/>
      <c r="C274" s="69"/>
      <c r="D274" s="69"/>
      <c r="E274" s="82"/>
      <c r="F274" s="82"/>
      <c r="G274" s="82"/>
      <c r="H274" s="82"/>
      <c r="I274" s="77" t="str">
        <f t="shared" si="4"/>
        <v/>
      </c>
      <c r="J274" s="69"/>
    </row>
    <row r="275" spans="1:10" x14ac:dyDescent="0.3">
      <c r="A275" s="68"/>
      <c r="B275" s="69"/>
      <c r="C275" s="69"/>
      <c r="D275" s="69"/>
      <c r="E275" s="82"/>
      <c r="F275" s="82"/>
      <c r="G275" s="82"/>
      <c r="H275" s="82"/>
      <c r="I275" s="77" t="str">
        <f t="shared" si="4"/>
        <v/>
      </c>
      <c r="J275" s="69"/>
    </row>
    <row r="276" spans="1:10" x14ac:dyDescent="0.3">
      <c r="A276" s="68"/>
      <c r="B276" s="69"/>
      <c r="C276" s="69"/>
      <c r="D276" s="69"/>
      <c r="E276" s="82"/>
      <c r="F276" s="82"/>
      <c r="G276" s="82"/>
      <c r="H276" s="82"/>
      <c r="I276" s="77" t="str">
        <f t="shared" si="4"/>
        <v/>
      </c>
      <c r="J276" s="69"/>
    </row>
    <row r="277" spans="1:10" x14ac:dyDescent="0.3">
      <c r="A277" s="68"/>
      <c r="B277" s="69"/>
      <c r="C277" s="69"/>
      <c r="D277" s="69"/>
      <c r="E277" s="82"/>
      <c r="F277" s="82"/>
      <c r="G277" s="82"/>
      <c r="H277" s="82"/>
      <c r="I277" s="77" t="str">
        <f t="shared" si="4"/>
        <v/>
      </c>
      <c r="J277" s="69"/>
    </row>
    <row r="278" spans="1:10" x14ac:dyDescent="0.3">
      <c r="A278" s="68"/>
      <c r="B278" s="69"/>
      <c r="C278" s="69"/>
      <c r="D278" s="69"/>
      <c r="E278" s="82"/>
      <c r="F278" s="82"/>
      <c r="G278" s="82"/>
      <c r="H278" s="82"/>
      <c r="I278" s="77" t="str">
        <f t="shared" si="4"/>
        <v/>
      </c>
      <c r="J278" s="69"/>
    </row>
    <row r="279" spans="1:10" x14ac:dyDescent="0.3">
      <c r="A279" s="68"/>
      <c r="B279" s="69"/>
      <c r="C279" s="69"/>
      <c r="D279" s="69"/>
      <c r="E279" s="82"/>
      <c r="F279" s="82"/>
      <c r="G279" s="82"/>
      <c r="H279" s="82"/>
      <c r="I279" s="77" t="str">
        <f t="shared" si="4"/>
        <v/>
      </c>
      <c r="J279" s="69"/>
    </row>
    <row r="280" spans="1:10" x14ac:dyDescent="0.3">
      <c r="A280" s="68"/>
      <c r="B280" s="69"/>
      <c r="C280" s="69"/>
      <c r="D280" s="69"/>
      <c r="E280" s="82"/>
      <c r="F280" s="82"/>
      <c r="G280" s="82"/>
      <c r="H280" s="82"/>
      <c r="I280" s="77" t="str">
        <f t="shared" si="4"/>
        <v/>
      </c>
      <c r="J280" s="69"/>
    </row>
    <row r="281" spans="1:10" x14ac:dyDescent="0.3">
      <c r="A281" s="68"/>
      <c r="B281" s="69"/>
      <c r="C281" s="69"/>
      <c r="D281" s="69"/>
      <c r="E281" s="82"/>
      <c r="F281" s="82"/>
      <c r="G281" s="82"/>
      <c r="H281" s="82"/>
      <c r="I281" s="77" t="str">
        <f t="shared" si="4"/>
        <v/>
      </c>
      <c r="J281" s="69"/>
    </row>
    <row r="282" spans="1:10" x14ac:dyDescent="0.3">
      <c r="A282" s="68"/>
      <c r="B282" s="69"/>
      <c r="C282" s="69"/>
      <c r="D282" s="69"/>
      <c r="E282" s="82"/>
      <c r="F282" s="82"/>
      <c r="G282" s="82"/>
      <c r="H282" s="82"/>
      <c r="I282" s="77" t="str">
        <f t="shared" si="4"/>
        <v/>
      </c>
      <c r="J282" s="69"/>
    </row>
    <row r="283" spans="1:10" x14ac:dyDescent="0.3">
      <c r="A283" s="68"/>
      <c r="B283" s="69"/>
      <c r="C283" s="69"/>
      <c r="D283" s="69"/>
      <c r="E283" s="82"/>
      <c r="F283" s="82"/>
      <c r="G283" s="82"/>
      <c r="H283" s="82"/>
      <c r="I283" s="77" t="str">
        <f t="shared" si="4"/>
        <v/>
      </c>
      <c r="J283" s="69"/>
    </row>
    <row r="284" spans="1:10" x14ac:dyDescent="0.3">
      <c r="A284" s="68"/>
      <c r="B284" s="69"/>
      <c r="C284" s="69"/>
      <c r="D284" s="69"/>
      <c r="E284" s="82"/>
      <c r="F284" s="82"/>
      <c r="G284" s="82"/>
      <c r="H284" s="82"/>
      <c r="I284" s="77" t="str">
        <f t="shared" si="4"/>
        <v/>
      </c>
      <c r="J284" s="69"/>
    </row>
    <row r="285" spans="1:10" x14ac:dyDescent="0.3">
      <c r="A285" s="68"/>
      <c r="B285" s="69"/>
      <c r="C285" s="69"/>
      <c r="D285" s="69"/>
      <c r="E285" s="82"/>
      <c r="F285" s="82"/>
      <c r="G285" s="82"/>
      <c r="H285" s="82"/>
      <c r="I285" s="77" t="str">
        <f t="shared" si="4"/>
        <v/>
      </c>
      <c r="J285" s="69"/>
    </row>
    <row r="286" spans="1:10" x14ac:dyDescent="0.3">
      <c r="A286" s="68"/>
      <c r="B286" s="69"/>
      <c r="C286" s="69"/>
      <c r="D286" s="69"/>
      <c r="E286" s="82"/>
      <c r="F286" s="82"/>
      <c r="G286" s="82"/>
      <c r="H286" s="82"/>
      <c r="I286" s="77" t="str">
        <f t="shared" si="4"/>
        <v/>
      </c>
      <c r="J286" s="69"/>
    </row>
    <row r="287" spans="1:10" x14ac:dyDescent="0.3">
      <c r="A287" s="68"/>
      <c r="B287" s="69"/>
      <c r="C287" s="69"/>
      <c r="D287" s="69"/>
      <c r="E287" s="82"/>
      <c r="F287" s="82"/>
      <c r="G287" s="82"/>
      <c r="H287" s="82"/>
      <c r="I287" s="77" t="str">
        <f t="shared" si="4"/>
        <v/>
      </c>
      <c r="J287" s="69"/>
    </row>
    <row r="288" spans="1:10" x14ac:dyDescent="0.3">
      <c r="A288" s="68"/>
      <c r="B288" s="69"/>
      <c r="C288" s="69"/>
      <c r="D288" s="69"/>
      <c r="E288" s="82"/>
      <c r="F288" s="82"/>
      <c r="G288" s="82"/>
      <c r="H288" s="82"/>
      <c r="I288" s="77" t="str">
        <f t="shared" si="4"/>
        <v/>
      </c>
      <c r="J288" s="69"/>
    </row>
    <row r="289" spans="1:10" x14ac:dyDescent="0.3">
      <c r="A289" s="68"/>
      <c r="B289" s="69"/>
      <c r="C289" s="69"/>
      <c r="D289" s="69"/>
      <c r="E289" s="82"/>
      <c r="F289" s="82"/>
      <c r="G289" s="82"/>
      <c r="H289" s="82"/>
      <c r="I289" s="77" t="str">
        <f t="shared" si="4"/>
        <v/>
      </c>
      <c r="J289" s="69"/>
    </row>
    <row r="290" spans="1:10" x14ac:dyDescent="0.3">
      <c r="A290" s="68"/>
      <c r="B290" s="69"/>
      <c r="C290" s="69"/>
      <c r="D290" s="69"/>
      <c r="E290" s="82"/>
      <c r="F290" s="82"/>
      <c r="G290" s="82"/>
      <c r="H290" s="82"/>
      <c r="I290" s="77" t="str">
        <f t="shared" si="4"/>
        <v/>
      </c>
      <c r="J290" s="69"/>
    </row>
    <row r="291" spans="1:10" x14ac:dyDescent="0.3">
      <c r="A291" s="68"/>
      <c r="B291" s="69"/>
      <c r="C291" s="69"/>
      <c r="D291" s="69"/>
      <c r="E291" s="82"/>
      <c r="F291" s="82"/>
      <c r="G291" s="82"/>
      <c r="H291" s="82"/>
      <c r="I291" s="77" t="str">
        <f t="shared" si="4"/>
        <v/>
      </c>
      <c r="J291" s="69"/>
    </row>
    <row r="292" spans="1:10" x14ac:dyDescent="0.3">
      <c r="A292" s="68"/>
      <c r="B292" s="69"/>
      <c r="C292" s="69"/>
      <c r="D292" s="69"/>
      <c r="E292" s="82"/>
      <c r="F292" s="82"/>
      <c r="G292" s="82"/>
      <c r="H292" s="82"/>
      <c r="I292" s="77" t="str">
        <f t="shared" si="4"/>
        <v/>
      </c>
      <c r="J292" s="69"/>
    </row>
    <row r="293" spans="1:10" x14ac:dyDescent="0.3">
      <c r="A293" s="68"/>
      <c r="B293" s="69"/>
      <c r="C293" s="69"/>
      <c r="D293" s="69"/>
      <c r="E293" s="82"/>
      <c r="F293" s="82"/>
      <c r="G293" s="82"/>
      <c r="H293" s="82"/>
      <c r="I293" s="77" t="str">
        <f t="shared" si="4"/>
        <v/>
      </c>
      <c r="J293" s="69"/>
    </row>
    <row r="294" spans="1:10" x14ac:dyDescent="0.3">
      <c r="A294" s="68"/>
      <c r="B294" s="69"/>
      <c r="C294" s="69"/>
      <c r="D294" s="69"/>
      <c r="E294" s="82"/>
      <c r="F294" s="82"/>
      <c r="G294" s="82"/>
      <c r="H294" s="82"/>
      <c r="I294" s="77" t="str">
        <f t="shared" si="4"/>
        <v/>
      </c>
      <c r="J294" s="69"/>
    </row>
    <row r="295" spans="1:10" x14ac:dyDescent="0.3">
      <c r="A295" s="68"/>
      <c r="B295" s="69"/>
      <c r="C295" s="69"/>
      <c r="D295" s="69"/>
      <c r="E295" s="82"/>
      <c r="F295" s="82"/>
      <c r="G295" s="82"/>
      <c r="H295" s="82"/>
      <c r="I295" s="77" t="str">
        <f t="shared" si="4"/>
        <v/>
      </c>
      <c r="J295" s="69"/>
    </row>
    <row r="296" spans="1:10" x14ac:dyDescent="0.3">
      <c r="A296" s="68"/>
      <c r="B296" s="69"/>
      <c r="C296" s="69"/>
      <c r="D296" s="69"/>
      <c r="E296" s="82"/>
      <c r="F296" s="82"/>
      <c r="G296" s="82"/>
      <c r="H296" s="82"/>
      <c r="I296" s="77" t="str">
        <f t="shared" si="4"/>
        <v/>
      </c>
      <c r="J296" s="69"/>
    </row>
    <row r="297" spans="1:10" x14ac:dyDescent="0.3">
      <c r="A297" s="68"/>
      <c r="B297" s="69"/>
      <c r="C297" s="69"/>
      <c r="D297" s="69"/>
      <c r="E297" s="82"/>
      <c r="F297" s="82"/>
      <c r="G297" s="82"/>
      <c r="H297" s="82"/>
      <c r="I297" s="77" t="str">
        <f t="shared" si="4"/>
        <v/>
      </c>
      <c r="J297" s="69"/>
    </row>
    <row r="298" spans="1:10" x14ac:dyDescent="0.3">
      <c r="A298" s="68"/>
      <c r="B298" s="69"/>
      <c r="C298" s="69"/>
      <c r="D298" s="69"/>
      <c r="E298" s="82"/>
      <c r="F298" s="82"/>
      <c r="G298" s="82"/>
      <c r="H298" s="82"/>
      <c r="I298" s="77" t="str">
        <f t="shared" si="4"/>
        <v/>
      </c>
      <c r="J298" s="69"/>
    </row>
    <row r="299" spans="1:10" x14ac:dyDescent="0.3">
      <c r="A299" s="68"/>
      <c r="B299" s="69"/>
      <c r="C299" s="69"/>
      <c r="D299" s="69"/>
      <c r="E299" s="82"/>
      <c r="F299" s="82"/>
      <c r="G299" s="82"/>
      <c r="H299" s="82"/>
      <c r="I299" s="77" t="str">
        <f t="shared" si="4"/>
        <v/>
      </c>
      <c r="J299" s="69"/>
    </row>
    <row r="300" spans="1:10" x14ac:dyDescent="0.3">
      <c r="A300" s="68"/>
      <c r="B300" s="69"/>
      <c r="C300" s="69"/>
      <c r="D300" s="69"/>
      <c r="E300" s="82"/>
      <c r="F300" s="82"/>
      <c r="G300" s="82"/>
      <c r="H300" s="82"/>
      <c r="I300" s="77" t="str">
        <f t="shared" si="4"/>
        <v/>
      </c>
      <c r="J300" s="69"/>
    </row>
    <row r="301" spans="1:10" x14ac:dyDescent="0.3">
      <c r="A301" s="68"/>
      <c r="B301" s="69"/>
      <c r="C301" s="69"/>
      <c r="D301" s="69"/>
      <c r="E301" s="82"/>
      <c r="F301" s="82"/>
      <c r="G301" s="82"/>
      <c r="H301" s="82"/>
      <c r="I301" s="77" t="str">
        <f t="shared" si="4"/>
        <v/>
      </c>
      <c r="J301" s="69"/>
    </row>
    <row r="302" spans="1:10" x14ac:dyDescent="0.3">
      <c r="A302" s="68"/>
      <c r="B302" s="69"/>
      <c r="C302" s="69"/>
      <c r="D302" s="69"/>
      <c r="E302" s="82"/>
      <c r="F302" s="82"/>
      <c r="G302" s="82"/>
      <c r="H302" s="82"/>
      <c r="I302" s="77" t="str">
        <f t="shared" si="4"/>
        <v/>
      </c>
      <c r="J302" s="69"/>
    </row>
    <row r="303" spans="1:10" x14ac:dyDescent="0.3">
      <c r="A303" s="68"/>
      <c r="B303" s="69"/>
      <c r="C303" s="69"/>
      <c r="D303" s="69"/>
      <c r="E303" s="82"/>
      <c r="F303" s="82"/>
      <c r="G303" s="82"/>
      <c r="H303" s="82"/>
      <c r="I303" s="77" t="str">
        <f t="shared" si="4"/>
        <v/>
      </c>
      <c r="J303" s="69"/>
    </row>
    <row r="304" spans="1:10" x14ac:dyDescent="0.3">
      <c r="A304" s="68"/>
      <c r="B304" s="69"/>
      <c r="C304" s="69"/>
      <c r="D304" s="69"/>
      <c r="E304" s="82"/>
      <c r="F304" s="82"/>
      <c r="G304" s="82"/>
      <c r="H304" s="82"/>
      <c r="I304" s="77" t="str">
        <f t="shared" si="4"/>
        <v/>
      </c>
      <c r="J304" s="69"/>
    </row>
    <row r="305" spans="1:10" x14ac:dyDescent="0.3">
      <c r="A305" s="68"/>
      <c r="B305" s="69"/>
      <c r="C305" s="69"/>
      <c r="D305" s="69"/>
      <c r="E305" s="82"/>
      <c r="F305" s="82"/>
      <c r="G305" s="82"/>
      <c r="H305" s="82"/>
      <c r="I305" s="77" t="str">
        <f t="shared" si="4"/>
        <v/>
      </c>
      <c r="J305" s="69"/>
    </row>
    <row r="306" spans="1:10" x14ac:dyDescent="0.3">
      <c r="A306" s="68"/>
      <c r="B306" s="69"/>
      <c r="C306" s="69"/>
      <c r="D306" s="69"/>
      <c r="E306" s="82"/>
      <c r="F306" s="82"/>
      <c r="G306" s="82"/>
      <c r="H306" s="82"/>
      <c r="I306" s="77" t="str">
        <f t="shared" si="4"/>
        <v/>
      </c>
      <c r="J306" s="69"/>
    </row>
    <row r="307" spans="1:10" x14ac:dyDescent="0.3">
      <c r="A307" s="68"/>
      <c r="B307" s="69"/>
      <c r="C307" s="69"/>
      <c r="D307" s="69"/>
      <c r="E307" s="82"/>
      <c r="F307" s="82"/>
      <c r="G307" s="82"/>
      <c r="H307" s="82"/>
      <c r="I307" s="77" t="str">
        <f t="shared" si="4"/>
        <v/>
      </c>
      <c r="J307" s="69"/>
    </row>
    <row r="308" spans="1:10" x14ac:dyDescent="0.3">
      <c r="A308" s="68"/>
      <c r="B308" s="69"/>
      <c r="C308" s="69"/>
      <c r="D308" s="69"/>
      <c r="E308" s="82"/>
      <c r="F308" s="82"/>
      <c r="G308" s="82"/>
      <c r="H308" s="82"/>
      <c r="I308" s="77" t="str">
        <f t="shared" si="4"/>
        <v/>
      </c>
      <c r="J308" s="69"/>
    </row>
    <row r="309" spans="1:10" x14ac:dyDescent="0.3">
      <c r="A309" s="68"/>
      <c r="B309" s="69"/>
      <c r="C309" s="69"/>
      <c r="D309" s="69"/>
      <c r="E309" s="82"/>
      <c r="F309" s="82"/>
      <c r="G309" s="82"/>
      <c r="H309" s="82"/>
      <c r="I309" s="77" t="str">
        <f t="shared" si="4"/>
        <v/>
      </c>
      <c r="J309" s="69"/>
    </row>
    <row r="310" spans="1:10" x14ac:dyDescent="0.3">
      <c r="A310" s="68"/>
      <c r="B310" s="69"/>
      <c r="C310" s="69"/>
      <c r="D310" s="69"/>
      <c r="E310" s="82"/>
      <c r="F310" s="82"/>
      <c r="G310" s="82"/>
      <c r="H310" s="82"/>
      <c r="I310" s="77" t="str">
        <f t="shared" si="4"/>
        <v/>
      </c>
      <c r="J310" s="69"/>
    </row>
    <row r="311" spans="1:10" x14ac:dyDescent="0.3">
      <c r="A311" s="68"/>
      <c r="B311" s="69"/>
      <c r="C311" s="69"/>
      <c r="D311" s="69"/>
      <c r="E311" s="82"/>
      <c r="F311" s="82"/>
      <c r="G311" s="82"/>
      <c r="H311" s="82"/>
      <c r="I311" s="77" t="str">
        <f t="shared" si="4"/>
        <v/>
      </c>
      <c r="J311" s="69"/>
    </row>
    <row r="312" spans="1:10" x14ac:dyDescent="0.3">
      <c r="A312" s="68"/>
      <c r="B312" s="69"/>
      <c r="C312" s="69"/>
      <c r="D312" s="69"/>
      <c r="E312" s="82"/>
      <c r="F312" s="82"/>
      <c r="G312" s="82"/>
      <c r="H312" s="82"/>
      <c r="I312" s="77" t="str">
        <f t="shared" si="4"/>
        <v/>
      </c>
      <c r="J312" s="69"/>
    </row>
    <row r="313" spans="1:10" x14ac:dyDescent="0.3">
      <c r="A313" s="68"/>
      <c r="B313" s="69"/>
      <c r="C313" s="69"/>
      <c r="D313" s="69"/>
      <c r="E313" s="82"/>
      <c r="F313" s="82"/>
      <c r="G313" s="82"/>
      <c r="H313" s="82"/>
      <c r="I313" s="77" t="str">
        <f t="shared" si="4"/>
        <v/>
      </c>
      <c r="J313" s="69"/>
    </row>
    <row r="314" spans="1:10" x14ac:dyDescent="0.3">
      <c r="A314" s="68"/>
      <c r="B314" s="69"/>
      <c r="C314" s="69"/>
      <c r="D314" s="69"/>
      <c r="E314" s="82"/>
      <c r="F314" s="82"/>
      <c r="G314" s="82"/>
      <c r="H314" s="82"/>
      <c r="I314" s="77" t="str">
        <f t="shared" si="4"/>
        <v/>
      </c>
      <c r="J314" s="69"/>
    </row>
    <row r="315" spans="1:10" x14ac:dyDescent="0.3">
      <c r="A315" s="68"/>
      <c r="B315" s="69"/>
      <c r="C315" s="69"/>
      <c r="D315" s="69"/>
      <c r="E315" s="82"/>
      <c r="F315" s="82"/>
      <c r="G315" s="82"/>
      <c r="H315" s="82"/>
      <c r="I315" s="77" t="str">
        <f t="shared" si="4"/>
        <v/>
      </c>
      <c r="J315" s="69"/>
    </row>
    <row r="316" spans="1:10" x14ac:dyDescent="0.3">
      <c r="A316" s="68"/>
      <c r="B316" s="69"/>
      <c r="C316" s="69"/>
      <c r="D316" s="69"/>
      <c r="E316" s="82"/>
      <c r="F316" s="82"/>
      <c r="G316" s="82"/>
      <c r="H316" s="82"/>
      <c r="I316" s="77" t="str">
        <f t="shared" si="4"/>
        <v/>
      </c>
      <c r="J316" s="69"/>
    </row>
    <row r="317" spans="1:10" x14ac:dyDescent="0.3">
      <c r="A317" s="68"/>
      <c r="B317" s="69"/>
      <c r="C317" s="69"/>
      <c r="D317" s="69"/>
      <c r="E317" s="82"/>
      <c r="F317" s="82"/>
      <c r="G317" s="82"/>
      <c r="H317" s="82"/>
      <c r="I317" s="77" t="str">
        <f t="shared" si="4"/>
        <v/>
      </c>
      <c r="J317" s="69"/>
    </row>
    <row r="318" spans="1:10" x14ac:dyDescent="0.3">
      <c r="A318" s="68"/>
      <c r="B318" s="69"/>
      <c r="C318" s="69"/>
      <c r="D318" s="69"/>
      <c r="E318" s="82"/>
      <c r="F318" s="82"/>
      <c r="G318" s="82"/>
      <c r="H318" s="82"/>
      <c r="I318" s="77" t="str">
        <f t="shared" si="4"/>
        <v/>
      </c>
      <c r="J318" s="69"/>
    </row>
    <row r="319" spans="1:10" x14ac:dyDescent="0.3">
      <c r="A319" s="68"/>
      <c r="B319" s="69"/>
      <c r="C319" s="69"/>
      <c r="D319" s="69"/>
      <c r="E319" s="82"/>
      <c r="F319" s="82"/>
      <c r="G319" s="82"/>
      <c r="H319" s="82"/>
      <c r="I319" s="77" t="str">
        <f t="shared" si="4"/>
        <v/>
      </c>
      <c r="J319" s="69"/>
    </row>
    <row r="320" spans="1:10" x14ac:dyDescent="0.3">
      <c r="A320" s="68"/>
      <c r="B320" s="69"/>
      <c r="C320" s="69"/>
      <c r="D320" s="69"/>
      <c r="E320" s="82"/>
      <c r="F320" s="82"/>
      <c r="G320" s="82"/>
      <c r="H320" s="82"/>
      <c r="I320" s="77" t="str">
        <f t="shared" si="4"/>
        <v/>
      </c>
      <c r="J320" s="69"/>
    </row>
    <row r="321" spans="1:10" x14ac:dyDescent="0.3">
      <c r="A321" s="68"/>
      <c r="B321" s="69"/>
      <c r="C321" s="69"/>
      <c r="D321" s="69"/>
      <c r="E321" s="82"/>
      <c r="F321" s="82"/>
      <c r="G321" s="82"/>
      <c r="H321" s="82"/>
      <c r="I321" s="77" t="str">
        <f t="shared" si="4"/>
        <v/>
      </c>
      <c r="J321" s="69"/>
    </row>
    <row r="322" spans="1:10" x14ac:dyDescent="0.3">
      <c r="A322" s="68"/>
      <c r="B322" s="69"/>
      <c r="C322" s="69"/>
      <c r="D322" s="69"/>
      <c r="E322" s="82"/>
      <c r="F322" s="82"/>
      <c r="G322" s="82"/>
      <c r="H322" s="82"/>
      <c r="I322" s="77" t="str">
        <f t="shared" si="4"/>
        <v/>
      </c>
      <c r="J322" s="69"/>
    </row>
    <row r="323" spans="1:10" x14ac:dyDescent="0.3">
      <c r="A323" s="68"/>
      <c r="B323" s="69"/>
      <c r="C323" s="69"/>
      <c r="D323" s="69"/>
      <c r="E323" s="82"/>
      <c r="F323" s="82"/>
      <c r="G323" s="82"/>
      <c r="H323" s="82"/>
      <c r="I323" s="77" t="str">
        <f t="shared" si="4"/>
        <v/>
      </c>
      <c r="J323" s="69"/>
    </row>
    <row r="324" spans="1:10" x14ac:dyDescent="0.3">
      <c r="A324" s="68"/>
      <c r="B324" s="69"/>
      <c r="C324" s="69"/>
      <c r="D324" s="69"/>
      <c r="E324" s="82"/>
      <c r="F324" s="82"/>
      <c r="G324" s="82"/>
      <c r="H324" s="82"/>
      <c r="I324" s="77" t="str">
        <f t="shared" si="4"/>
        <v/>
      </c>
      <c r="J324" s="69"/>
    </row>
    <row r="325" spans="1:10" x14ac:dyDescent="0.3">
      <c r="A325" s="68"/>
      <c r="B325" s="69"/>
      <c r="C325" s="69"/>
      <c r="D325" s="69"/>
      <c r="E325" s="82"/>
      <c r="F325" s="82"/>
      <c r="G325" s="82"/>
      <c r="H325" s="82"/>
      <c r="I325" s="77" t="str">
        <f t="shared" ref="I325:I388" si="5">IF(COUNT(E325:H325)=0,"",AVERAGE(E325:H325))</f>
        <v/>
      </c>
      <c r="J325" s="69"/>
    </row>
    <row r="326" spans="1:10" x14ac:dyDescent="0.3">
      <c r="A326" s="68"/>
      <c r="B326" s="69"/>
      <c r="C326" s="69"/>
      <c r="D326" s="69"/>
      <c r="E326" s="82"/>
      <c r="F326" s="82"/>
      <c r="G326" s="82"/>
      <c r="H326" s="82"/>
      <c r="I326" s="77" t="str">
        <f t="shared" si="5"/>
        <v/>
      </c>
      <c r="J326" s="69"/>
    </row>
    <row r="327" spans="1:10" x14ac:dyDescent="0.3">
      <c r="A327" s="68"/>
      <c r="B327" s="69"/>
      <c r="C327" s="69"/>
      <c r="D327" s="69"/>
      <c r="E327" s="82"/>
      <c r="F327" s="82"/>
      <c r="G327" s="82"/>
      <c r="H327" s="82"/>
      <c r="I327" s="77" t="str">
        <f t="shared" si="5"/>
        <v/>
      </c>
      <c r="J327" s="69"/>
    </row>
    <row r="328" spans="1:10" x14ac:dyDescent="0.3">
      <c r="A328" s="68"/>
      <c r="B328" s="69"/>
      <c r="C328" s="69"/>
      <c r="D328" s="69"/>
      <c r="E328" s="82"/>
      <c r="F328" s="82"/>
      <c r="G328" s="82"/>
      <c r="H328" s="82"/>
      <c r="I328" s="77" t="str">
        <f t="shared" si="5"/>
        <v/>
      </c>
      <c r="J328" s="69"/>
    </row>
    <row r="329" spans="1:10" x14ac:dyDescent="0.3">
      <c r="A329" s="68"/>
      <c r="B329" s="69"/>
      <c r="C329" s="69"/>
      <c r="D329" s="69"/>
      <c r="E329" s="82"/>
      <c r="F329" s="82"/>
      <c r="G329" s="82"/>
      <c r="H329" s="82"/>
      <c r="I329" s="77" t="str">
        <f t="shared" si="5"/>
        <v/>
      </c>
      <c r="J329" s="69"/>
    </row>
    <row r="330" spans="1:10" x14ac:dyDescent="0.3">
      <c r="A330" s="68"/>
      <c r="B330" s="69"/>
      <c r="C330" s="69"/>
      <c r="D330" s="69"/>
      <c r="E330" s="82"/>
      <c r="F330" s="82"/>
      <c r="G330" s="82"/>
      <c r="H330" s="82"/>
      <c r="I330" s="77" t="str">
        <f t="shared" si="5"/>
        <v/>
      </c>
      <c r="J330" s="69"/>
    </row>
    <row r="331" spans="1:10" x14ac:dyDescent="0.3">
      <c r="A331" s="68"/>
      <c r="B331" s="69"/>
      <c r="C331" s="69"/>
      <c r="D331" s="69"/>
      <c r="E331" s="82"/>
      <c r="F331" s="82"/>
      <c r="G331" s="82"/>
      <c r="H331" s="82"/>
      <c r="I331" s="77" t="str">
        <f t="shared" si="5"/>
        <v/>
      </c>
      <c r="J331" s="69"/>
    </row>
    <row r="332" spans="1:10" x14ac:dyDescent="0.3">
      <c r="A332" s="68"/>
      <c r="B332" s="69"/>
      <c r="C332" s="69"/>
      <c r="D332" s="69"/>
      <c r="E332" s="82"/>
      <c r="F332" s="82"/>
      <c r="G332" s="82"/>
      <c r="H332" s="82"/>
      <c r="I332" s="77" t="str">
        <f t="shared" si="5"/>
        <v/>
      </c>
      <c r="J332" s="69"/>
    </row>
    <row r="333" spans="1:10" x14ac:dyDescent="0.3">
      <c r="A333" s="68"/>
      <c r="B333" s="69"/>
      <c r="C333" s="69"/>
      <c r="D333" s="69"/>
      <c r="E333" s="82"/>
      <c r="F333" s="82"/>
      <c r="G333" s="82"/>
      <c r="H333" s="82"/>
      <c r="I333" s="77" t="str">
        <f t="shared" si="5"/>
        <v/>
      </c>
      <c r="J333" s="69"/>
    </row>
    <row r="334" spans="1:10" x14ac:dyDescent="0.3">
      <c r="A334" s="68"/>
      <c r="B334" s="69"/>
      <c r="C334" s="69"/>
      <c r="D334" s="69"/>
      <c r="E334" s="82"/>
      <c r="F334" s="82"/>
      <c r="G334" s="82"/>
      <c r="H334" s="82"/>
      <c r="I334" s="77" t="str">
        <f t="shared" si="5"/>
        <v/>
      </c>
      <c r="J334" s="69"/>
    </row>
    <row r="335" spans="1:10" x14ac:dyDescent="0.3">
      <c r="A335" s="68"/>
      <c r="B335" s="69"/>
      <c r="C335" s="69"/>
      <c r="D335" s="69"/>
      <c r="E335" s="82"/>
      <c r="F335" s="82"/>
      <c r="G335" s="82"/>
      <c r="H335" s="82"/>
      <c r="I335" s="77" t="str">
        <f t="shared" si="5"/>
        <v/>
      </c>
      <c r="J335" s="69"/>
    </row>
    <row r="336" spans="1:10" x14ac:dyDescent="0.3">
      <c r="A336" s="68"/>
      <c r="B336" s="69"/>
      <c r="C336" s="69"/>
      <c r="D336" s="69"/>
      <c r="E336" s="82"/>
      <c r="F336" s="82"/>
      <c r="G336" s="82"/>
      <c r="H336" s="82"/>
      <c r="I336" s="77" t="str">
        <f t="shared" si="5"/>
        <v/>
      </c>
      <c r="J336" s="69"/>
    </row>
    <row r="337" spans="1:10" x14ac:dyDescent="0.3">
      <c r="A337" s="68"/>
      <c r="B337" s="69"/>
      <c r="C337" s="69"/>
      <c r="D337" s="69"/>
      <c r="E337" s="82"/>
      <c r="F337" s="82"/>
      <c r="G337" s="82"/>
      <c r="H337" s="82"/>
      <c r="I337" s="77" t="str">
        <f t="shared" si="5"/>
        <v/>
      </c>
      <c r="J337" s="69"/>
    </row>
    <row r="338" spans="1:10" x14ac:dyDescent="0.3">
      <c r="A338" s="68"/>
      <c r="B338" s="69"/>
      <c r="C338" s="69"/>
      <c r="D338" s="69"/>
      <c r="E338" s="82"/>
      <c r="F338" s="82"/>
      <c r="G338" s="82"/>
      <c r="H338" s="82"/>
      <c r="I338" s="77" t="str">
        <f t="shared" si="5"/>
        <v/>
      </c>
      <c r="J338" s="69"/>
    </row>
    <row r="339" spans="1:10" x14ac:dyDescent="0.3">
      <c r="A339" s="68"/>
      <c r="B339" s="69"/>
      <c r="C339" s="69"/>
      <c r="D339" s="69"/>
      <c r="E339" s="82"/>
      <c r="F339" s="82"/>
      <c r="G339" s="82"/>
      <c r="H339" s="82"/>
      <c r="I339" s="77" t="str">
        <f t="shared" si="5"/>
        <v/>
      </c>
      <c r="J339" s="69"/>
    </row>
    <row r="340" spans="1:10" x14ac:dyDescent="0.3">
      <c r="A340" s="68"/>
      <c r="B340" s="69"/>
      <c r="C340" s="69"/>
      <c r="D340" s="69"/>
      <c r="E340" s="82"/>
      <c r="F340" s="82"/>
      <c r="G340" s="82"/>
      <c r="H340" s="82"/>
      <c r="I340" s="77" t="str">
        <f t="shared" si="5"/>
        <v/>
      </c>
      <c r="J340" s="69"/>
    </row>
    <row r="341" spans="1:10" x14ac:dyDescent="0.3">
      <c r="A341" s="68"/>
      <c r="B341" s="69"/>
      <c r="C341" s="69"/>
      <c r="D341" s="69"/>
      <c r="E341" s="82"/>
      <c r="F341" s="82"/>
      <c r="G341" s="82"/>
      <c r="H341" s="82"/>
      <c r="I341" s="77" t="str">
        <f t="shared" si="5"/>
        <v/>
      </c>
      <c r="J341" s="69"/>
    </row>
    <row r="342" spans="1:10" x14ac:dyDescent="0.3">
      <c r="A342" s="68"/>
      <c r="B342" s="69"/>
      <c r="C342" s="69"/>
      <c r="D342" s="69"/>
      <c r="E342" s="82"/>
      <c r="F342" s="82"/>
      <c r="G342" s="82"/>
      <c r="H342" s="82"/>
      <c r="I342" s="77" t="str">
        <f t="shared" si="5"/>
        <v/>
      </c>
      <c r="J342" s="69"/>
    </row>
    <row r="343" spans="1:10" x14ac:dyDescent="0.3">
      <c r="A343" s="68"/>
      <c r="B343" s="69"/>
      <c r="C343" s="69"/>
      <c r="D343" s="69"/>
      <c r="E343" s="82"/>
      <c r="F343" s="82"/>
      <c r="G343" s="82"/>
      <c r="H343" s="82"/>
      <c r="I343" s="77" t="str">
        <f t="shared" si="5"/>
        <v/>
      </c>
      <c r="J343" s="69"/>
    </row>
    <row r="344" spans="1:10" x14ac:dyDescent="0.3">
      <c r="A344" s="68"/>
      <c r="B344" s="69"/>
      <c r="C344" s="69"/>
      <c r="D344" s="69"/>
      <c r="E344" s="82"/>
      <c r="F344" s="82"/>
      <c r="G344" s="82"/>
      <c r="H344" s="82"/>
      <c r="I344" s="77" t="str">
        <f t="shared" si="5"/>
        <v/>
      </c>
      <c r="J344" s="69"/>
    </row>
    <row r="345" spans="1:10" x14ac:dyDescent="0.3">
      <c r="A345" s="68"/>
      <c r="B345" s="69"/>
      <c r="C345" s="69"/>
      <c r="D345" s="69"/>
      <c r="E345" s="82"/>
      <c r="F345" s="82"/>
      <c r="G345" s="82"/>
      <c r="H345" s="82"/>
      <c r="I345" s="77" t="str">
        <f t="shared" si="5"/>
        <v/>
      </c>
      <c r="J345" s="69"/>
    </row>
    <row r="346" spans="1:10" x14ac:dyDescent="0.3">
      <c r="A346" s="68"/>
      <c r="B346" s="69"/>
      <c r="C346" s="69"/>
      <c r="D346" s="69"/>
      <c r="E346" s="82"/>
      <c r="F346" s="82"/>
      <c r="G346" s="82"/>
      <c r="H346" s="82"/>
      <c r="I346" s="77" t="str">
        <f t="shared" si="5"/>
        <v/>
      </c>
      <c r="J346" s="69"/>
    </row>
    <row r="347" spans="1:10" x14ac:dyDescent="0.3">
      <c r="A347" s="68"/>
      <c r="B347" s="69"/>
      <c r="C347" s="69"/>
      <c r="D347" s="69"/>
      <c r="E347" s="82"/>
      <c r="F347" s="82"/>
      <c r="G347" s="82"/>
      <c r="H347" s="82"/>
      <c r="I347" s="77" t="str">
        <f t="shared" si="5"/>
        <v/>
      </c>
      <c r="J347" s="69"/>
    </row>
    <row r="348" spans="1:10" x14ac:dyDescent="0.3">
      <c r="A348" s="68"/>
      <c r="B348" s="69"/>
      <c r="C348" s="69"/>
      <c r="D348" s="69"/>
      <c r="E348" s="82"/>
      <c r="F348" s="82"/>
      <c r="G348" s="82"/>
      <c r="H348" s="82"/>
      <c r="I348" s="77" t="str">
        <f t="shared" si="5"/>
        <v/>
      </c>
      <c r="J348" s="69"/>
    </row>
    <row r="349" spans="1:10" x14ac:dyDescent="0.3">
      <c r="A349" s="68"/>
      <c r="B349" s="69"/>
      <c r="C349" s="69"/>
      <c r="D349" s="69"/>
      <c r="E349" s="82"/>
      <c r="F349" s="82"/>
      <c r="G349" s="82"/>
      <c r="H349" s="82"/>
      <c r="I349" s="77" t="str">
        <f t="shared" si="5"/>
        <v/>
      </c>
      <c r="J349" s="69"/>
    </row>
    <row r="350" spans="1:10" x14ac:dyDescent="0.3">
      <c r="A350" s="68"/>
      <c r="B350" s="69"/>
      <c r="C350" s="69"/>
      <c r="D350" s="69"/>
      <c r="E350" s="82"/>
      <c r="F350" s="82"/>
      <c r="G350" s="82"/>
      <c r="H350" s="82"/>
      <c r="I350" s="77" t="str">
        <f t="shared" si="5"/>
        <v/>
      </c>
      <c r="J350" s="69"/>
    </row>
    <row r="351" spans="1:10" x14ac:dyDescent="0.3">
      <c r="A351" s="68"/>
      <c r="B351" s="69"/>
      <c r="C351" s="69"/>
      <c r="D351" s="69"/>
      <c r="E351" s="82"/>
      <c r="F351" s="82"/>
      <c r="G351" s="82"/>
      <c r="H351" s="82"/>
      <c r="I351" s="77" t="str">
        <f t="shared" si="5"/>
        <v/>
      </c>
      <c r="J351" s="69"/>
    </row>
    <row r="352" spans="1:10" x14ac:dyDescent="0.3">
      <c r="A352" s="68"/>
      <c r="B352" s="69"/>
      <c r="C352" s="69"/>
      <c r="D352" s="69"/>
      <c r="E352" s="82"/>
      <c r="F352" s="82"/>
      <c r="G352" s="82"/>
      <c r="H352" s="82"/>
      <c r="I352" s="77" t="str">
        <f t="shared" si="5"/>
        <v/>
      </c>
      <c r="J352" s="69"/>
    </row>
    <row r="353" spans="1:10" x14ac:dyDescent="0.3">
      <c r="A353" s="68"/>
      <c r="B353" s="69"/>
      <c r="C353" s="69"/>
      <c r="D353" s="69"/>
      <c r="E353" s="82"/>
      <c r="F353" s="82"/>
      <c r="G353" s="82"/>
      <c r="H353" s="82"/>
      <c r="I353" s="77" t="str">
        <f t="shared" si="5"/>
        <v/>
      </c>
      <c r="J353" s="69"/>
    </row>
    <row r="354" spans="1:10" x14ac:dyDescent="0.3">
      <c r="A354" s="68"/>
      <c r="B354" s="69"/>
      <c r="C354" s="69"/>
      <c r="D354" s="69"/>
      <c r="E354" s="82"/>
      <c r="F354" s="82"/>
      <c r="G354" s="82"/>
      <c r="H354" s="82"/>
      <c r="I354" s="77" t="str">
        <f t="shared" si="5"/>
        <v/>
      </c>
      <c r="J354" s="69"/>
    </row>
    <row r="355" spans="1:10" x14ac:dyDescent="0.3">
      <c r="A355" s="68"/>
      <c r="B355" s="69"/>
      <c r="C355" s="69"/>
      <c r="D355" s="69"/>
      <c r="E355" s="82"/>
      <c r="F355" s="82"/>
      <c r="G355" s="82"/>
      <c r="H355" s="82"/>
      <c r="I355" s="77" t="str">
        <f t="shared" si="5"/>
        <v/>
      </c>
      <c r="J355" s="69"/>
    </row>
    <row r="356" spans="1:10" x14ac:dyDescent="0.3">
      <c r="A356" s="68"/>
      <c r="B356" s="69"/>
      <c r="C356" s="69"/>
      <c r="D356" s="69"/>
      <c r="E356" s="82"/>
      <c r="F356" s="82"/>
      <c r="G356" s="82"/>
      <c r="H356" s="82"/>
      <c r="I356" s="77" t="str">
        <f t="shared" si="5"/>
        <v/>
      </c>
      <c r="J356" s="69"/>
    </row>
    <row r="357" spans="1:10" x14ac:dyDescent="0.3">
      <c r="A357" s="68"/>
      <c r="B357" s="69"/>
      <c r="C357" s="69"/>
      <c r="D357" s="69"/>
      <c r="E357" s="82"/>
      <c r="F357" s="82"/>
      <c r="G357" s="82"/>
      <c r="H357" s="82"/>
      <c r="I357" s="77" t="str">
        <f t="shared" si="5"/>
        <v/>
      </c>
      <c r="J357" s="69"/>
    </row>
    <row r="358" spans="1:10" x14ac:dyDescent="0.3">
      <c r="A358" s="68"/>
      <c r="B358" s="69"/>
      <c r="C358" s="69"/>
      <c r="D358" s="69"/>
      <c r="E358" s="82"/>
      <c r="F358" s="82"/>
      <c r="G358" s="82"/>
      <c r="H358" s="82"/>
      <c r="I358" s="77" t="str">
        <f t="shared" si="5"/>
        <v/>
      </c>
      <c r="J358" s="69"/>
    </row>
    <row r="359" spans="1:10" x14ac:dyDescent="0.3">
      <c r="A359" s="68"/>
      <c r="B359" s="69"/>
      <c r="C359" s="69"/>
      <c r="D359" s="69"/>
      <c r="E359" s="82"/>
      <c r="F359" s="82"/>
      <c r="G359" s="82"/>
      <c r="H359" s="82"/>
      <c r="I359" s="77" t="str">
        <f t="shared" si="5"/>
        <v/>
      </c>
      <c r="J359" s="69"/>
    </row>
    <row r="360" spans="1:10" x14ac:dyDescent="0.3">
      <c r="A360" s="68"/>
      <c r="B360" s="69"/>
      <c r="C360" s="69"/>
      <c r="D360" s="69"/>
      <c r="E360" s="82"/>
      <c r="F360" s="82"/>
      <c r="G360" s="82"/>
      <c r="H360" s="82"/>
      <c r="I360" s="77" t="str">
        <f t="shared" si="5"/>
        <v/>
      </c>
      <c r="J360" s="69"/>
    </row>
    <row r="361" spans="1:10" x14ac:dyDescent="0.3">
      <c r="A361" s="68"/>
      <c r="B361" s="69"/>
      <c r="C361" s="69"/>
      <c r="D361" s="69"/>
      <c r="E361" s="82"/>
      <c r="F361" s="82"/>
      <c r="G361" s="82"/>
      <c r="H361" s="82"/>
      <c r="I361" s="77" t="str">
        <f t="shared" si="5"/>
        <v/>
      </c>
      <c r="J361" s="69"/>
    </row>
    <row r="362" spans="1:10" x14ac:dyDescent="0.3">
      <c r="A362" s="68"/>
      <c r="B362" s="69"/>
      <c r="C362" s="69"/>
      <c r="D362" s="69"/>
      <c r="E362" s="82"/>
      <c r="F362" s="82"/>
      <c r="G362" s="82"/>
      <c r="H362" s="82"/>
      <c r="I362" s="77" t="str">
        <f t="shared" si="5"/>
        <v/>
      </c>
      <c r="J362" s="69"/>
    </row>
    <row r="363" spans="1:10" x14ac:dyDescent="0.3">
      <c r="A363" s="68"/>
      <c r="B363" s="69"/>
      <c r="C363" s="69"/>
      <c r="D363" s="69"/>
      <c r="E363" s="82"/>
      <c r="F363" s="82"/>
      <c r="G363" s="82"/>
      <c r="H363" s="82"/>
      <c r="I363" s="77" t="str">
        <f t="shared" si="5"/>
        <v/>
      </c>
      <c r="J363" s="69"/>
    </row>
    <row r="364" spans="1:10" x14ac:dyDescent="0.3">
      <c r="A364" s="68"/>
      <c r="B364" s="69"/>
      <c r="C364" s="69"/>
      <c r="D364" s="69"/>
      <c r="E364" s="82"/>
      <c r="F364" s="82"/>
      <c r="G364" s="82"/>
      <c r="H364" s="82"/>
      <c r="I364" s="77" t="str">
        <f t="shared" si="5"/>
        <v/>
      </c>
      <c r="J364" s="69"/>
    </row>
    <row r="365" spans="1:10" x14ac:dyDescent="0.3">
      <c r="A365" s="68"/>
      <c r="B365" s="69"/>
      <c r="C365" s="69"/>
      <c r="D365" s="69"/>
      <c r="E365" s="82"/>
      <c r="F365" s="82"/>
      <c r="G365" s="82"/>
      <c r="H365" s="82"/>
      <c r="I365" s="77" t="str">
        <f t="shared" si="5"/>
        <v/>
      </c>
      <c r="J365" s="69"/>
    </row>
    <row r="366" spans="1:10" x14ac:dyDescent="0.3">
      <c r="A366" s="68"/>
      <c r="B366" s="69"/>
      <c r="C366" s="69"/>
      <c r="D366" s="69"/>
      <c r="E366" s="82"/>
      <c r="F366" s="82"/>
      <c r="G366" s="82"/>
      <c r="H366" s="82"/>
      <c r="I366" s="77" t="str">
        <f t="shared" si="5"/>
        <v/>
      </c>
      <c r="J366" s="69"/>
    </row>
    <row r="367" spans="1:10" x14ac:dyDescent="0.3">
      <c r="A367" s="68"/>
      <c r="B367" s="69"/>
      <c r="C367" s="69"/>
      <c r="D367" s="69"/>
      <c r="E367" s="82"/>
      <c r="F367" s="82"/>
      <c r="G367" s="82"/>
      <c r="H367" s="82"/>
      <c r="I367" s="77" t="str">
        <f t="shared" si="5"/>
        <v/>
      </c>
      <c r="J367" s="69"/>
    </row>
    <row r="368" spans="1:10" x14ac:dyDescent="0.3">
      <c r="A368" s="68"/>
      <c r="B368" s="69"/>
      <c r="C368" s="69"/>
      <c r="D368" s="69"/>
      <c r="E368" s="82"/>
      <c r="F368" s="82"/>
      <c r="G368" s="82"/>
      <c r="H368" s="82"/>
      <c r="I368" s="77" t="str">
        <f t="shared" si="5"/>
        <v/>
      </c>
      <c r="J368" s="69"/>
    </row>
    <row r="369" spans="1:10" x14ac:dyDescent="0.3">
      <c r="A369" s="68"/>
      <c r="B369" s="69"/>
      <c r="C369" s="69"/>
      <c r="D369" s="69"/>
      <c r="E369" s="82"/>
      <c r="F369" s="82"/>
      <c r="G369" s="82"/>
      <c r="H369" s="82"/>
      <c r="I369" s="77" t="str">
        <f t="shared" si="5"/>
        <v/>
      </c>
      <c r="J369" s="69"/>
    </row>
    <row r="370" spans="1:10" x14ac:dyDescent="0.3">
      <c r="A370" s="68"/>
      <c r="B370" s="69"/>
      <c r="C370" s="69"/>
      <c r="D370" s="69"/>
      <c r="E370" s="82"/>
      <c r="F370" s="82"/>
      <c r="G370" s="82"/>
      <c r="H370" s="82"/>
      <c r="I370" s="77" t="str">
        <f t="shared" si="5"/>
        <v/>
      </c>
      <c r="J370" s="69"/>
    </row>
    <row r="371" spans="1:10" x14ac:dyDescent="0.3">
      <c r="A371" s="68"/>
      <c r="B371" s="69"/>
      <c r="C371" s="69"/>
      <c r="D371" s="69"/>
      <c r="E371" s="82"/>
      <c r="F371" s="82"/>
      <c r="G371" s="82"/>
      <c r="H371" s="82"/>
      <c r="I371" s="77" t="str">
        <f t="shared" si="5"/>
        <v/>
      </c>
      <c r="J371" s="69"/>
    </row>
    <row r="372" spans="1:10" x14ac:dyDescent="0.3">
      <c r="A372" s="68"/>
      <c r="B372" s="69"/>
      <c r="C372" s="69"/>
      <c r="D372" s="69"/>
      <c r="E372" s="82"/>
      <c r="F372" s="82"/>
      <c r="G372" s="82"/>
      <c r="H372" s="82"/>
      <c r="I372" s="77" t="str">
        <f t="shared" si="5"/>
        <v/>
      </c>
      <c r="J372" s="69"/>
    </row>
    <row r="373" spans="1:10" x14ac:dyDescent="0.3">
      <c r="A373" s="68"/>
      <c r="B373" s="69"/>
      <c r="C373" s="69"/>
      <c r="D373" s="69"/>
      <c r="E373" s="82"/>
      <c r="F373" s="82"/>
      <c r="G373" s="82"/>
      <c r="H373" s="82"/>
      <c r="I373" s="77" t="str">
        <f t="shared" si="5"/>
        <v/>
      </c>
      <c r="J373" s="69"/>
    </row>
    <row r="374" spans="1:10" x14ac:dyDescent="0.3">
      <c r="A374" s="68"/>
      <c r="B374" s="69"/>
      <c r="C374" s="69"/>
      <c r="D374" s="69"/>
      <c r="E374" s="82"/>
      <c r="F374" s="82"/>
      <c r="G374" s="82"/>
      <c r="H374" s="82"/>
      <c r="I374" s="77" t="str">
        <f t="shared" si="5"/>
        <v/>
      </c>
      <c r="J374" s="69"/>
    </row>
    <row r="375" spans="1:10" x14ac:dyDescent="0.3">
      <c r="A375" s="68"/>
      <c r="B375" s="69"/>
      <c r="C375" s="69"/>
      <c r="D375" s="69"/>
      <c r="E375" s="82"/>
      <c r="F375" s="82"/>
      <c r="G375" s="82"/>
      <c r="H375" s="82"/>
      <c r="I375" s="77" t="str">
        <f t="shared" si="5"/>
        <v/>
      </c>
      <c r="J375" s="69"/>
    </row>
    <row r="376" spans="1:10" x14ac:dyDescent="0.3">
      <c r="A376" s="68"/>
      <c r="B376" s="69"/>
      <c r="C376" s="69"/>
      <c r="D376" s="69"/>
      <c r="E376" s="82"/>
      <c r="F376" s="82"/>
      <c r="G376" s="82"/>
      <c r="H376" s="82"/>
      <c r="I376" s="77" t="str">
        <f t="shared" si="5"/>
        <v/>
      </c>
      <c r="J376" s="69"/>
    </row>
    <row r="377" spans="1:10" x14ac:dyDescent="0.3">
      <c r="A377" s="68"/>
      <c r="B377" s="69"/>
      <c r="C377" s="69"/>
      <c r="D377" s="69"/>
      <c r="E377" s="82"/>
      <c r="F377" s="82"/>
      <c r="G377" s="82"/>
      <c r="H377" s="82"/>
      <c r="I377" s="77" t="str">
        <f t="shared" si="5"/>
        <v/>
      </c>
      <c r="J377" s="69"/>
    </row>
    <row r="378" spans="1:10" x14ac:dyDescent="0.3">
      <c r="A378" s="68"/>
      <c r="B378" s="69"/>
      <c r="C378" s="69"/>
      <c r="D378" s="69"/>
      <c r="E378" s="82"/>
      <c r="F378" s="82"/>
      <c r="G378" s="82"/>
      <c r="H378" s="82"/>
      <c r="I378" s="77" t="str">
        <f t="shared" si="5"/>
        <v/>
      </c>
      <c r="J378" s="69"/>
    </row>
    <row r="379" spans="1:10" x14ac:dyDescent="0.3">
      <c r="A379" s="68"/>
      <c r="B379" s="69"/>
      <c r="C379" s="69"/>
      <c r="D379" s="69"/>
      <c r="E379" s="82"/>
      <c r="F379" s="82"/>
      <c r="G379" s="82"/>
      <c r="H379" s="82"/>
      <c r="I379" s="77" t="str">
        <f t="shared" si="5"/>
        <v/>
      </c>
      <c r="J379" s="69"/>
    </row>
    <row r="380" spans="1:10" x14ac:dyDescent="0.3">
      <c r="A380" s="68"/>
      <c r="B380" s="69"/>
      <c r="C380" s="69"/>
      <c r="D380" s="69"/>
      <c r="E380" s="82"/>
      <c r="F380" s="82"/>
      <c r="G380" s="82"/>
      <c r="H380" s="82"/>
      <c r="I380" s="77" t="str">
        <f t="shared" si="5"/>
        <v/>
      </c>
      <c r="J380" s="69"/>
    </row>
    <row r="381" spans="1:10" x14ac:dyDescent="0.3">
      <c r="A381" s="68"/>
      <c r="B381" s="69"/>
      <c r="C381" s="69"/>
      <c r="D381" s="69"/>
      <c r="E381" s="82"/>
      <c r="F381" s="82"/>
      <c r="G381" s="82"/>
      <c r="H381" s="82"/>
      <c r="I381" s="77" t="str">
        <f t="shared" si="5"/>
        <v/>
      </c>
      <c r="J381" s="69"/>
    </row>
    <row r="382" spans="1:10" x14ac:dyDescent="0.3">
      <c r="A382" s="68"/>
      <c r="B382" s="69"/>
      <c r="C382" s="69"/>
      <c r="D382" s="69"/>
      <c r="E382" s="82"/>
      <c r="F382" s="82"/>
      <c r="G382" s="82"/>
      <c r="H382" s="82"/>
      <c r="I382" s="77" t="str">
        <f t="shared" si="5"/>
        <v/>
      </c>
      <c r="J382" s="69"/>
    </row>
    <row r="383" spans="1:10" x14ac:dyDescent="0.3">
      <c r="A383" s="68"/>
      <c r="B383" s="69"/>
      <c r="C383" s="69"/>
      <c r="D383" s="69"/>
      <c r="E383" s="82"/>
      <c r="F383" s="82"/>
      <c r="G383" s="82"/>
      <c r="H383" s="82"/>
      <c r="I383" s="77" t="str">
        <f t="shared" si="5"/>
        <v/>
      </c>
      <c r="J383" s="69"/>
    </row>
    <row r="384" spans="1:10" x14ac:dyDescent="0.3">
      <c r="A384" s="68"/>
      <c r="B384" s="69"/>
      <c r="C384" s="69"/>
      <c r="D384" s="69"/>
      <c r="E384" s="82"/>
      <c r="F384" s="82"/>
      <c r="G384" s="82"/>
      <c r="H384" s="82"/>
      <c r="I384" s="77" t="str">
        <f t="shared" si="5"/>
        <v/>
      </c>
      <c r="J384" s="69"/>
    </row>
    <row r="385" spans="1:10" x14ac:dyDescent="0.3">
      <c r="A385" s="68"/>
      <c r="B385" s="69"/>
      <c r="C385" s="69"/>
      <c r="D385" s="69"/>
      <c r="E385" s="82"/>
      <c r="F385" s="82"/>
      <c r="G385" s="82"/>
      <c r="H385" s="82"/>
      <c r="I385" s="77" t="str">
        <f t="shared" si="5"/>
        <v/>
      </c>
      <c r="J385" s="69"/>
    </row>
    <row r="386" spans="1:10" x14ac:dyDescent="0.3">
      <c r="A386" s="68"/>
      <c r="B386" s="69"/>
      <c r="C386" s="69"/>
      <c r="D386" s="69"/>
      <c r="E386" s="82"/>
      <c r="F386" s="82"/>
      <c r="G386" s="82"/>
      <c r="H386" s="82"/>
      <c r="I386" s="77" t="str">
        <f t="shared" si="5"/>
        <v/>
      </c>
      <c r="J386" s="69"/>
    </row>
    <row r="387" spans="1:10" x14ac:dyDescent="0.3">
      <c r="A387" s="68"/>
      <c r="B387" s="69"/>
      <c r="C387" s="69"/>
      <c r="D387" s="69"/>
      <c r="E387" s="82"/>
      <c r="F387" s="82"/>
      <c r="G387" s="82"/>
      <c r="H387" s="82"/>
      <c r="I387" s="77" t="str">
        <f t="shared" si="5"/>
        <v/>
      </c>
      <c r="J387" s="69"/>
    </row>
    <row r="388" spans="1:10" x14ac:dyDescent="0.3">
      <c r="A388" s="68"/>
      <c r="B388" s="69"/>
      <c r="C388" s="69"/>
      <c r="D388" s="69"/>
      <c r="E388" s="82"/>
      <c r="F388" s="82"/>
      <c r="G388" s="82"/>
      <c r="H388" s="82"/>
      <c r="I388" s="77" t="str">
        <f t="shared" si="5"/>
        <v/>
      </c>
      <c r="J388" s="69"/>
    </row>
    <row r="389" spans="1:10" x14ac:dyDescent="0.3">
      <c r="A389" s="68"/>
      <c r="B389" s="69"/>
      <c r="C389" s="69"/>
      <c r="D389" s="69"/>
      <c r="E389" s="82"/>
      <c r="F389" s="82"/>
      <c r="G389" s="82"/>
      <c r="H389" s="82"/>
      <c r="I389" s="77" t="str">
        <f t="shared" ref="I389:I452" si="6">IF(COUNT(E389:H389)=0,"",AVERAGE(E389:H389))</f>
        <v/>
      </c>
      <c r="J389" s="69"/>
    </row>
    <row r="390" spans="1:10" x14ac:dyDescent="0.3">
      <c r="A390" s="68"/>
      <c r="B390" s="69"/>
      <c r="C390" s="69"/>
      <c r="D390" s="69"/>
      <c r="E390" s="82"/>
      <c r="F390" s="82"/>
      <c r="G390" s="82"/>
      <c r="H390" s="82"/>
      <c r="I390" s="77" t="str">
        <f t="shared" si="6"/>
        <v/>
      </c>
      <c r="J390" s="69"/>
    </row>
    <row r="391" spans="1:10" x14ac:dyDescent="0.3">
      <c r="A391" s="68"/>
      <c r="B391" s="69"/>
      <c r="C391" s="69"/>
      <c r="D391" s="69"/>
      <c r="E391" s="82"/>
      <c r="F391" s="82"/>
      <c r="G391" s="82"/>
      <c r="H391" s="82"/>
      <c r="I391" s="77" t="str">
        <f t="shared" si="6"/>
        <v/>
      </c>
      <c r="J391" s="69"/>
    </row>
    <row r="392" spans="1:10" x14ac:dyDescent="0.3">
      <c r="A392" s="68"/>
      <c r="B392" s="69"/>
      <c r="C392" s="69"/>
      <c r="D392" s="69"/>
      <c r="E392" s="82"/>
      <c r="F392" s="82"/>
      <c r="G392" s="82"/>
      <c r="H392" s="82"/>
      <c r="I392" s="77" t="str">
        <f t="shared" si="6"/>
        <v/>
      </c>
      <c r="J392" s="69"/>
    </row>
    <row r="393" spans="1:10" x14ac:dyDescent="0.3">
      <c r="A393" s="68"/>
      <c r="B393" s="69"/>
      <c r="C393" s="69"/>
      <c r="D393" s="69"/>
      <c r="E393" s="82"/>
      <c r="F393" s="82"/>
      <c r="G393" s="82"/>
      <c r="H393" s="82"/>
      <c r="I393" s="77" t="str">
        <f t="shared" si="6"/>
        <v/>
      </c>
      <c r="J393" s="69"/>
    </row>
    <row r="394" spans="1:10" x14ac:dyDescent="0.3">
      <c r="A394" s="68"/>
      <c r="B394" s="69"/>
      <c r="C394" s="69"/>
      <c r="D394" s="69"/>
      <c r="E394" s="82"/>
      <c r="F394" s="82"/>
      <c r="G394" s="82"/>
      <c r="H394" s="82"/>
      <c r="I394" s="77" t="str">
        <f t="shared" si="6"/>
        <v/>
      </c>
      <c r="J394" s="69"/>
    </row>
    <row r="395" spans="1:10" x14ac:dyDescent="0.3">
      <c r="A395" s="68"/>
      <c r="B395" s="69"/>
      <c r="C395" s="69"/>
      <c r="D395" s="69"/>
      <c r="E395" s="82"/>
      <c r="F395" s="82"/>
      <c r="G395" s="82"/>
      <c r="H395" s="82"/>
      <c r="I395" s="77" t="str">
        <f t="shared" si="6"/>
        <v/>
      </c>
      <c r="J395" s="69"/>
    </row>
    <row r="396" spans="1:10" x14ac:dyDescent="0.3">
      <c r="A396" s="68"/>
      <c r="B396" s="69"/>
      <c r="C396" s="69"/>
      <c r="D396" s="69"/>
      <c r="E396" s="82"/>
      <c r="F396" s="82"/>
      <c r="G396" s="82"/>
      <c r="H396" s="82"/>
      <c r="I396" s="77" t="str">
        <f t="shared" si="6"/>
        <v/>
      </c>
      <c r="J396" s="69"/>
    </row>
    <row r="397" spans="1:10" x14ac:dyDescent="0.3">
      <c r="A397" s="68"/>
      <c r="B397" s="69"/>
      <c r="C397" s="69"/>
      <c r="D397" s="69"/>
      <c r="E397" s="82"/>
      <c r="F397" s="82"/>
      <c r="G397" s="82"/>
      <c r="H397" s="82"/>
      <c r="I397" s="77" t="str">
        <f t="shared" si="6"/>
        <v/>
      </c>
      <c r="J397" s="69"/>
    </row>
    <row r="398" spans="1:10" x14ac:dyDescent="0.3">
      <c r="A398" s="68"/>
      <c r="B398" s="69"/>
      <c r="C398" s="69"/>
      <c r="D398" s="69"/>
      <c r="E398" s="82"/>
      <c r="F398" s="82"/>
      <c r="G398" s="82"/>
      <c r="H398" s="82"/>
      <c r="I398" s="77" t="str">
        <f t="shared" si="6"/>
        <v/>
      </c>
      <c r="J398" s="69"/>
    </row>
    <row r="399" spans="1:10" x14ac:dyDescent="0.3">
      <c r="A399" s="68"/>
      <c r="B399" s="69"/>
      <c r="C399" s="69"/>
      <c r="D399" s="69"/>
      <c r="E399" s="82"/>
      <c r="F399" s="82"/>
      <c r="G399" s="82"/>
      <c r="H399" s="82"/>
      <c r="I399" s="77" t="str">
        <f t="shared" si="6"/>
        <v/>
      </c>
      <c r="J399" s="69"/>
    </row>
    <row r="400" spans="1:10" x14ac:dyDescent="0.3">
      <c r="A400" s="68"/>
      <c r="B400" s="69"/>
      <c r="C400" s="69"/>
      <c r="D400" s="69"/>
      <c r="E400" s="82"/>
      <c r="F400" s="82"/>
      <c r="G400" s="82"/>
      <c r="H400" s="82"/>
      <c r="I400" s="77" t="str">
        <f t="shared" si="6"/>
        <v/>
      </c>
      <c r="J400" s="69"/>
    </row>
    <row r="401" spans="1:10" x14ac:dyDescent="0.3">
      <c r="A401" s="68"/>
      <c r="B401" s="69"/>
      <c r="C401" s="69"/>
      <c r="D401" s="69"/>
      <c r="E401" s="82"/>
      <c r="F401" s="82"/>
      <c r="G401" s="82"/>
      <c r="H401" s="82"/>
      <c r="I401" s="77" t="str">
        <f t="shared" si="6"/>
        <v/>
      </c>
      <c r="J401" s="69"/>
    </row>
    <row r="402" spans="1:10" x14ac:dyDescent="0.3">
      <c r="A402" s="68"/>
      <c r="B402" s="69"/>
      <c r="C402" s="69"/>
      <c r="D402" s="69"/>
      <c r="E402" s="82"/>
      <c r="F402" s="82"/>
      <c r="G402" s="82"/>
      <c r="H402" s="82"/>
      <c r="I402" s="77" t="str">
        <f t="shared" si="6"/>
        <v/>
      </c>
      <c r="J402" s="69"/>
    </row>
    <row r="403" spans="1:10" x14ac:dyDescent="0.3">
      <c r="A403" s="68"/>
      <c r="B403" s="69"/>
      <c r="C403" s="69"/>
      <c r="D403" s="69"/>
      <c r="E403" s="82"/>
      <c r="F403" s="82"/>
      <c r="G403" s="82"/>
      <c r="H403" s="82"/>
      <c r="I403" s="77" t="str">
        <f t="shared" si="6"/>
        <v/>
      </c>
      <c r="J403" s="69"/>
    </row>
    <row r="404" spans="1:10" x14ac:dyDescent="0.3">
      <c r="A404" s="68"/>
      <c r="B404" s="69"/>
      <c r="C404" s="69"/>
      <c r="D404" s="69"/>
      <c r="E404" s="82"/>
      <c r="F404" s="82"/>
      <c r="G404" s="82"/>
      <c r="H404" s="82"/>
      <c r="I404" s="77" t="str">
        <f t="shared" si="6"/>
        <v/>
      </c>
      <c r="J404" s="69"/>
    </row>
    <row r="405" spans="1:10" x14ac:dyDescent="0.3">
      <c r="A405" s="68"/>
      <c r="B405" s="69"/>
      <c r="C405" s="69"/>
      <c r="D405" s="69"/>
      <c r="E405" s="82"/>
      <c r="F405" s="82"/>
      <c r="G405" s="82"/>
      <c r="H405" s="82"/>
      <c r="I405" s="77" t="str">
        <f t="shared" si="6"/>
        <v/>
      </c>
      <c r="J405" s="69"/>
    </row>
    <row r="406" spans="1:10" x14ac:dyDescent="0.3">
      <c r="A406" s="68"/>
      <c r="B406" s="69"/>
      <c r="C406" s="69"/>
      <c r="D406" s="69"/>
      <c r="E406" s="82"/>
      <c r="F406" s="82"/>
      <c r="G406" s="82"/>
      <c r="H406" s="82"/>
      <c r="I406" s="77" t="str">
        <f t="shared" si="6"/>
        <v/>
      </c>
      <c r="J406" s="69"/>
    </row>
    <row r="407" spans="1:10" x14ac:dyDescent="0.3">
      <c r="A407" s="68"/>
      <c r="B407" s="69"/>
      <c r="C407" s="69"/>
      <c r="D407" s="69"/>
      <c r="E407" s="82"/>
      <c r="F407" s="82"/>
      <c r="G407" s="82"/>
      <c r="H407" s="82"/>
      <c r="I407" s="77" t="str">
        <f t="shared" si="6"/>
        <v/>
      </c>
      <c r="J407" s="69"/>
    </row>
    <row r="408" spans="1:10" x14ac:dyDescent="0.3">
      <c r="A408" s="68"/>
      <c r="B408" s="69"/>
      <c r="C408" s="69"/>
      <c r="D408" s="69"/>
      <c r="E408" s="82"/>
      <c r="F408" s="82"/>
      <c r="G408" s="82"/>
      <c r="H408" s="82"/>
      <c r="I408" s="77" t="str">
        <f t="shared" si="6"/>
        <v/>
      </c>
      <c r="J408" s="69"/>
    </row>
    <row r="409" spans="1:10" x14ac:dyDescent="0.3">
      <c r="A409" s="68"/>
      <c r="B409" s="69"/>
      <c r="C409" s="69"/>
      <c r="D409" s="69"/>
      <c r="E409" s="82"/>
      <c r="F409" s="82"/>
      <c r="G409" s="82"/>
      <c r="H409" s="82"/>
      <c r="I409" s="77" t="str">
        <f t="shared" si="6"/>
        <v/>
      </c>
      <c r="J409" s="69"/>
    </row>
    <row r="410" spans="1:10" x14ac:dyDescent="0.3">
      <c r="A410" s="68"/>
      <c r="B410" s="69"/>
      <c r="C410" s="69"/>
      <c r="D410" s="69"/>
      <c r="E410" s="82"/>
      <c r="F410" s="82"/>
      <c r="G410" s="82"/>
      <c r="H410" s="82"/>
      <c r="I410" s="77" t="str">
        <f t="shared" si="6"/>
        <v/>
      </c>
      <c r="J410" s="69"/>
    </row>
    <row r="411" spans="1:10" x14ac:dyDescent="0.3">
      <c r="A411" s="68"/>
      <c r="B411" s="69"/>
      <c r="C411" s="69"/>
      <c r="D411" s="69"/>
      <c r="E411" s="82"/>
      <c r="F411" s="82"/>
      <c r="G411" s="82"/>
      <c r="H411" s="82"/>
      <c r="I411" s="77" t="str">
        <f t="shared" si="6"/>
        <v/>
      </c>
      <c r="J411" s="69"/>
    </row>
    <row r="412" spans="1:10" x14ac:dyDescent="0.3">
      <c r="A412" s="68"/>
      <c r="B412" s="69"/>
      <c r="C412" s="69"/>
      <c r="D412" s="69"/>
      <c r="E412" s="82"/>
      <c r="F412" s="82"/>
      <c r="G412" s="82"/>
      <c r="H412" s="82"/>
      <c r="I412" s="77" t="str">
        <f t="shared" si="6"/>
        <v/>
      </c>
      <c r="J412" s="69"/>
    </row>
    <row r="413" spans="1:10" x14ac:dyDescent="0.3">
      <c r="A413" s="68"/>
      <c r="B413" s="69"/>
      <c r="C413" s="69"/>
      <c r="D413" s="69"/>
      <c r="E413" s="82"/>
      <c r="F413" s="82"/>
      <c r="G413" s="82"/>
      <c r="H413" s="82"/>
      <c r="I413" s="77" t="str">
        <f t="shared" si="6"/>
        <v/>
      </c>
      <c r="J413" s="69"/>
    </row>
    <row r="414" spans="1:10" x14ac:dyDescent="0.3">
      <c r="A414" s="68"/>
      <c r="B414" s="69"/>
      <c r="C414" s="69"/>
      <c r="D414" s="69"/>
      <c r="E414" s="82"/>
      <c r="F414" s="82"/>
      <c r="G414" s="82"/>
      <c r="H414" s="82"/>
      <c r="I414" s="77" t="str">
        <f t="shared" si="6"/>
        <v/>
      </c>
      <c r="J414" s="69"/>
    </row>
    <row r="415" spans="1:10" x14ac:dyDescent="0.3">
      <c r="A415" s="68"/>
      <c r="B415" s="69"/>
      <c r="C415" s="69"/>
      <c r="D415" s="69"/>
      <c r="E415" s="82"/>
      <c r="F415" s="82"/>
      <c r="G415" s="82"/>
      <c r="H415" s="82"/>
      <c r="I415" s="77" t="str">
        <f t="shared" si="6"/>
        <v/>
      </c>
      <c r="J415" s="69"/>
    </row>
    <row r="416" spans="1:10" x14ac:dyDescent="0.3">
      <c r="A416" s="68"/>
      <c r="B416" s="69"/>
      <c r="C416" s="69"/>
      <c r="D416" s="69"/>
      <c r="E416" s="82"/>
      <c r="F416" s="82"/>
      <c r="G416" s="82"/>
      <c r="H416" s="82"/>
      <c r="I416" s="77" t="str">
        <f t="shared" si="6"/>
        <v/>
      </c>
      <c r="J416" s="69"/>
    </row>
    <row r="417" spans="1:10" x14ac:dyDescent="0.3">
      <c r="A417" s="68"/>
      <c r="B417" s="69"/>
      <c r="C417" s="69"/>
      <c r="D417" s="69"/>
      <c r="E417" s="82"/>
      <c r="F417" s="82"/>
      <c r="G417" s="82"/>
      <c r="H417" s="82"/>
      <c r="I417" s="77" t="str">
        <f t="shared" si="6"/>
        <v/>
      </c>
      <c r="J417" s="69"/>
    </row>
    <row r="418" spans="1:10" x14ac:dyDescent="0.3">
      <c r="A418" s="68"/>
      <c r="B418" s="69"/>
      <c r="C418" s="69"/>
      <c r="D418" s="69"/>
      <c r="E418" s="82"/>
      <c r="F418" s="82"/>
      <c r="G418" s="82"/>
      <c r="H418" s="82"/>
      <c r="I418" s="77" t="str">
        <f t="shared" si="6"/>
        <v/>
      </c>
      <c r="J418" s="69"/>
    </row>
    <row r="419" spans="1:10" x14ac:dyDescent="0.3">
      <c r="A419" s="68"/>
      <c r="B419" s="69"/>
      <c r="C419" s="69"/>
      <c r="D419" s="69"/>
      <c r="E419" s="82"/>
      <c r="F419" s="82"/>
      <c r="G419" s="82"/>
      <c r="H419" s="82"/>
      <c r="I419" s="77" t="str">
        <f t="shared" si="6"/>
        <v/>
      </c>
      <c r="J419" s="69"/>
    </row>
    <row r="420" spans="1:10" x14ac:dyDescent="0.3">
      <c r="A420" s="68"/>
      <c r="B420" s="69"/>
      <c r="C420" s="69"/>
      <c r="D420" s="69"/>
      <c r="E420" s="82"/>
      <c r="F420" s="82"/>
      <c r="G420" s="82"/>
      <c r="H420" s="82"/>
      <c r="I420" s="77" t="str">
        <f t="shared" si="6"/>
        <v/>
      </c>
      <c r="J420" s="69"/>
    </row>
    <row r="421" spans="1:10" x14ac:dyDescent="0.3">
      <c r="A421" s="68"/>
      <c r="B421" s="69"/>
      <c r="C421" s="69"/>
      <c r="D421" s="69"/>
      <c r="E421" s="82"/>
      <c r="F421" s="82"/>
      <c r="G421" s="82"/>
      <c r="H421" s="82"/>
      <c r="I421" s="77" t="str">
        <f t="shared" si="6"/>
        <v/>
      </c>
      <c r="J421" s="69"/>
    </row>
    <row r="422" spans="1:10" x14ac:dyDescent="0.3">
      <c r="A422" s="68"/>
      <c r="B422" s="69"/>
      <c r="C422" s="69"/>
      <c r="D422" s="69"/>
      <c r="E422" s="82"/>
      <c r="F422" s="82"/>
      <c r="G422" s="82"/>
      <c r="H422" s="82"/>
      <c r="I422" s="77" t="str">
        <f t="shared" si="6"/>
        <v/>
      </c>
      <c r="J422" s="69"/>
    </row>
    <row r="423" spans="1:10" x14ac:dyDescent="0.3">
      <c r="A423" s="68"/>
      <c r="B423" s="69"/>
      <c r="C423" s="69"/>
      <c r="D423" s="69"/>
      <c r="E423" s="82"/>
      <c r="F423" s="82"/>
      <c r="G423" s="82"/>
      <c r="H423" s="82"/>
      <c r="I423" s="77" t="str">
        <f t="shared" si="6"/>
        <v/>
      </c>
      <c r="J423" s="69"/>
    </row>
    <row r="424" spans="1:10" x14ac:dyDescent="0.3">
      <c r="A424" s="68"/>
      <c r="B424" s="69"/>
      <c r="C424" s="69"/>
      <c r="D424" s="69"/>
      <c r="E424" s="82"/>
      <c r="F424" s="82"/>
      <c r="G424" s="82"/>
      <c r="H424" s="82"/>
      <c r="I424" s="77" t="str">
        <f t="shared" si="6"/>
        <v/>
      </c>
      <c r="J424" s="69"/>
    </row>
    <row r="425" spans="1:10" x14ac:dyDescent="0.3">
      <c r="A425" s="68"/>
      <c r="B425" s="69"/>
      <c r="C425" s="69"/>
      <c r="D425" s="69"/>
      <c r="E425" s="82"/>
      <c r="F425" s="82"/>
      <c r="G425" s="82"/>
      <c r="H425" s="82"/>
      <c r="I425" s="77" t="str">
        <f t="shared" si="6"/>
        <v/>
      </c>
      <c r="J425" s="69"/>
    </row>
    <row r="426" spans="1:10" x14ac:dyDescent="0.3">
      <c r="A426" s="68"/>
      <c r="B426" s="69"/>
      <c r="C426" s="69"/>
      <c r="D426" s="69"/>
      <c r="E426" s="82"/>
      <c r="F426" s="82"/>
      <c r="G426" s="82"/>
      <c r="H426" s="82"/>
      <c r="I426" s="77" t="str">
        <f t="shared" si="6"/>
        <v/>
      </c>
      <c r="J426" s="69"/>
    </row>
    <row r="427" spans="1:10" x14ac:dyDescent="0.3">
      <c r="A427" s="68"/>
      <c r="B427" s="69"/>
      <c r="C427" s="69"/>
      <c r="D427" s="69"/>
      <c r="E427" s="82"/>
      <c r="F427" s="82"/>
      <c r="G427" s="82"/>
      <c r="H427" s="82"/>
      <c r="I427" s="77" t="str">
        <f t="shared" si="6"/>
        <v/>
      </c>
      <c r="J427" s="69"/>
    </row>
    <row r="428" spans="1:10" x14ac:dyDescent="0.3">
      <c r="A428" s="68"/>
      <c r="B428" s="69"/>
      <c r="C428" s="69"/>
      <c r="D428" s="69"/>
      <c r="E428" s="82"/>
      <c r="F428" s="82"/>
      <c r="G428" s="82"/>
      <c r="H428" s="82"/>
      <c r="I428" s="77" t="str">
        <f t="shared" si="6"/>
        <v/>
      </c>
      <c r="J428" s="69"/>
    </row>
    <row r="429" spans="1:10" x14ac:dyDescent="0.3">
      <c r="A429" s="68"/>
      <c r="B429" s="69"/>
      <c r="C429" s="69"/>
      <c r="D429" s="69"/>
      <c r="E429" s="82"/>
      <c r="F429" s="82"/>
      <c r="G429" s="82"/>
      <c r="H429" s="82"/>
      <c r="I429" s="77" t="str">
        <f t="shared" si="6"/>
        <v/>
      </c>
      <c r="J429" s="69"/>
    </row>
    <row r="430" spans="1:10" x14ac:dyDescent="0.3">
      <c r="A430" s="68"/>
      <c r="B430" s="69"/>
      <c r="C430" s="69"/>
      <c r="D430" s="69"/>
      <c r="E430" s="82"/>
      <c r="F430" s="82"/>
      <c r="G430" s="82"/>
      <c r="H430" s="82"/>
      <c r="I430" s="77" t="str">
        <f t="shared" si="6"/>
        <v/>
      </c>
      <c r="J430" s="69"/>
    </row>
    <row r="431" spans="1:10" x14ac:dyDescent="0.3">
      <c r="A431" s="68"/>
      <c r="B431" s="69"/>
      <c r="C431" s="69"/>
      <c r="D431" s="69"/>
      <c r="E431" s="82"/>
      <c r="F431" s="82"/>
      <c r="G431" s="82"/>
      <c r="H431" s="82"/>
      <c r="I431" s="77" t="str">
        <f t="shared" si="6"/>
        <v/>
      </c>
      <c r="J431" s="69"/>
    </row>
    <row r="432" spans="1:10" x14ac:dyDescent="0.3">
      <c r="A432" s="68"/>
      <c r="B432" s="69"/>
      <c r="C432" s="69"/>
      <c r="D432" s="69"/>
      <c r="E432" s="82"/>
      <c r="F432" s="82"/>
      <c r="G432" s="82"/>
      <c r="H432" s="82"/>
      <c r="I432" s="77" t="str">
        <f t="shared" si="6"/>
        <v/>
      </c>
      <c r="J432" s="69"/>
    </row>
    <row r="433" spans="1:10" x14ac:dyDescent="0.3">
      <c r="A433" s="68"/>
      <c r="B433" s="69"/>
      <c r="C433" s="69"/>
      <c r="D433" s="69"/>
      <c r="E433" s="82"/>
      <c r="F433" s="82"/>
      <c r="G433" s="82"/>
      <c r="H433" s="82"/>
      <c r="I433" s="77" t="str">
        <f t="shared" si="6"/>
        <v/>
      </c>
      <c r="J433" s="69"/>
    </row>
    <row r="434" spans="1:10" x14ac:dyDescent="0.3">
      <c r="A434" s="68"/>
      <c r="B434" s="69"/>
      <c r="C434" s="69"/>
      <c r="D434" s="69"/>
      <c r="E434" s="82"/>
      <c r="F434" s="82"/>
      <c r="G434" s="82"/>
      <c r="H434" s="82"/>
      <c r="I434" s="77" t="str">
        <f t="shared" si="6"/>
        <v/>
      </c>
      <c r="J434" s="69"/>
    </row>
    <row r="435" spans="1:10" x14ac:dyDescent="0.3">
      <c r="A435" s="68"/>
      <c r="B435" s="69"/>
      <c r="C435" s="69"/>
      <c r="D435" s="69"/>
      <c r="E435" s="82"/>
      <c r="F435" s="82"/>
      <c r="G435" s="82"/>
      <c r="H435" s="82"/>
      <c r="I435" s="77" t="str">
        <f t="shared" si="6"/>
        <v/>
      </c>
      <c r="J435" s="69"/>
    </row>
    <row r="436" spans="1:10" x14ac:dyDescent="0.3">
      <c r="A436" s="68"/>
      <c r="B436" s="69"/>
      <c r="C436" s="69"/>
      <c r="D436" s="69"/>
      <c r="E436" s="82"/>
      <c r="F436" s="82"/>
      <c r="G436" s="82"/>
      <c r="H436" s="82"/>
      <c r="I436" s="77" t="str">
        <f t="shared" si="6"/>
        <v/>
      </c>
      <c r="J436" s="69"/>
    </row>
    <row r="437" spans="1:10" x14ac:dyDescent="0.3">
      <c r="A437" s="68"/>
      <c r="B437" s="69"/>
      <c r="C437" s="69"/>
      <c r="D437" s="69"/>
      <c r="E437" s="82"/>
      <c r="F437" s="82"/>
      <c r="G437" s="82"/>
      <c r="H437" s="82"/>
      <c r="I437" s="77" t="str">
        <f t="shared" si="6"/>
        <v/>
      </c>
      <c r="J437" s="69"/>
    </row>
    <row r="438" spans="1:10" x14ac:dyDescent="0.3">
      <c r="A438" s="68"/>
      <c r="B438" s="69"/>
      <c r="C438" s="69"/>
      <c r="D438" s="69"/>
      <c r="E438" s="82"/>
      <c r="F438" s="82"/>
      <c r="G438" s="82"/>
      <c r="H438" s="82"/>
      <c r="I438" s="77" t="str">
        <f t="shared" si="6"/>
        <v/>
      </c>
      <c r="J438" s="69"/>
    </row>
    <row r="439" spans="1:10" x14ac:dyDescent="0.3">
      <c r="A439" s="68"/>
      <c r="B439" s="69"/>
      <c r="C439" s="69"/>
      <c r="D439" s="69"/>
      <c r="E439" s="82"/>
      <c r="F439" s="82"/>
      <c r="G439" s="82"/>
      <c r="H439" s="82"/>
      <c r="I439" s="77" t="str">
        <f t="shared" si="6"/>
        <v/>
      </c>
      <c r="J439" s="69"/>
    </row>
    <row r="440" spans="1:10" x14ac:dyDescent="0.3">
      <c r="A440" s="68"/>
      <c r="B440" s="69"/>
      <c r="C440" s="69"/>
      <c r="D440" s="69"/>
      <c r="E440" s="82"/>
      <c r="F440" s="82"/>
      <c r="G440" s="82"/>
      <c r="H440" s="82"/>
      <c r="I440" s="77" t="str">
        <f t="shared" si="6"/>
        <v/>
      </c>
      <c r="J440" s="69"/>
    </row>
    <row r="441" spans="1:10" x14ac:dyDescent="0.3">
      <c r="A441" s="68"/>
      <c r="B441" s="69"/>
      <c r="C441" s="69"/>
      <c r="D441" s="69"/>
      <c r="E441" s="82"/>
      <c r="F441" s="82"/>
      <c r="G441" s="82"/>
      <c r="H441" s="82"/>
      <c r="I441" s="77" t="str">
        <f t="shared" si="6"/>
        <v/>
      </c>
      <c r="J441" s="69"/>
    </row>
    <row r="442" spans="1:10" x14ac:dyDescent="0.3">
      <c r="A442" s="68"/>
      <c r="B442" s="69"/>
      <c r="C442" s="69"/>
      <c r="D442" s="69"/>
      <c r="E442" s="82"/>
      <c r="F442" s="82"/>
      <c r="G442" s="82"/>
      <c r="H442" s="82"/>
      <c r="I442" s="77" t="str">
        <f t="shared" si="6"/>
        <v/>
      </c>
      <c r="J442" s="69"/>
    </row>
    <row r="443" spans="1:10" x14ac:dyDescent="0.3">
      <c r="A443" s="68"/>
      <c r="B443" s="69"/>
      <c r="C443" s="69"/>
      <c r="D443" s="69"/>
      <c r="E443" s="82"/>
      <c r="F443" s="82"/>
      <c r="G443" s="82"/>
      <c r="H443" s="82"/>
      <c r="I443" s="77" t="str">
        <f t="shared" si="6"/>
        <v/>
      </c>
      <c r="J443" s="69"/>
    </row>
    <row r="444" spans="1:10" x14ac:dyDescent="0.3">
      <c r="A444" s="68"/>
      <c r="B444" s="69"/>
      <c r="C444" s="69"/>
      <c r="D444" s="69"/>
      <c r="E444" s="82"/>
      <c r="F444" s="82"/>
      <c r="G444" s="82"/>
      <c r="H444" s="82"/>
      <c r="I444" s="77" t="str">
        <f t="shared" si="6"/>
        <v/>
      </c>
      <c r="J444" s="69"/>
    </row>
    <row r="445" spans="1:10" x14ac:dyDescent="0.3">
      <c r="A445" s="68"/>
      <c r="B445" s="69"/>
      <c r="C445" s="69"/>
      <c r="D445" s="69"/>
      <c r="E445" s="82"/>
      <c r="F445" s="82"/>
      <c r="G445" s="82"/>
      <c r="H445" s="82"/>
      <c r="I445" s="77" t="str">
        <f t="shared" si="6"/>
        <v/>
      </c>
      <c r="J445" s="69"/>
    </row>
    <row r="446" spans="1:10" x14ac:dyDescent="0.3">
      <c r="A446" s="68"/>
      <c r="B446" s="69"/>
      <c r="C446" s="69"/>
      <c r="D446" s="69"/>
      <c r="E446" s="82"/>
      <c r="F446" s="82"/>
      <c r="G446" s="82"/>
      <c r="H446" s="82"/>
      <c r="I446" s="77" t="str">
        <f t="shared" si="6"/>
        <v/>
      </c>
      <c r="J446" s="69"/>
    </row>
    <row r="447" spans="1:10" x14ac:dyDescent="0.3">
      <c r="A447" s="68"/>
      <c r="B447" s="69"/>
      <c r="C447" s="69"/>
      <c r="D447" s="69"/>
      <c r="E447" s="82"/>
      <c r="F447" s="82"/>
      <c r="G447" s="82"/>
      <c r="H447" s="82"/>
      <c r="I447" s="77" t="str">
        <f t="shared" si="6"/>
        <v/>
      </c>
      <c r="J447" s="69"/>
    </row>
    <row r="448" spans="1:10" x14ac:dyDescent="0.3">
      <c r="A448" s="68"/>
      <c r="B448" s="69"/>
      <c r="C448" s="69"/>
      <c r="D448" s="69"/>
      <c r="E448" s="82"/>
      <c r="F448" s="82"/>
      <c r="G448" s="82"/>
      <c r="H448" s="82"/>
      <c r="I448" s="77" t="str">
        <f t="shared" si="6"/>
        <v/>
      </c>
      <c r="J448" s="69"/>
    </row>
    <row r="449" spans="1:10" x14ac:dyDescent="0.3">
      <c r="A449" s="68"/>
      <c r="B449" s="69"/>
      <c r="C449" s="69"/>
      <c r="D449" s="69"/>
      <c r="E449" s="82"/>
      <c r="F449" s="82"/>
      <c r="G449" s="82"/>
      <c r="H449" s="82"/>
      <c r="I449" s="77" t="str">
        <f t="shared" si="6"/>
        <v/>
      </c>
      <c r="J449" s="69"/>
    </row>
    <row r="450" spans="1:10" x14ac:dyDescent="0.3">
      <c r="A450" s="68"/>
      <c r="B450" s="69"/>
      <c r="C450" s="69"/>
      <c r="D450" s="69"/>
      <c r="E450" s="82"/>
      <c r="F450" s="82"/>
      <c r="G450" s="82"/>
      <c r="H450" s="82"/>
      <c r="I450" s="77" t="str">
        <f t="shared" si="6"/>
        <v/>
      </c>
      <c r="J450" s="69"/>
    </row>
    <row r="451" spans="1:10" x14ac:dyDescent="0.3">
      <c r="A451" s="68"/>
      <c r="B451" s="69"/>
      <c r="C451" s="69"/>
      <c r="D451" s="69"/>
      <c r="E451" s="82"/>
      <c r="F451" s="82"/>
      <c r="G451" s="82"/>
      <c r="H451" s="82"/>
      <c r="I451" s="77" t="str">
        <f t="shared" si="6"/>
        <v/>
      </c>
      <c r="J451" s="69"/>
    </row>
    <row r="452" spans="1:10" x14ac:dyDescent="0.3">
      <c r="A452" s="68"/>
      <c r="B452" s="69"/>
      <c r="C452" s="69"/>
      <c r="D452" s="69"/>
      <c r="E452" s="82"/>
      <c r="F452" s="82"/>
      <c r="G452" s="82"/>
      <c r="H452" s="82"/>
      <c r="I452" s="77" t="str">
        <f t="shared" si="6"/>
        <v/>
      </c>
      <c r="J452" s="69"/>
    </row>
    <row r="453" spans="1:10" x14ac:dyDescent="0.3">
      <c r="A453" s="68"/>
      <c r="B453" s="69"/>
      <c r="C453" s="69"/>
      <c r="D453" s="69"/>
      <c r="E453" s="82"/>
      <c r="F453" s="82"/>
      <c r="G453" s="82"/>
      <c r="H453" s="82"/>
      <c r="I453" s="77" t="str">
        <f t="shared" ref="I453:I516" si="7">IF(COUNT(E453:H453)=0,"",AVERAGE(E453:H453))</f>
        <v/>
      </c>
      <c r="J453" s="69"/>
    </row>
    <row r="454" spans="1:10" x14ac:dyDescent="0.3">
      <c r="A454" s="68"/>
      <c r="B454" s="69"/>
      <c r="C454" s="69"/>
      <c r="D454" s="69"/>
      <c r="E454" s="82"/>
      <c r="F454" s="82"/>
      <c r="G454" s="82"/>
      <c r="H454" s="82"/>
      <c r="I454" s="77" t="str">
        <f t="shared" si="7"/>
        <v/>
      </c>
      <c r="J454" s="69"/>
    </row>
    <row r="455" spans="1:10" x14ac:dyDescent="0.3">
      <c r="A455" s="68"/>
      <c r="B455" s="69"/>
      <c r="C455" s="69"/>
      <c r="D455" s="69"/>
      <c r="E455" s="82"/>
      <c r="F455" s="82"/>
      <c r="G455" s="82"/>
      <c r="H455" s="82"/>
      <c r="I455" s="77" t="str">
        <f t="shared" si="7"/>
        <v/>
      </c>
      <c r="J455" s="69"/>
    </row>
    <row r="456" spans="1:10" x14ac:dyDescent="0.3">
      <c r="A456" s="68"/>
      <c r="B456" s="69"/>
      <c r="C456" s="69"/>
      <c r="D456" s="69"/>
      <c r="E456" s="82"/>
      <c r="F456" s="82"/>
      <c r="G456" s="82"/>
      <c r="H456" s="82"/>
      <c r="I456" s="77" t="str">
        <f t="shared" si="7"/>
        <v/>
      </c>
      <c r="J456" s="69"/>
    </row>
    <row r="457" spans="1:10" x14ac:dyDescent="0.3">
      <c r="A457" s="68"/>
      <c r="B457" s="69"/>
      <c r="C457" s="69"/>
      <c r="D457" s="69"/>
      <c r="E457" s="82"/>
      <c r="F457" s="82"/>
      <c r="G457" s="82"/>
      <c r="H457" s="82"/>
      <c r="I457" s="77" t="str">
        <f t="shared" si="7"/>
        <v/>
      </c>
      <c r="J457" s="69"/>
    </row>
    <row r="458" spans="1:10" x14ac:dyDescent="0.3">
      <c r="A458" s="68"/>
      <c r="B458" s="69"/>
      <c r="C458" s="69"/>
      <c r="D458" s="69"/>
      <c r="E458" s="82"/>
      <c r="F458" s="82"/>
      <c r="G458" s="82"/>
      <c r="H458" s="82"/>
      <c r="I458" s="77" t="str">
        <f t="shared" si="7"/>
        <v/>
      </c>
      <c r="J458" s="69"/>
    </row>
    <row r="459" spans="1:10" x14ac:dyDescent="0.3">
      <c r="A459" s="68"/>
      <c r="B459" s="69"/>
      <c r="C459" s="69"/>
      <c r="D459" s="69"/>
      <c r="E459" s="82"/>
      <c r="F459" s="82"/>
      <c r="G459" s="82"/>
      <c r="H459" s="82"/>
      <c r="I459" s="77" t="str">
        <f t="shared" si="7"/>
        <v/>
      </c>
      <c r="J459" s="69"/>
    </row>
    <row r="460" spans="1:10" x14ac:dyDescent="0.3">
      <c r="A460" s="68"/>
      <c r="B460" s="69"/>
      <c r="C460" s="69"/>
      <c r="D460" s="69"/>
      <c r="E460" s="82"/>
      <c r="F460" s="82"/>
      <c r="G460" s="82"/>
      <c r="H460" s="82"/>
      <c r="I460" s="77" t="str">
        <f t="shared" si="7"/>
        <v/>
      </c>
      <c r="J460" s="69"/>
    </row>
    <row r="461" spans="1:10" x14ac:dyDescent="0.3">
      <c r="A461" s="68"/>
      <c r="B461" s="69"/>
      <c r="C461" s="69"/>
      <c r="D461" s="69"/>
      <c r="E461" s="82"/>
      <c r="F461" s="82"/>
      <c r="G461" s="82"/>
      <c r="H461" s="82"/>
      <c r="I461" s="77" t="str">
        <f t="shared" si="7"/>
        <v/>
      </c>
      <c r="J461" s="69"/>
    </row>
    <row r="462" spans="1:10" x14ac:dyDescent="0.3">
      <c r="A462" s="68"/>
      <c r="B462" s="69"/>
      <c r="C462" s="69"/>
      <c r="D462" s="69"/>
      <c r="E462" s="82"/>
      <c r="F462" s="82"/>
      <c r="G462" s="82"/>
      <c r="H462" s="82"/>
      <c r="I462" s="77" t="str">
        <f t="shared" si="7"/>
        <v/>
      </c>
      <c r="J462" s="69"/>
    </row>
    <row r="463" spans="1:10" x14ac:dyDescent="0.3">
      <c r="A463" s="68"/>
      <c r="B463" s="69"/>
      <c r="C463" s="69"/>
      <c r="D463" s="69"/>
      <c r="E463" s="82"/>
      <c r="F463" s="82"/>
      <c r="G463" s="82"/>
      <c r="H463" s="82"/>
      <c r="I463" s="77" t="str">
        <f t="shared" si="7"/>
        <v/>
      </c>
      <c r="J463" s="69"/>
    </row>
    <row r="464" spans="1:10" x14ac:dyDescent="0.3">
      <c r="A464" s="68"/>
      <c r="B464" s="69"/>
      <c r="C464" s="69"/>
      <c r="D464" s="69"/>
      <c r="E464" s="82"/>
      <c r="F464" s="82"/>
      <c r="G464" s="82"/>
      <c r="H464" s="82"/>
      <c r="I464" s="77" t="str">
        <f t="shared" si="7"/>
        <v/>
      </c>
      <c r="J464" s="69"/>
    </row>
    <row r="465" spans="1:10" x14ac:dyDescent="0.3">
      <c r="A465" s="68"/>
      <c r="B465" s="69"/>
      <c r="C465" s="69"/>
      <c r="D465" s="69"/>
      <c r="E465" s="82"/>
      <c r="F465" s="82"/>
      <c r="G465" s="82"/>
      <c r="H465" s="82"/>
      <c r="I465" s="77" t="str">
        <f t="shared" si="7"/>
        <v/>
      </c>
      <c r="J465" s="69"/>
    </row>
    <row r="466" spans="1:10" x14ac:dyDescent="0.3">
      <c r="A466" s="68"/>
      <c r="B466" s="69"/>
      <c r="C466" s="69"/>
      <c r="D466" s="69"/>
      <c r="E466" s="82"/>
      <c r="F466" s="82"/>
      <c r="G466" s="82"/>
      <c r="H466" s="82"/>
      <c r="I466" s="77" t="str">
        <f t="shared" si="7"/>
        <v/>
      </c>
      <c r="J466" s="69"/>
    </row>
    <row r="467" spans="1:10" x14ac:dyDescent="0.3">
      <c r="A467" s="68"/>
      <c r="B467" s="69"/>
      <c r="C467" s="69"/>
      <c r="D467" s="69"/>
      <c r="E467" s="82"/>
      <c r="F467" s="82"/>
      <c r="G467" s="82"/>
      <c r="H467" s="82"/>
      <c r="I467" s="77" t="str">
        <f t="shared" si="7"/>
        <v/>
      </c>
      <c r="J467" s="69"/>
    </row>
    <row r="468" spans="1:10" x14ac:dyDescent="0.3">
      <c r="A468" s="68"/>
      <c r="B468" s="69"/>
      <c r="C468" s="69"/>
      <c r="D468" s="69"/>
      <c r="E468" s="82"/>
      <c r="F468" s="82"/>
      <c r="G468" s="82"/>
      <c r="H468" s="82"/>
      <c r="I468" s="77" t="str">
        <f t="shared" si="7"/>
        <v/>
      </c>
      <c r="J468" s="69"/>
    </row>
    <row r="469" spans="1:10" x14ac:dyDescent="0.3">
      <c r="A469" s="68"/>
      <c r="B469" s="69"/>
      <c r="C469" s="69"/>
      <c r="D469" s="69"/>
      <c r="E469" s="82"/>
      <c r="F469" s="82"/>
      <c r="G469" s="82"/>
      <c r="H469" s="82"/>
      <c r="I469" s="77" t="str">
        <f t="shared" si="7"/>
        <v/>
      </c>
      <c r="J469" s="69"/>
    </row>
    <row r="470" spans="1:10" x14ac:dyDescent="0.3">
      <c r="A470" s="68"/>
      <c r="B470" s="69"/>
      <c r="C470" s="69"/>
      <c r="D470" s="69"/>
      <c r="E470" s="82"/>
      <c r="F470" s="82"/>
      <c r="G470" s="82"/>
      <c r="H470" s="82"/>
      <c r="I470" s="77" t="str">
        <f t="shared" si="7"/>
        <v/>
      </c>
      <c r="J470" s="69"/>
    </row>
    <row r="471" spans="1:10" x14ac:dyDescent="0.3">
      <c r="A471" s="68"/>
      <c r="B471" s="69"/>
      <c r="C471" s="69"/>
      <c r="D471" s="69"/>
      <c r="E471" s="82"/>
      <c r="F471" s="82"/>
      <c r="G471" s="82"/>
      <c r="H471" s="82"/>
      <c r="I471" s="77" t="str">
        <f t="shared" si="7"/>
        <v/>
      </c>
      <c r="J471" s="69"/>
    </row>
    <row r="472" spans="1:10" x14ac:dyDescent="0.3">
      <c r="A472" s="68"/>
      <c r="B472" s="69"/>
      <c r="C472" s="69"/>
      <c r="D472" s="69"/>
      <c r="E472" s="82"/>
      <c r="F472" s="82"/>
      <c r="G472" s="82"/>
      <c r="H472" s="82"/>
      <c r="I472" s="77" t="str">
        <f t="shared" si="7"/>
        <v/>
      </c>
      <c r="J472" s="69"/>
    </row>
    <row r="473" spans="1:10" x14ac:dyDescent="0.3">
      <c r="A473" s="68"/>
      <c r="B473" s="69"/>
      <c r="C473" s="69"/>
      <c r="D473" s="69"/>
      <c r="E473" s="82"/>
      <c r="F473" s="82"/>
      <c r="G473" s="82"/>
      <c r="H473" s="82"/>
      <c r="I473" s="77" t="str">
        <f t="shared" si="7"/>
        <v/>
      </c>
      <c r="J473" s="69"/>
    </row>
    <row r="474" spans="1:10" x14ac:dyDescent="0.3">
      <c r="A474" s="68"/>
      <c r="B474" s="69"/>
      <c r="C474" s="69"/>
      <c r="D474" s="69"/>
      <c r="E474" s="82"/>
      <c r="F474" s="82"/>
      <c r="G474" s="82"/>
      <c r="H474" s="82"/>
      <c r="I474" s="77" t="str">
        <f t="shared" si="7"/>
        <v/>
      </c>
      <c r="J474" s="69"/>
    </row>
    <row r="475" spans="1:10" x14ac:dyDescent="0.3">
      <c r="A475" s="68"/>
      <c r="B475" s="69"/>
      <c r="C475" s="69"/>
      <c r="D475" s="69"/>
      <c r="E475" s="82"/>
      <c r="F475" s="82"/>
      <c r="G475" s="82"/>
      <c r="H475" s="82"/>
      <c r="I475" s="77" t="str">
        <f t="shared" si="7"/>
        <v/>
      </c>
      <c r="J475" s="69"/>
    </row>
    <row r="476" spans="1:10" x14ac:dyDescent="0.3">
      <c r="A476" s="68"/>
      <c r="B476" s="69"/>
      <c r="C476" s="69"/>
      <c r="D476" s="69"/>
      <c r="E476" s="82"/>
      <c r="F476" s="82"/>
      <c r="G476" s="82"/>
      <c r="H476" s="82"/>
      <c r="I476" s="77" t="str">
        <f t="shared" si="7"/>
        <v/>
      </c>
      <c r="J476" s="69"/>
    </row>
    <row r="477" spans="1:10" x14ac:dyDescent="0.3">
      <c r="A477" s="68"/>
      <c r="B477" s="69"/>
      <c r="C477" s="69"/>
      <c r="D477" s="69"/>
      <c r="E477" s="82"/>
      <c r="F477" s="82"/>
      <c r="G477" s="82"/>
      <c r="H477" s="82"/>
      <c r="I477" s="77" t="str">
        <f t="shared" si="7"/>
        <v/>
      </c>
      <c r="J477" s="69"/>
    </row>
    <row r="478" spans="1:10" x14ac:dyDescent="0.3">
      <c r="A478" s="68"/>
      <c r="B478" s="69"/>
      <c r="C478" s="69"/>
      <c r="D478" s="69"/>
      <c r="E478" s="82"/>
      <c r="F478" s="82"/>
      <c r="G478" s="82"/>
      <c r="H478" s="82"/>
      <c r="I478" s="77" t="str">
        <f t="shared" si="7"/>
        <v/>
      </c>
      <c r="J478" s="69"/>
    </row>
    <row r="479" spans="1:10" x14ac:dyDescent="0.3">
      <c r="A479" s="68"/>
      <c r="B479" s="69"/>
      <c r="C479" s="69"/>
      <c r="D479" s="69"/>
      <c r="E479" s="82"/>
      <c r="F479" s="82"/>
      <c r="G479" s="82"/>
      <c r="H479" s="82"/>
      <c r="I479" s="77" t="str">
        <f t="shared" si="7"/>
        <v/>
      </c>
      <c r="J479" s="69"/>
    </row>
    <row r="480" spans="1:10" x14ac:dyDescent="0.3">
      <c r="A480" s="68"/>
      <c r="B480" s="69"/>
      <c r="C480" s="69"/>
      <c r="D480" s="69"/>
      <c r="E480" s="82"/>
      <c r="F480" s="82"/>
      <c r="G480" s="82"/>
      <c r="H480" s="82"/>
      <c r="I480" s="77" t="str">
        <f t="shared" si="7"/>
        <v/>
      </c>
      <c r="J480" s="69"/>
    </row>
    <row r="481" spans="1:10" x14ac:dyDescent="0.3">
      <c r="A481" s="68"/>
      <c r="B481" s="69"/>
      <c r="C481" s="69"/>
      <c r="D481" s="69"/>
      <c r="E481" s="82"/>
      <c r="F481" s="82"/>
      <c r="G481" s="82"/>
      <c r="H481" s="82"/>
      <c r="I481" s="77" t="str">
        <f t="shared" si="7"/>
        <v/>
      </c>
      <c r="J481" s="69"/>
    </row>
    <row r="482" spans="1:10" x14ac:dyDescent="0.3">
      <c r="A482" s="68"/>
      <c r="B482" s="69"/>
      <c r="C482" s="69"/>
      <c r="D482" s="69"/>
      <c r="E482" s="82"/>
      <c r="F482" s="82"/>
      <c r="G482" s="82"/>
      <c r="H482" s="82"/>
      <c r="I482" s="77" t="str">
        <f t="shared" si="7"/>
        <v/>
      </c>
      <c r="J482" s="69"/>
    </row>
    <row r="483" spans="1:10" x14ac:dyDescent="0.3">
      <c r="A483" s="68"/>
      <c r="B483" s="69"/>
      <c r="C483" s="69"/>
      <c r="D483" s="69"/>
      <c r="E483" s="82"/>
      <c r="F483" s="82"/>
      <c r="G483" s="82"/>
      <c r="H483" s="82"/>
      <c r="I483" s="77" t="str">
        <f t="shared" si="7"/>
        <v/>
      </c>
      <c r="J483" s="69"/>
    </row>
    <row r="484" spans="1:10" x14ac:dyDescent="0.3">
      <c r="A484" s="68"/>
      <c r="B484" s="69"/>
      <c r="C484" s="69"/>
      <c r="D484" s="69"/>
      <c r="E484" s="82"/>
      <c r="F484" s="82"/>
      <c r="G484" s="82"/>
      <c r="H484" s="82"/>
      <c r="I484" s="77" t="str">
        <f t="shared" si="7"/>
        <v/>
      </c>
      <c r="J484" s="69"/>
    </row>
    <row r="485" spans="1:10" x14ac:dyDescent="0.3">
      <c r="A485" s="68"/>
      <c r="B485" s="69"/>
      <c r="C485" s="69"/>
      <c r="D485" s="69"/>
      <c r="E485" s="82"/>
      <c r="F485" s="82"/>
      <c r="G485" s="82"/>
      <c r="H485" s="82"/>
      <c r="I485" s="77" t="str">
        <f t="shared" si="7"/>
        <v/>
      </c>
      <c r="J485" s="69"/>
    </row>
    <row r="486" spans="1:10" x14ac:dyDescent="0.3">
      <c r="A486" s="68"/>
      <c r="B486" s="69"/>
      <c r="C486" s="69"/>
      <c r="D486" s="69"/>
      <c r="E486" s="82"/>
      <c r="F486" s="82"/>
      <c r="G486" s="82"/>
      <c r="H486" s="82"/>
      <c r="I486" s="77" t="str">
        <f t="shared" si="7"/>
        <v/>
      </c>
      <c r="J486" s="69"/>
    </row>
    <row r="487" spans="1:10" x14ac:dyDescent="0.3">
      <c r="A487" s="68"/>
      <c r="B487" s="69"/>
      <c r="C487" s="69"/>
      <c r="D487" s="69"/>
      <c r="E487" s="82"/>
      <c r="F487" s="82"/>
      <c r="G487" s="82"/>
      <c r="H487" s="82"/>
      <c r="I487" s="77" t="str">
        <f t="shared" si="7"/>
        <v/>
      </c>
      <c r="J487" s="69"/>
    </row>
    <row r="488" spans="1:10" x14ac:dyDescent="0.3">
      <c r="A488" s="68"/>
      <c r="B488" s="69"/>
      <c r="C488" s="69"/>
      <c r="D488" s="69"/>
      <c r="E488" s="82"/>
      <c r="F488" s="82"/>
      <c r="G488" s="82"/>
      <c r="H488" s="82"/>
      <c r="I488" s="77" t="str">
        <f t="shared" si="7"/>
        <v/>
      </c>
      <c r="J488" s="69"/>
    </row>
    <row r="489" spans="1:10" x14ac:dyDescent="0.3">
      <c r="A489" s="68"/>
      <c r="B489" s="69"/>
      <c r="C489" s="69"/>
      <c r="D489" s="69"/>
      <c r="E489" s="82"/>
      <c r="F489" s="82"/>
      <c r="G489" s="82"/>
      <c r="H489" s="82"/>
      <c r="I489" s="77" t="str">
        <f t="shared" si="7"/>
        <v/>
      </c>
      <c r="J489" s="69"/>
    </row>
    <row r="490" spans="1:10" x14ac:dyDescent="0.3">
      <c r="A490" s="68"/>
      <c r="B490" s="69"/>
      <c r="C490" s="69"/>
      <c r="D490" s="69"/>
      <c r="E490" s="82"/>
      <c r="F490" s="82"/>
      <c r="G490" s="82"/>
      <c r="H490" s="82"/>
      <c r="I490" s="77" t="str">
        <f t="shared" si="7"/>
        <v/>
      </c>
      <c r="J490" s="69"/>
    </row>
    <row r="491" spans="1:10" x14ac:dyDescent="0.3">
      <c r="A491" s="68"/>
      <c r="B491" s="69"/>
      <c r="C491" s="69"/>
      <c r="D491" s="69"/>
      <c r="E491" s="82"/>
      <c r="F491" s="82"/>
      <c r="G491" s="82"/>
      <c r="H491" s="82"/>
      <c r="I491" s="77" t="str">
        <f t="shared" si="7"/>
        <v/>
      </c>
      <c r="J491" s="69"/>
    </row>
    <row r="492" spans="1:10" x14ac:dyDescent="0.3">
      <c r="A492" s="68"/>
      <c r="B492" s="69"/>
      <c r="C492" s="69"/>
      <c r="D492" s="69"/>
      <c r="E492" s="82"/>
      <c r="F492" s="82"/>
      <c r="G492" s="82"/>
      <c r="H492" s="82"/>
      <c r="I492" s="77" t="str">
        <f t="shared" si="7"/>
        <v/>
      </c>
      <c r="J492" s="69"/>
    </row>
    <row r="493" spans="1:10" x14ac:dyDescent="0.3">
      <c r="A493" s="68"/>
      <c r="B493" s="69"/>
      <c r="C493" s="69"/>
      <c r="D493" s="69"/>
      <c r="E493" s="82"/>
      <c r="F493" s="82"/>
      <c r="G493" s="82"/>
      <c r="H493" s="82"/>
      <c r="I493" s="77" t="str">
        <f t="shared" si="7"/>
        <v/>
      </c>
      <c r="J493" s="69"/>
    </row>
    <row r="494" spans="1:10" x14ac:dyDescent="0.3">
      <c r="A494" s="68"/>
      <c r="B494" s="69"/>
      <c r="C494" s="69"/>
      <c r="D494" s="69"/>
      <c r="E494" s="82"/>
      <c r="F494" s="82"/>
      <c r="G494" s="82"/>
      <c r="H494" s="82"/>
      <c r="I494" s="77" t="str">
        <f t="shared" si="7"/>
        <v/>
      </c>
      <c r="J494" s="69"/>
    </row>
    <row r="495" spans="1:10" x14ac:dyDescent="0.3">
      <c r="A495" s="68"/>
      <c r="B495" s="69"/>
      <c r="C495" s="69"/>
      <c r="D495" s="69"/>
      <c r="E495" s="82"/>
      <c r="F495" s="82"/>
      <c r="G495" s="82"/>
      <c r="H495" s="82"/>
      <c r="I495" s="77" t="str">
        <f t="shared" si="7"/>
        <v/>
      </c>
      <c r="J495" s="69"/>
    </row>
    <row r="496" spans="1:10" x14ac:dyDescent="0.3">
      <c r="A496" s="68"/>
      <c r="B496" s="69"/>
      <c r="C496" s="69"/>
      <c r="D496" s="69"/>
      <c r="E496" s="82"/>
      <c r="F496" s="82"/>
      <c r="G496" s="82"/>
      <c r="H496" s="82"/>
      <c r="I496" s="77" t="str">
        <f t="shared" si="7"/>
        <v/>
      </c>
      <c r="J496" s="69"/>
    </row>
    <row r="497" spans="1:10" x14ac:dyDescent="0.3">
      <c r="A497" s="68"/>
      <c r="B497" s="69"/>
      <c r="C497" s="69"/>
      <c r="D497" s="69"/>
      <c r="E497" s="82"/>
      <c r="F497" s="82"/>
      <c r="G497" s="82"/>
      <c r="H497" s="82"/>
      <c r="I497" s="77" t="str">
        <f t="shared" si="7"/>
        <v/>
      </c>
      <c r="J497" s="69"/>
    </row>
    <row r="498" spans="1:10" x14ac:dyDescent="0.3">
      <c r="A498" s="68"/>
      <c r="B498" s="69"/>
      <c r="C498" s="69"/>
      <c r="D498" s="69"/>
      <c r="E498" s="82"/>
      <c r="F498" s="82"/>
      <c r="G498" s="82"/>
      <c r="H498" s="82"/>
      <c r="I498" s="77" t="str">
        <f t="shared" si="7"/>
        <v/>
      </c>
      <c r="J498" s="69"/>
    </row>
    <row r="499" spans="1:10" x14ac:dyDescent="0.3">
      <c r="A499" s="68"/>
      <c r="B499" s="69"/>
      <c r="C499" s="69"/>
      <c r="D499" s="69"/>
      <c r="E499" s="82"/>
      <c r="F499" s="82"/>
      <c r="G499" s="82"/>
      <c r="H499" s="82"/>
      <c r="I499" s="77" t="str">
        <f t="shared" si="7"/>
        <v/>
      </c>
      <c r="J499" s="69"/>
    </row>
    <row r="500" spans="1:10" x14ac:dyDescent="0.3">
      <c r="A500" s="68"/>
      <c r="B500" s="69"/>
      <c r="C500" s="69"/>
      <c r="D500" s="69"/>
      <c r="E500" s="82"/>
      <c r="F500" s="82"/>
      <c r="G500" s="82"/>
      <c r="H500" s="82"/>
      <c r="I500" s="77" t="str">
        <f t="shared" si="7"/>
        <v/>
      </c>
      <c r="J500" s="69"/>
    </row>
    <row r="501" spans="1:10" x14ac:dyDescent="0.3">
      <c r="A501" s="68"/>
      <c r="B501" s="69"/>
      <c r="C501" s="69"/>
      <c r="D501" s="69"/>
      <c r="E501" s="82"/>
      <c r="F501" s="82"/>
      <c r="G501" s="82"/>
      <c r="H501" s="82"/>
      <c r="I501" s="77" t="str">
        <f t="shared" si="7"/>
        <v/>
      </c>
      <c r="J501" s="69"/>
    </row>
    <row r="502" spans="1:10" x14ac:dyDescent="0.3">
      <c r="A502" s="68"/>
      <c r="B502" s="69"/>
      <c r="C502" s="69"/>
      <c r="D502" s="69"/>
      <c r="E502" s="82"/>
      <c r="F502" s="82"/>
      <c r="G502" s="82"/>
      <c r="H502" s="82"/>
      <c r="I502" s="77" t="str">
        <f t="shared" si="7"/>
        <v/>
      </c>
      <c r="J502" s="69"/>
    </row>
    <row r="503" spans="1:10" x14ac:dyDescent="0.3">
      <c r="A503" s="68"/>
      <c r="B503" s="69"/>
      <c r="C503" s="69"/>
      <c r="D503" s="69"/>
      <c r="E503" s="82"/>
      <c r="F503" s="82"/>
      <c r="G503" s="82"/>
      <c r="H503" s="82"/>
      <c r="I503" s="77" t="str">
        <f t="shared" si="7"/>
        <v/>
      </c>
      <c r="J503" s="69"/>
    </row>
    <row r="504" spans="1:10" x14ac:dyDescent="0.3">
      <c r="A504" s="68"/>
      <c r="B504" s="69"/>
      <c r="C504" s="69"/>
      <c r="D504" s="69"/>
      <c r="E504" s="82"/>
      <c r="F504" s="82"/>
      <c r="G504" s="82"/>
      <c r="H504" s="82"/>
      <c r="I504" s="77" t="str">
        <f t="shared" si="7"/>
        <v/>
      </c>
      <c r="J504" s="69"/>
    </row>
  </sheetData>
  <dataValidations count="1">
    <dataValidation type="whole" allowBlank="1" sqref="E5:H504" xr:uid="{00000000-0002-0000-0C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entry" error="Pick a value from the list" xr:uid="{00000000-0002-0000-0C00-000001000000}">
          <x14:formula1>
            <xm:f>Projects!$A$5:$A$104</xm:f>
          </x14:formula1>
          <x14:formula2>
            <xm:f>0</xm:f>
          </x14:formula2>
          <xm:sqref>B5:B504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48235"/>
  </sheetPr>
  <dimension ref="A1:K5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1" customWidth="1"/>
    <col min="2" max="2" width="20" customWidth="1"/>
    <col min="3" max="3" width="14" customWidth="1"/>
    <col min="4" max="4" width="11" customWidth="1"/>
    <col min="5" max="5" width="12" customWidth="1"/>
    <col min="6" max="6" width="10" customWidth="1"/>
    <col min="7" max="7" width="14" customWidth="1"/>
    <col min="8" max="10" width="12" customWidth="1"/>
    <col min="11" max="11" width="30" customWidth="1"/>
  </cols>
  <sheetData>
    <row r="1" spans="1:11" ht="21" x14ac:dyDescent="0.4">
      <c r="A1" s="40" t="s">
        <v>609</v>
      </c>
    </row>
    <row r="2" spans="1:11" x14ac:dyDescent="0.3">
      <c r="A2" s="41" t="s">
        <v>610</v>
      </c>
    </row>
    <row r="4" spans="1:11" ht="31.5" customHeight="1" x14ac:dyDescent="0.3">
      <c r="A4" s="42" t="s">
        <v>158</v>
      </c>
      <c r="B4" s="42" t="s">
        <v>611</v>
      </c>
      <c r="C4" s="42" t="s">
        <v>612</v>
      </c>
      <c r="D4" s="42" t="s">
        <v>613</v>
      </c>
      <c r="E4" s="42" t="s">
        <v>614</v>
      </c>
      <c r="F4" s="42" t="s">
        <v>77</v>
      </c>
      <c r="G4" s="42" t="s">
        <v>615</v>
      </c>
      <c r="H4" s="42" t="s">
        <v>616</v>
      </c>
      <c r="I4" s="42" t="s">
        <v>617</v>
      </c>
      <c r="J4" s="42" t="s">
        <v>618</v>
      </c>
      <c r="K4" s="42" t="s">
        <v>269</v>
      </c>
    </row>
    <row r="5" spans="1:11" x14ac:dyDescent="0.3">
      <c r="A5" s="76">
        <v>46023</v>
      </c>
      <c r="B5" s="69" t="s">
        <v>619</v>
      </c>
      <c r="C5" s="69" t="s">
        <v>337</v>
      </c>
      <c r="D5" s="73">
        <v>2080</v>
      </c>
      <c r="E5" s="73">
        <v>1726</v>
      </c>
      <c r="F5" s="78">
        <f t="shared" ref="F5:F68" si="0">IF(OR(D5="",D5=0,E5=""),"",E5/D5)</f>
        <v>0.82980769230769236</v>
      </c>
      <c r="G5" s="69" t="s">
        <v>620</v>
      </c>
      <c r="H5" s="73">
        <v>9000</v>
      </c>
      <c r="I5" s="73">
        <v>8743</v>
      </c>
      <c r="J5" s="78">
        <f t="shared" ref="J5:J68" si="1">IF(OR(H5="",H5=0,I5=""),"",I5/H5)</f>
        <v>0.97144444444444444</v>
      </c>
      <c r="K5" s="69"/>
    </row>
    <row r="6" spans="1:11" x14ac:dyDescent="0.3">
      <c r="A6" s="76">
        <v>46023</v>
      </c>
      <c r="B6" s="69" t="s">
        <v>621</v>
      </c>
      <c r="C6" s="69" t="s">
        <v>326</v>
      </c>
      <c r="D6" s="73">
        <v>1760</v>
      </c>
      <c r="E6" s="73">
        <v>1589</v>
      </c>
      <c r="F6" s="78">
        <f t="shared" si="0"/>
        <v>0.90284090909090908</v>
      </c>
      <c r="G6" s="69" t="s">
        <v>622</v>
      </c>
      <c r="H6" s="73">
        <v>900</v>
      </c>
      <c r="I6" s="73">
        <v>857</v>
      </c>
      <c r="J6" s="78">
        <f t="shared" si="1"/>
        <v>0.95222222222222219</v>
      </c>
      <c r="K6" s="69"/>
    </row>
    <row r="7" spans="1:11" x14ac:dyDescent="0.3">
      <c r="A7" s="76">
        <v>46023</v>
      </c>
      <c r="B7" s="69" t="s">
        <v>623</v>
      </c>
      <c r="C7" s="69" t="s">
        <v>334</v>
      </c>
      <c r="D7" s="73">
        <v>1840</v>
      </c>
      <c r="E7" s="73">
        <v>1561</v>
      </c>
      <c r="F7" s="78">
        <f t="shared" si="0"/>
        <v>0.84836956521739126</v>
      </c>
      <c r="G7" s="69" t="s">
        <v>624</v>
      </c>
      <c r="H7" s="73">
        <v>160</v>
      </c>
      <c r="I7" s="73">
        <v>148</v>
      </c>
      <c r="J7" s="78">
        <f t="shared" si="1"/>
        <v>0.92500000000000004</v>
      </c>
      <c r="K7" s="69"/>
    </row>
    <row r="8" spans="1:11" x14ac:dyDescent="0.3">
      <c r="A8" s="76">
        <v>46023</v>
      </c>
      <c r="B8" s="69" t="s">
        <v>625</v>
      </c>
      <c r="C8" s="69" t="s">
        <v>626</v>
      </c>
      <c r="D8" s="73">
        <v>1840</v>
      </c>
      <c r="E8" s="73">
        <v>1498</v>
      </c>
      <c r="F8" s="78">
        <f t="shared" si="0"/>
        <v>0.81413043478260871</v>
      </c>
      <c r="G8" s="69" t="s">
        <v>627</v>
      </c>
      <c r="H8" s="73">
        <v>24</v>
      </c>
      <c r="I8" s="73">
        <v>24</v>
      </c>
      <c r="J8" s="78">
        <f t="shared" si="1"/>
        <v>1</v>
      </c>
      <c r="K8" s="69"/>
    </row>
    <row r="9" spans="1:11" x14ac:dyDescent="0.3">
      <c r="A9" s="76">
        <v>46054</v>
      </c>
      <c r="B9" s="69" t="s">
        <v>619</v>
      </c>
      <c r="C9" s="69" t="s">
        <v>337</v>
      </c>
      <c r="D9" s="73">
        <v>1840</v>
      </c>
      <c r="E9" s="73">
        <v>1412</v>
      </c>
      <c r="F9" s="78">
        <f t="shared" si="0"/>
        <v>0.7673913043478261</v>
      </c>
      <c r="G9" s="69" t="s">
        <v>620</v>
      </c>
      <c r="H9" s="73">
        <v>9000</v>
      </c>
      <c r="I9" s="73">
        <v>7791</v>
      </c>
      <c r="J9" s="78">
        <f t="shared" si="1"/>
        <v>0.8656666666666667</v>
      </c>
      <c r="K9" s="69"/>
    </row>
    <row r="10" spans="1:11" x14ac:dyDescent="0.3">
      <c r="A10" s="76">
        <v>46054</v>
      </c>
      <c r="B10" s="69" t="s">
        <v>621</v>
      </c>
      <c r="C10" s="69" t="s">
        <v>326</v>
      </c>
      <c r="D10" s="73">
        <v>1760</v>
      </c>
      <c r="E10" s="73">
        <v>1510</v>
      </c>
      <c r="F10" s="78">
        <f t="shared" si="0"/>
        <v>0.85795454545454541</v>
      </c>
      <c r="G10" s="69" t="s">
        <v>622</v>
      </c>
      <c r="H10" s="73">
        <v>900</v>
      </c>
      <c r="I10" s="73">
        <v>805</v>
      </c>
      <c r="J10" s="78">
        <f t="shared" si="1"/>
        <v>0.89444444444444449</v>
      </c>
      <c r="K10" s="69"/>
    </row>
    <row r="11" spans="1:11" x14ac:dyDescent="0.3">
      <c r="A11" s="76">
        <v>46054</v>
      </c>
      <c r="B11" s="69" t="s">
        <v>623</v>
      </c>
      <c r="C11" s="69" t="s">
        <v>334</v>
      </c>
      <c r="D11" s="73">
        <v>1840</v>
      </c>
      <c r="E11" s="73">
        <v>1607</v>
      </c>
      <c r="F11" s="78">
        <f t="shared" si="0"/>
        <v>0.87336956521739129</v>
      </c>
      <c r="G11" s="69" t="s">
        <v>624</v>
      </c>
      <c r="H11" s="73">
        <v>160</v>
      </c>
      <c r="I11" s="73">
        <v>139</v>
      </c>
      <c r="J11" s="78">
        <f t="shared" si="1"/>
        <v>0.86875000000000002</v>
      </c>
      <c r="K11" s="69"/>
    </row>
    <row r="12" spans="1:11" x14ac:dyDescent="0.3">
      <c r="A12" s="76">
        <v>46054</v>
      </c>
      <c r="B12" s="69" t="s">
        <v>625</v>
      </c>
      <c r="C12" s="69" t="s">
        <v>626</v>
      </c>
      <c r="D12" s="73">
        <v>1840</v>
      </c>
      <c r="E12" s="73">
        <v>1604</v>
      </c>
      <c r="F12" s="78">
        <f t="shared" si="0"/>
        <v>0.87173913043478257</v>
      </c>
      <c r="G12" s="69" t="s">
        <v>627</v>
      </c>
      <c r="H12" s="73">
        <v>24</v>
      </c>
      <c r="I12" s="73">
        <v>24</v>
      </c>
      <c r="J12" s="78">
        <f t="shared" si="1"/>
        <v>1</v>
      </c>
      <c r="K12" s="69"/>
    </row>
    <row r="13" spans="1:11" x14ac:dyDescent="0.3">
      <c r="A13" s="76">
        <v>46082</v>
      </c>
      <c r="B13" s="69" t="s">
        <v>619</v>
      </c>
      <c r="C13" s="69" t="s">
        <v>337</v>
      </c>
      <c r="D13" s="73">
        <v>1760</v>
      </c>
      <c r="E13" s="73">
        <v>1549</v>
      </c>
      <c r="F13" s="78">
        <f t="shared" si="0"/>
        <v>0.88011363636363638</v>
      </c>
      <c r="G13" s="69" t="s">
        <v>620</v>
      </c>
      <c r="H13" s="73">
        <v>9000</v>
      </c>
      <c r="I13" s="73">
        <v>7864</v>
      </c>
      <c r="J13" s="78">
        <f t="shared" si="1"/>
        <v>0.87377777777777776</v>
      </c>
      <c r="K13" s="69"/>
    </row>
    <row r="14" spans="1:11" x14ac:dyDescent="0.3">
      <c r="A14" s="76">
        <v>46082</v>
      </c>
      <c r="B14" s="69" t="s">
        <v>621</v>
      </c>
      <c r="C14" s="69" t="s">
        <v>326</v>
      </c>
      <c r="D14" s="73">
        <v>1920</v>
      </c>
      <c r="E14" s="73">
        <v>1494</v>
      </c>
      <c r="F14" s="78">
        <f t="shared" si="0"/>
        <v>0.77812499999999996</v>
      </c>
      <c r="G14" s="69" t="s">
        <v>622</v>
      </c>
      <c r="H14" s="73">
        <v>900</v>
      </c>
      <c r="I14" s="73">
        <v>954</v>
      </c>
      <c r="J14" s="78">
        <f t="shared" si="1"/>
        <v>1.06</v>
      </c>
      <c r="K14" s="69"/>
    </row>
    <row r="15" spans="1:11" x14ac:dyDescent="0.3">
      <c r="A15" s="76">
        <v>46082</v>
      </c>
      <c r="B15" s="69" t="s">
        <v>623</v>
      </c>
      <c r="C15" s="69" t="s">
        <v>334</v>
      </c>
      <c r="D15" s="73">
        <v>1760</v>
      </c>
      <c r="E15" s="73">
        <v>1597</v>
      </c>
      <c r="F15" s="78">
        <f t="shared" si="0"/>
        <v>0.9073863636363636</v>
      </c>
      <c r="G15" s="69" t="s">
        <v>624</v>
      </c>
      <c r="H15" s="73">
        <v>160</v>
      </c>
      <c r="I15" s="73">
        <v>163</v>
      </c>
      <c r="J15" s="78">
        <f t="shared" si="1"/>
        <v>1.01875</v>
      </c>
      <c r="K15" s="69"/>
    </row>
    <row r="16" spans="1:11" x14ac:dyDescent="0.3">
      <c r="A16" s="76">
        <v>46082</v>
      </c>
      <c r="B16" s="69" t="s">
        <v>625</v>
      </c>
      <c r="C16" s="69" t="s">
        <v>626</v>
      </c>
      <c r="D16" s="73">
        <v>2080</v>
      </c>
      <c r="E16" s="73">
        <v>1582</v>
      </c>
      <c r="F16" s="78">
        <f t="shared" si="0"/>
        <v>0.76057692307692304</v>
      </c>
      <c r="G16" s="69" t="s">
        <v>627</v>
      </c>
      <c r="H16" s="73">
        <v>24</v>
      </c>
      <c r="I16" s="73">
        <v>22</v>
      </c>
      <c r="J16" s="78">
        <f t="shared" si="1"/>
        <v>0.91666666666666663</v>
      </c>
      <c r="K16" s="69"/>
    </row>
    <row r="17" spans="1:11" x14ac:dyDescent="0.3">
      <c r="A17" s="76">
        <v>46113</v>
      </c>
      <c r="B17" s="69" t="s">
        <v>619</v>
      </c>
      <c r="C17" s="69" t="s">
        <v>337</v>
      </c>
      <c r="D17" s="73">
        <v>1760</v>
      </c>
      <c r="E17" s="73">
        <v>1314</v>
      </c>
      <c r="F17" s="78">
        <f t="shared" si="0"/>
        <v>0.74659090909090908</v>
      </c>
      <c r="G17" s="69" t="s">
        <v>620</v>
      </c>
      <c r="H17" s="73">
        <v>9000</v>
      </c>
      <c r="I17" s="73">
        <v>9534</v>
      </c>
      <c r="J17" s="78">
        <f t="shared" si="1"/>
        <v>1.0593333333333332</v>
      </c>
      <c r="K17" s="69"/>
    </row>
    <row r="18" spans="1:11" x14ac:dyDescent="0.3">
      <c r="A18" s="76">
        <v>46113</v>
      </c>
      <c r="B18" s="69" t="s">
        <v>621</v>
      </c>
      <c r="C18" s="69" t="s">
        <v>326</v>
      </c>
      <c r="D18" s="73">
        <v>1760</v>
      </c>
      <c r="E18" s="73">
        <v>1578</v>
      </c>
      <c r="F18" s="78">
        <f t="shared" si="0"/>
        <v>0.89659090909090911</v>
      </c>
      <c r="G18" s="69" t="s">
        <v>622</v>
      </c>
      <c r="H18" s="73">
        <v>900</v>
      </c>
      <c r="I18" s="73">
        <v>893</v>
      </c>
      <c r="J18" s="78">
        <f t="shared" si="1"/>
        <v>0.99222222222222223</v>
      </c>
      <c r="K18" s="69"/>
    </row>
    <row r="19" spans="1:11" x14ac:dyDescent="0.3">
      <c r="A19" s="76">
        <v>46113</v>
      </c>
      <c r="B19" s="69" t="s">
        <v>623</v>
      </c>
      <c r="C19" s="69" t="s">
        <v>334</v>
      </c>
      <c r="D19" s="73">
        <v>1920</v>
      </c>
      <c r="E19" s="73">
        <v>1595</v>
      </c>
      <c r="F19" s="78">
        <f t="shared" si="0"/>
        <v>0.83072916666666663</v>
      </c>
      <c r="G19" s="69" t="s">
        <v>624</v>
      </c>
      <c r="H19" s="73">
        <v>160</v>
      </c>
      <c r="I19" s="73">
        <v>142</v>
      </c>
      <c r="J19" s="78">
        <f t="shared" si="1"/>
        <v>0.88749999999999996</v>
      </c>
      <c r="K19" s="69"/>
    </row>
    <row r="20" spans="1:11" x14ac:dyDescent="0.3">
      <c r="A20" s="76">
        <v>46113</v>
      </c>
      <c r="B20" s="69" t="s">
        <v>625</v>
      </c>
      <c r="C20" s="69" t="s">
        <v>626</v>
      </c>
      <c r="D20" s="73">
        <v>1840</v>
      </c>
      <c r="E20" s="73">
        <v>1465</v>
      </c>
      <c r="F20" s="78">
        <f t="shared" si="0"/>
        <v>0.79619565217391308</v>
      </c>
      <c r="G20" s="69" t="s">
        <v>627</v>
      </c>
      <c r="H20" s="73">
        <v>24</v>
      </c>
      <c r="I20" s="73">
        <v>22</v>
      </c>
      <c r="J20" s="78">
        <f t="shared" si="1"/>
        <v>0.91666666666666663</v>
      </c>
      <c r="K20" s="69"/>
    </row>
    <row r="21" spans="1:11" x14ac:dyDescent="0.3">
      <c r="A21" s="76">
        <v>46143</v>
      </c>
      <c r="B21" s="69" t="s">
        <v>619</v>
      </c>
      <c r="C21" s="69" t="s">
        <v>337</v>
      </c>
      <c r="D21" s="73">
        <v>1920</v>
      </c>
      <c r="E21" s="73">
        <v>1428</v>
      </c>
      <c r="F21" s="78">
        <f t="shared" si="0"/>
        <v>0.74375000000000002</v>
      </c>
      <c r="G21" s="69" t="s">
        <v>620</v>
      </c>
      <c r="H21" s="73">
        <v>9000</v>
      </c>
      <c r="I21" s="73">
        <v>8225</v>
      </c>
      <c r="J21" s="78">
        <f t="shared" si="1"/>
        <v>0.91388888888888886</v>
      </c>
      <c r="K21" s="69"/>
    </row>
    <row r="22" spans="1:11" x14ac:dyDescent="0.3">
      <c r="A22" s="76">
        <v>46143</v>
      </c>
      <c r="B22" s="69" t="s">
        <v>621</v>
      </c>
      <c r="C22" s="69" t="s">
        <v>326</v>
      </c>
      <c r="D22" s="73">
        <v>1920</v>
      </c>
      <c r="E22" s="73">
        <v>1438</v>
      </c>
      <c r="F22" s="78">
        <f t="shared" si="0"/>
        <v>0.74895833333333328</v>
      </c>
      <c r="G22" s="69" t="s">
        <v>622</v>
      </c>
      <c r="H22" s="73">
        <v>900</v>
      </c>
      <c r="I22" s="73">
        <v>918</v>
      </c>
      <c r="J22" s="78">
        <f t="shared" si="1"/>
        <v>1.02</v>
      </c>
      <c r="K22" s="69"/>
    </row>
    <row r="23" spans="1:11" x14ac:dyDescent="0.3">
      <c r="A23" s="76">
        <v>46143</v>
      </c>
      <c r="B23" s="69" t="s">
        <v>623</v>
      </c>
      <c r="C23" s="69" t="s">
        <v>334</v>
      </c>
      <c r="D23" s="73">
        <v>1920</v>
      </c>
      <c r="E23" s="73">
        <v>1701</v>
      </c>
      <c r="F23" s="78">
        <f t="shared" si="0"/>
        <v>0.88593750000000004</v>
      </c>
      <c r="G23" s="69" t="s">
        <v>624</v>
      </c>
      <c r="H23" s="73">
        <v>160</v>
      </c>
      <c r="I23" s="73">
        <v>158</v>
      </c>
      <c r="J23" s="78">
        <f t="shared" si="1"/>
        <v>0.98750000000000004</v>
      </c>
      <c r="K23" s="69"/>
    </row>
    <row r="24" spans="1:11" x14ac:dyDescent="0.3">
      <c r="A24" s="76">
        <v>46143</v>
      </c>
      <c r="B24" s="69" t="s">
        <v>625</v>
      </c>
      <c r="C24" s="69" t="s">
        <v>626</v>
      </c>
      <c r="D24" s="73">
        <v>2080</v>
      </c>
      <c r="E24" s="73">
        <v>1876</v>
      </c>
      <c r="F24" s="78">
        <f t="shared" si="0"/>
        <v>0.90192307692307694</v>
      </c>
      <c r="G24" s="69" t="s">
        <v>627</v>
      </c>
      <c r="H24" s="73">
        <v>24</v>
      </c>
      <c r="I24" s="73">
        <v>24</v>
      </c>
      <c r="J24" s="78">
        <f t="shared" si="1"/>
        <v>1</v>
      </c>
      <c r="K24" s="69"/>
    </row>
    <row r="25" spans="1:11" x14ac:dyDescent="0.3">
      <c r="A25" s="76">
        <v>46174</v>
      </c>
      <c r="B25" s="69" t="s">
        <v>619</v>
      </c>
      <c r="C25" s="69" t="s">
        <v>337</v>
      </c>
      <c r="D25" s="73">
        <v>1760</v>
      </c>
      <c r="E25" s="73">
        <v>1566</v>
      </c>
      <c r="F25" s="78">
        <f t="shared" si="0"/>
        <v>0.88977272727272727</v>
      </c>
      <c r="G25" s="69" t="s">
        <v>620</v>
      </c>
      <c r="H25" s="73">
        <v>9000</v>
      </c>
      <c r="I25" s="73">
        <v>7799</v>
      </c>
      <c r="J25" s="78">
        <f t="shared" si="1"/>
        <v>0.86655555555555552</v>
      </c>
      <c r="K25" s="69"/>
    </row>
    <row r="26" spans="1:11" x14ac:dyDescent="0.3">
      <c r="A26" s="76">
        <v>46174</v>
      </c>
      <c r="B26" s="69" t="s">
        <v>621</v>
      </c>
      <c r="C26" s="69" t="s">
        <v>326</v>
      </c>
      <c r="D26" s="73">
        <v>1760</v>
      </c>
      <c r="E26" s="73">
        <v>1418</v>
      </c>
      <c r="F26" s="78">
        <f t="shared" si="0"/>
        <v>0.80568181818181817</v>
      </c>
      <c r="G26" s="69" t="s">
        <v>622</v>
      </c>
      <c r="H26" s="73">
        <v>900</v>
      </c>
      <c r="I26" s="73">
        <v>907</v>
      </c>
      <c r="J26" s="78">
        <f t="shared" si="1"/>
        <v>1.0077777777777779</v>
      </c>
      <c r="K26" s="69"/>
    </row>
    <row r="27" spans="1:11" x14ac:dyDescent="0.3">
      <c r="A27" s="76">
        <v>46174</v>
      </c>
      <c r="B27" s="69" t="s">
        <v>623</v>
      </c>
      <c r="C27" s="69" t="s">
        <v>334</v>
      </c>
      <c r="D27" s="73">
        <v>1840</v>
      </c>
      <c r="E27" s="73">
        <v>1611</v>
      </c>
      <c r="F27" s="78">
        <f t="shared" si="0"/>
        <v>0.87554347826086953</v>
      </c>
      <c r="G27" s="69" t="s">
        <v>624</v>
      </c>
      <c r="H27" s="73">
        <v>160</v>
      </c>
      <c r="I27" s="73">
        <v>165</v>
      </c>
      <c r="J27" s="78">
        <f t="shared" si="1"/>
        <v>1.03125</v>
      </c>
      <c r="K27" s="69"/>
    </row>
    <row r="28" spans="1:11" x14ac:dyDescent="0.3">
      <c r="A28" s="76">
        <v>46174</v>
      </c>
      <c r="B28" s="69" t="s">
        <v>625</v>
      </c>
      <c r="C28" s="69" t="s">
        <v>626</v>
      </c>
      <c r="D28" s="73">
        <v>1920</v>
      </c>
      <c r="E28" s="73">
        <v>1483</v>
      </c>
      <c r="F28" s="78">
        <f t="shared" si="0"/>
        <v>0.77239583333333328</v>
      </c>
      <c r="G28" s="69" t="s">
        <v>627</v>
      </c>
      <c r="H28" s="73">
        <v>24</v>
      </c>
      <c r="I28" s="73">
        <v>21</v>
      </c>
      <c r="J28" s="78">
        <f t="shared" si="1"/>
        <v>0.875</v>
      </c>
      <c r="K28" s="69"/>
    </row>
    <row r="29" spans="1:11" x14ac:dyDescent="0.3">
      <c r="A29" s="76">
        <v>46204</v>
      </c>
      <c r="B29" s="69" t="s">
        <v>619</v>
      </c>
      <c r="C29" s="69" t="s">
        <v>337</v>
      </c>
      <c r="D29" s="73">
        <v>1840</v>
      </c>
      <c r="E29" s="73">
        <v>1462</v>
      </c>
      <c r="F29" s="78">
        <f t="shared" si="0"/>
        <v>0.79456521739130437</v>
      </c>
      <c r="G29" s="69" t="s">
        <v>620</v>
      </c>
      <c r="H29" s="73">
        <v>9000</v>
      </c>
      <c r="I29" s="73">
        <v>9158</v>
      </c>
      <c r="J29" s="78">
        <f t="shared" si="1"/>
        <v>1.0175555555555555</v>
      </c>
      <c r="K29" s="69"/>
    </row>
    <row r="30" spans="1:11" x14ac:dyDescent="0.3">
      <c r="A30" s="76">
        <v>46204</v>
      </c>
      <c r="B30" s="69" t="s">
        <v>621</v>
      </c>
      <c r="C30" s="69" t="s">
        <v>326</v>
      </c>
      <c r="D30" s="73">
        <v>1760</v>
      </c>
      <c r="E30" s="73">
        <v>1304</v>
      </c>
      <c r="F30" s="78">
        <f t="shared" si="0"/>
        <v>0.74090909090909096</v>
      </c>
      <c r="G30" s="69" t="s">
        <v>622</v>
      </c>
      <c r="H30" s="73">
        <v>900</v>
      </c>
      <c r="I30" s="73">
        <v>867</v>
      </c>
      <c r="J30" s="78">
        <f t="shared" si="1"/>
        <v>0.96333333333333337</v>
      </c>
      <c r="K30" s="69"/>
    </row>
    <row r="31" spans="1:11" x14ac:dyDescent="0.3">
      <c r="A31" s="76">
        <v>46204</v>
      </c>
      <c r="B31" s="69" t="s">
        <v>623</v>
      </c>
      <c r="C31" s="69" t="s">
        <v>334</v>
      </c>
      <c r="D31" s="73">
        <v>2080</v>
      </c>
      <c r="E31" s="73">
        <v>1814</v>
      </c>
      <c r="F31" s="78">
        <f t="shared" si="0"/>
        <v>0.87211538461538463</v>
      </c>
      <c r="G31" s="69" t="s">
        <v>624</v>
      </c>
      <c r="H31" s="73">
        <v>160</v>
      </c>
      <c r="I31" s="73">
        <v>165</v>
      </c>
      <c r="J31" s="78">
        <f t="shared" si="1"/>
        <v>1.03125</v>
      </c>
      <c r="K31" s="69"/>
    </row>
    <row r="32" spans="1:11" x14ac:dyDescent="0.3">
      <c r="A32" s="76">
        <v>46204</v>
      </c>
      <c r="B32" s="69" t="s">
        <v>625</v>
      </c>
      <c r="C32" s="69" t="s">
        <v>626</v>
      </c>
      <c r="D32" s="73">
        <v>2080</v>
      </c>
      <c r="E32" s="73">
        <v>1773</v>
      </c>
      <c r="F32" s="78">
        <f t="shared" si="0"/>
        <v>0.85240384615384612</v>
      </c>
      <c r="G32" s="69" t="s">
        <v>627</v>
      </c>
      <c r="H32" s="73">
        <v>24</v>
      </c>
      <c r="I32" s="73">
        <v>25</v>
      </c>
      <c r="J32" s="78">
        <f t="shared" si="1"/>
        <v>1.0416666666666667</v>
      </c>
      <c r="K32" s="69"/>
    </row>
    <row r="33" spans="1:11" x14ac:dyDescent="0.3">
      <c r="A33" s="76">
        <v>46235</v>
      </c>
      <c r="B33" s="69" t="s">
        <v>619</v>
      </c>
      <c r="C33" s="69" t="s">
        <v>337</v>
      </c>
      <c r="D33" s="73">
        <v>1920</v>
      </c>
      <c r="E33" s="73">
        <v>1632</v>
      </c>
      <c r="F33" s="78">
        <f t="shared" si="0"/>
        <v>0.85</v>
      </c>
      <c r="G33" s="69" t="s">
        <v>620</v>
      </c>
      <c r="H33" s="73">
        <v>9000</v>
      </c>
      <c r="I33" s="73">
        <v>8040</v>
      </c>
      <c r="J33" s="78">
        <f t="shared" si="1"/>
        <v>0.89333333333333331</v>
      </c>
      <c r="K33" s="69"/>
    </row>
    <row r="34" spans="1:11" x14ac:dyDescent="0.3">
      <c r="A34" s="76">
        <v>46235</v>
      </c>
      <c r="B34" s="69" t="s">
        <v>621</v>
      </c>
      <c r="C34" s="69" t="s">
        <v>326</v>
      </c>
      <c r="D34" s="73">
        <v>1840</v>
      </c>
      <c r="E34" s="73">
        <v>1690</v>
      </c>
      <c r="F34" s="78">
        <f t="shared" si="0"/>
        <v>0.91847826086956519</v>
      </c>
      <c r="G34" s="69" t="s">
        <v>622</v>
      </c>
      <c r="H34" s="73">
        <v>900</v>
      </c>
      <c r="I34" s="73">
        <v>818</v>
      </c>
      <c r="J34" s="78">
        <f t="shared" si="1"/>
        <v>0.90888888888888886</v>
      </c>
      <c r="K34" s="69"/>
    </row>
    <row r="35" spans="1:11" x14ac:dyDescent="0.3">
      <c r="A35" s="76">
        <v>46235</v>
      </c>
      <c r="B35" s="69" t="s">
        <v>623</v>
      </c>
      <c r="C35" s="69" t="s">
        <v>334</v>
      </c>
      <c r="D35" s="73">
        <v>1840</v>
      </c>
      <c r="E35" s="73">
        <v>1400</v>
      </c>
      <c r="F35" s="78">
        <f t="shared" si="0"/>
        <v>0.76086956521739135</v>
      </c>
      <c r="G35" s="69" t="s">
        <v>624</v>
      </c>
      <c r="H35" s="73">
        <v>160</v>
      </c>
      <c r="I35" s="73">
        <v>159</v>
      </c>
      <c r="J35" s="78">
        <f t="shared" si="1"/>
        <v>0.99375000000000002</v>
      </c>
      <c r="K35" s="69"/>
    </row>
    <row r="36" spans="1:11" x14ac:dyDescent="0.3">
      <c r="A36" s="76">
        <v>46235</v>
      </c>
      <c r="B36" s="69" t="s">
        <v>625</v>
      </c>
      <c r="C36" s="69" t="s">
        <v>626</v>
      </c>
      <c r="D36" s="73">
        <v>1760</v>
      </c>
      <c r="E36" s="73">
        <v>1466</v>
      </c>
      <c r="F36" s="78">
        <f t="shared" si="0"/>
        <v>0.8329545454545455</v>
      </c>
      <c r="G36" s="69" t="s">
        <v>627</v>
      </c>
      <c r="H36" s="73">
        <v>24</v>
      </c>
      <c r="I36" s="73">
        <v>26</v>
      </c>
      <c r="J36" s="78">
        <f t="shared" si="1"/>
        <v>1.0833333333333333</v>
      </c>
      <c r="K36" s="69"/>
    </row>
    <row r="37" spans="1:11" x14ac:dyDescent="0.3">
      <c r="A37" s="76">
        <v>46266</v>
      </c>
      <c r="B37" s="69" t="s">
        <v>619</v>
      </c>
      <c r="C37" s="69" t="s">
        <v>337</v>
      </c>
      <c r="D37" s="73">
        <v>1760</v>
      </c>
      <c r="E37" s="73">
        <v>1512</v>
      </c>
      <c r="F37" s="78">
        <f t="shared" si="0"/>
        <v>0.85909090909090913</v>
      </c>
      <c r="G37" s="69" t="s">
        <v>620</v>
      </c>
      <c r="H37" s="73">
        <v>9000</v>
      </c>
      <c r="I37" s="73">
        <v>8412</v>
      </c>
      <c r="J37" s="78">
        <f t="shared" si="1"/>
        <v>0.93466666666666665</v>
      </c>
      <c r="K37" s="69"/>
    </row>
    <row r="38" spans="1:11" x14ac:dyDescent="0.3">
      <c r="A38" s="76">
        <v>46266</v>
      </c>
      <c r="B38" s="69" t="s">
        <v>621</v>
      </c>
      <c r="C38" s="69" t="s">
        <v>326</v>
      </c>
      <c r="D38" s="73">
        <v>2080</v>
      </c>
      <c r="E38" s="73">
        <v>1906</v>
      </c>
      <c r="F38" s="78">
        <f t="shared" si="0"/>
        <v>0.91634615384615381</v>
      </c>
      <c r="G38" s="69" t="s">
        <v>622</v>
      </c>
      <c r="H38" s="73">
        <v>900</v>
      </c>
      <c r="I38" s="73">
        <v>943</v>
      </c>
      <c r="J38" s="78">
        <f t="shared" si="1"/>
        <v>1.0477777777777777</v>
      </c>
      <c r="K38" s="69"/>
    </row>
    <row r="39" spans="1:11" x14ac:dyDescent="0.3">
      <c r="A39" s="76">
        <v>46266</v>
      </c>
      <c r="B39" s="69" t="s">
        <v>623</v>
      </c>
      <c r="C39" s="69" t="s">
        <v>334</v>
      </c>
      <c r="D39" s="73">
        <v>1760</v>
      </c>
      <c r="E39" s="73">
        <v>1444</v>
      </c>
      <c r="F39" s="78">
        <f t="shared" si="0"/>
        <v>0.82045454545454544</v>
      </c>
      <c r="G39" s="69" t="s">
        <v>624</v>
      </c>
      <c r="H39" s="73">
        <v>160</v>
      </c>
      <c r="I39" s="73">
        <v>159</v>
      </c>
      <c r="J39" s="78">
        <f t="shared" si="1"/>
        <v>0.99375000000000002</v>
      </c>
      <c r="K39" s="69"/>
    </row>
    <row r="40" spans="1:11" x14ac:dyDescent="0.3">
      <c r="A40" s="76">
        <v>46266</v>
      </c>
      <c r="B40" s="69" t="s">
        <v>625</v>
      </c>
      <c r="C40" s="69" t="s">
        <v>626</v>
      </c>
      <c r="D40" s="73">
        <v>1920</v>
      </c>
      <c r="E40" s="73">
        <v>1496</v>
      </c>
      <c r="F40" s="78">
        <f t="shared" si="0"/>
        <v>0.77916666666666667</v>
      </c>
      <c r="G40" s="69" t="s">
        <v>627</v>
      </c>
      <c r="H40" s="73">
        <v>24</v>
      </c>
      <c r="I40" s="73">
        <v>22</v>
      </c>
      <c r="J40" s="78">
        <f t="shared" si="1"/>
        <v>0.91666666666666663</v>
      </c>
      <c r="K40" s="69"/>
    </row>
    <row r="41" spans="1:11" x14ac:dyDescent="0.3">
      <c r="A41" s="76">
        <v>46296</v>
      </c>
      <c r="B41" s="69" t="s">
        <v>619</v>
      </c>
      <c r="C41" s="69" t="s">
        <v>337</v>
      </c>
      <c r="D41" s="73">
        <v>1840</v>
      </c>
      <c r="E41" s="73">
        <v>1494</v>
      </c>
      <c r="F41" s="78">
        <f t="shared" si="0"/>
        <v>0.81195652173913047</v>
      </c>
      <c r="G41" s="69" t="s">
        <v>620</v>
      </c>
      <c r="H41" s="73">
        <v>9000</v>
      </c>
      <c r="I41" s="73">
        <v>9411</v>
      </c>
      <c r="J41" s="78">
        <f t="shared" si="1"/>
        <v>1.0456666666666667</v>
      </c>
      <c r="K41" s="69"/>
    </row>
    <row r="42" spans="1:11" x14ac:dyDescent="0.3">
      <c r="A42" s="76">
        <v>46296</v>
      </c>
      <c r="B42" s="69" t="s">
        <v>621</v>
      </c>
      <c r="C42" s="69" t="s">
        <v>326</v>
      </c>
      <c r="D42" s="73">
        <v>1840</v>
      </c>
      <c r="E42" s="73">
        <v>1692</v>
      </c>
      <c r="F42" s="78">
        <f t="shared" si="0"/>
        <v>0.91956521739130437</v>
      </c>
      <c r="G42" s="69" t="s">
        <v>622</v>
      </c>
      <c r="H42" s="73">
        <v>900</v>
      </c>
      <c r="I42" s="73">
        <v>798</v>
      </c>
      <c r="J42" s="78">
        <f t="shared" si="1"/>
        <v>0.88666666666666671</v>
      </c>
      <c r="K42" s="69"/>
    </row>
    <row r="43" spans="1:11" x14ac:dyDescent="0.3">
      <c r="A43" s="76">
        <v>46296</v>
      </c>
      <c r="B43" s="69" t="s">
        <v>623</v>
      </c>
      <c r="C43" s="69" t="s">
        <v>334</v>
      </c>
      <c r="D43" s="73">
        <v>1760</v>
      </c>
      <c r="E43" s="73">
        <v>1419</v>
      </c>
      <c r="F43" s="78">
        <f t="shared" si="0"/>
        <v>0.80625000000000002</v>
      </c>
      <c r="G43" s="69" t="s">
        <v>624</v>
      </c>
      <c r="H43" s="73">
        <v>160</v>
      </c>
      <c r="I43" s="73">
        <v>149</v>
      </c>
      <c r="J43" s="78">
        <f t="shared" si="1"/>
        <v>0.93125000000000002</v>
      </c>
      <c r="K43" s="69"/>
    </row>
    <row r="44" spans="1:11" x14ac:dyDescent="0.3">
      <c r="A44" s="76">
        <v>46296</v>
      </c>
      <c r="B44" s="69" t="s">
        <v>625</v>
      </c>
      <c r="C44" s="69" t="s">
        <v>626</v>
      </c>
      <c r="D44" s="73">
        <v>1840</v>
      </c>
      <c r="E44" s="73">
        <v>1665</v>
      </c>
      <c r="F44" s="78">
        <f t="shared" si="0"/>
        <v>0.90489130434782605</v>
      </c>
      <c r="G44" s="69" t="s">
        <v>627</v>
      </c>
      <c r="H44" s="73">
        <v>24</v>
      </c>
      <c r="I44" s="73">
        <v>23</v>
      </c>
      <c r="J44" s="78">
        <f t="shared" si="1"/>
        <v>0.95833333333333337</v>
      </c>
      <c r="K44" s="69"/>
    </row>
    <row r="45" spans="1:11" x14ac:dyDescent="0.3">
      <c r="A45" s="76"/>
      <c r="B45" s="69"/>
      <c r="C45" s="69"/>
      <c r="D45" s="73"/>
      <c r="E45" s="73"/>
      <c r="F45" s="78" t="str">
        <f t="shared" si="0"/>
        <v/>
      </c>
      <c r="G45" s="69"/>
      <c r="H45" s="73"/>
      <c r="I45" s="73"/>
      <c r="J45" s="78" t="str">
        <f t="shared" si="1"/>
        <v/>
      </c>
      <c r="K45" s="69"/>
    </row>
    <row r="46" spans="1:11" x14ac:dyDescent="0.3">
      <c r="A46" s="76"/>
      <c r="B46" s="69"/>
      <c r="C46" s="69"/>
      <c r="D46" s="73"/>
      <c r="E46" s="73"/>
      <c r="F46" s="78" t="str">
        <f t="shared" si="0"/>
        <v/>
      </c>
      <c r="G46" s="69"/>
      <c r="H46" s="73"/>
      <c r="I46" s="73"/>
      <c r="J46" s="78" t="str">
        <f t="shared" si="1"/>
        <v/>
      </c>
      <c r="K46" s="69"/>
    </row>
    <row r="47" spans="1:11" x14ac:dyDescent="0.3">
      <c r="A47" s="76"/>
      <c r="B47" s="69"/>
      <c r="C47" s="69"/>
      <c r="D47" s="73"/>
      <c r="E47" s="73"/>
      <c r="F47" s="78" t="str">
        <f t="shared" si="0"/>
        <v/>
      </c>
      <c r="G47" s="69"/>
      <c r="H47" s="73"/>
      <c r="I47" s="73"/>
      <c r="J47" s="78" t="str">
        <f t="shared" si="1"/>
        <v/>
      </c>
      <c r="K47" s="69"/>
    </row>
    <row r="48" spans="1:11" x14ac:dyDescent="0.3">
      <c r="A48" s="76"/>
      <c r="B48" s="69"/>
      <c r="C48" s="69"/>
      <c r="D48" s="73"/>
      <c r="E48" s="73"/>
      <c r="F48" s="78" t="str">
        <f t="shared" si="0"/>
        <v/>
      </c>
      <c r="G48" s="69"/>
      <c r="H48" s="73"/>
      <c r="I48" s="73"/>
      <c r="J48" s="78" t="str">
        <f t="shared" si="1"/>
        <v/>
      </c>
      <c r="K48" s="69"/>
    </row>
    <row r="49" spans="1:11" x14ac:dyDescent="0.3">
      <c r="A49" s="76"/>
      <c r="B49" s="69"/>
      <c r="C49" s="69"/>
      <c r="D49" s="73"/>
      <c r="E49" s="73"/>
      <c r="F49" s="78" t="str">
        <f t="shared" si="0"/>
        <v/>
      </c>
      <c r="G49" s="69"/>
      <c r="H49" s="73"/>
      <c r="I49" s="73"/>
      <c r="J49" s="78" t="str">
        <f t="shared" si="1"/>
        <v/>
      </c>
      <c r="K49" s="69"/>
    </row>
    <row r="50" spans="1:11" x14ac:dyDescent="0.3">
      <c r="A50" s="76"/>
      <c r="B50" s="69"/>
      <c r="C50" s="69"/>
      <c r="D50" s="73"/>
      <c r="E50" s="73"/>
      <c r="F50" s="78" t="str">
        <f t="shared" si="0"/>
        <v/>
      </c>
      <c r="G50" s="69"/>
      <c r="H50" s="73"/>
      <c r="I50" s="73"/>
      <c r="J50" s="78" t="str">
        <f t="shared" si="1"/>
        <v/>
      </c>
      <c r="K50" s="69"/>
    </row>
    <row r="51" spans="1:11" x14ac:dyDescent="0.3">
      <c r="A51" s="76"/>
      <c r="B51" s="69"/>
      <c r="C51" s="69"/>
      <c r="D51" s="73"/>
      <c r="E51" s="73"/>
      <c r="F51" s="78" t="str">
        <f t="shared" si="0"/>
        <v/>
      </c>
      <c r="G51" s="69"/>
      <c r="H51" s="73"/>
      <c r="I51" s="73"/>
      <c r="J51" s="78" t="str">
        <f t="shared" si="1"/>
        <v/>
      </c>
      <c r="K51" s="69"/>
    </row>
    <row r="52" spans="1:11" x14ac:dyDescent="0.3">
      <c r="A52" s="76"/>
      <c r="B52" s="69"/>
      <c r="C52" s="69"/>
      <c r="D52" s="73"/>
      <c r="E52" s="73"/>
      <c r="F52" s="78" t="str">
        <f t="shared" si="0"/>
        <v/>
      </c>
      <c r="G52" s="69"/>
      <c r="H52" s="73"/>
      <c r="I52" s="73"/>
      <c r="J52" s="78" t="str">
        <f t="shared" si="1"/>
        <v/>
      </c>
      <c r="K52" s="69"/>
    </row>
    <row r="53" spans="1:11" x14ac:dyDescent="0.3">
      <c r="A53" s="76"/>
      <c r="B53" s="69"/>
      <c r="C53" s="69"/>
      <c r="D53" s="73"/>
      <c r="E53" s="73"/>
      <c r="F53" s="78" t="str">
        <f t="shared" si="0"/>
        <v/>
      </c>
      <c r="G53" s="69"/>
      <c r="H53" s="73"/>
      <c r="I53" s="73"/>
      <c r="J53" s="78" t="str">
        <f t="shared" si="1"/>
        <v/>
      </c>
      <c r="K53" s="69"/>
    </row>
    <row r="54" spans="1:11" x14ac:dyDescent="0.3">
      <c r="A54" s="76"/>
      <c r="B54" s="69"/>
      <c r="C54" s="69"/>
      <c r="D54" s="73"/>
      <c r="E54" s="73"/>
      <c r="F54" s="78" t="str">
        <f t="shared" si="0"/>
        <v/>
      </c>
      <c r="G54" s="69"/>
      <c r="H54" s="73"/>
      <c r="I54" s="73"/>
      <c r="J54" s="78" t="str">
        <f t="shared" si="1"/>
        <v/>
      </c>
      <c r="K54" s="69"/>
    </row>
    <row r="55" spans="1:11" x14ac:dyDescent="0.3">
      <c r="A55" s="76"/>
      <c r="B55" s="69"/>
      <c r="C55" s="69"/>
      <c r="D55" s="73"/>
      <c r="E55" s="73"/>
      <c r="F55" s="78" t="str">
        <f t="shared" si="0"/>
        <v/>
      </c>
      <c r="G55" s="69"/>
      <c r="H55" s="73"/>
      <c r="I55" s="73"/>
      <c r="J55" s="78" t="str">
        <f t="shared" si="1"/>
        <v/>
      </c>
      <c r="K55" s="69"/>
    </row>
    <row r="56" spans="1:11" x14ac:dyDescent="0.3">
      <c r="A56" s="76"/>
      <c r="B56" s="69"/>
      <c r="C56" s="69"/>
      <c r="D56" s="73"/>
      <c r="E56" s="73"/>
      <c r="F56" s="78" t="str">
        <f t="shared" si="0"/>
        <v/>
      </c>
      <c r="G56" s="69"/>
      <c r="H56" s="73"/>
      <c r="I56" s="73"/>
      <c r="J56" s="78" t="str">
        <f t="shared" si="1"/>
        <v/>
      </c>
      <c r="K56" s="69"/>
    </row>
    <row r="57" spans="1:11" x14ac:dyDescent="0.3">
      <c r="A57" s="76"/>
      <c r="B57" s="69"/>
      <c r="C57" s="69"/>
      <c r="D57" s="73"/>
      <c r="E57" s="73"/>
      <c r="F57" s="78" t="str">
        <f t="shared" si="0"/>
        <v/>
      </c>
      <c r="G57" s="69"/>
      <c r="H57" s="73"/>
      <c r="I57" s="73"/>
      <c r="J57" s="78" t="str">
        <f t="shared" si="1"/>
        <v/>
      </c>
      <c r="K57" s="69"/>
    </row>
    <row r="58" spans="1:11" x14ac:dyDescent="0.3">
      <c r="A58" s="76"/>
      <c r="B58" s="69"/>
      <c r="C58" s="69"/>
      <c r="D58" s="73"/>
      <c r="E58" s="73"/>
      <c r="F58" s="78" t="str">
        <f t="shared" si="0"/>
        <v/>
      </c>
      <c r="G58" s="69"/>
      <c r="H58" s="73"/>
      <c r="I58" s="73"/>
      <c r="J58" s="78" t="str">
        <f t="shared" si="1"/>
        <v/>
      </c>
      <c r="K58" s="69"/>
    </row>
    <row r="59" spans="1:11" x14ac:dyDescent="0.3">
      <c r="A59" s="76"/>
      <c r="B59" s="69"/>
      <c r="C59" s="69"/>
      <c r="D59" s="73"/>
      <c r="E59" s="73"/>
      <c r="F59" s="78" t="str">
        <f t="shared" si="0"/>
        <v/>
      </c>
      <c r="G59" s="69"/>
      <c r="H59" s="73"/>
      <c r="I59" s="73"/>
      <c r="J59" s="78" t="str">
        <f t="shared" si="1"/>
        <v/>
      </c>
      <c r="K59" s="69"/>
    </row>
    <row r="60" spans="1:11" x14ac:dyDescent="0.3">
      <c r="A60" s="76"/>
      <c r="B60" s="69"/>
      <c r="C60" s="69"/>
      <c r="D60" s="73"/>
      <c r="E60" s="73"/>
      <c r="F60" s="78" t="str">
        <f t="shared" si="0"/>
        <v/>
      </c>
      <c r="G60" s="69"/>
      <c r="H60" s="73"/>
      <c r="I60" s="73"/>
      <c r="J60" s="78" t="str">
        <f t="shared" si="1"/>
        <v/>
      </c>
      <c r="K60" s="69"/>
    </row>
    <row r="61" spans="1:11" x14ac:dyDescent="0.3">
      <c r="A61" s="76"/>
      <c r="B61" s="69"/>
      <c r="C61" s="69"/>
      <c r="D61" s="73"/>
      <c r="E61" s="73"/>
      <c r="F61" s="78" t="str">
        <f t="shared" si="0"/>
        <v/>
      </c>
      <c r="G61" s="69"/>
      <c r="H61" s="73"/>
      <c r="I61" s="73"/>
      <c r="J61" s="78" t="str">
        <f t="shared" si="1"/>
        <v/>
      </c>
      <c r="K61" s="69"/>
    </row>
    <row r="62" spans="1:11" x14ac:dyDescent="0.3">
      <c r="A62" s="76"/>
      <c r="B62" s="69"/>
      <c r="C62" s="69"/>
      <c r="D62" s="73"/>
      <c r="E62" s="73"/>
      <c r="F62" s="78" t="str">
        <f t="shared" si="0"/>
        <v/>
      </c>
      <c r="G62" s="69"/>
      <c r="H62" s="73"/>
      <c r="I62" s="73"/>
      <c r="J62" s="78" t="str">
        <f t="shared" si="1"/>
        <v/>
      </c>
      <c r="K62" s="69"/>
    </row>
    <row r="63" spans="1:11" x14ac:dyDescent="0.3">
      <c r="A63" s="76"/>
      <c r="B63" s="69"/>
      <c r="C63" s="69"/>
      <c r="D63" s="73"/>
      <c r="E63" s="73"/>
      <c r="F63" s="78" t="str">
        <f t="shared" si="0"/>
        <v/>
      </c>
      <c r="G63" s="69"/>
      <c r="H63" s="73"/>
      <c r="I63" s="73"/>
      <c r="J63" s="78" t="str">
        <f t="shared" si="1"/>
        <v/>
      </c>
      <c r="K63" s="69"/>
    </row>
    <row r="64" spans="1:11" x14ac:dyDescent="0.3">
      <c r="A64" s="76"/>
      <c r="B64" s="69"/>
      <c r="C64" s="69"/>
      <c r="D64" s="73"/>
      <c r="E64" s="73"/>
      <c r="F64" s="78" t="str">
        <f t="shared" si="0"/>
        <v/>
      </c>
      <c r="G64" s="69"/>
      <c r="H64" s="73"/>
      <c r="I64" s="73"/>
      <c r="J64" s="78" t="str">
        <f t="shared" si="1"/>
        <v/>
      </c>
      <c r="K64" s="69"/>
    </row>
    <row r="65" spans="1:11" x14ac:dyDescent="0.3">
      <c r="A65" s="76"/>
      <c r="B65" s="69"/>
      <c r="C65" s="69"/>
      <c r="D65" s="73"/>
      <c r="E65" s="73"/>
      <c r="F65" s="78" t="str">
        <f t="shared" si="0"/>
        <v/>
      </c>
      <c r="G65" s="69"/>
      <c r="H65" s="73"/>
      <c r="I65" s="73"/>
      <c r="J65" s="78" t="str">
        <f t="shared" si="1"/>
        <v/>
      </c>
      <c r="K65" s="69"/>
    </row>
    <row r="66" spans="1:11" x14ac:dyDescent="0.3">
      <c r="A66" s="76"/>
      <c r="B66" s="69"/>
      <c r="C66" s="69"/>
      <c r="D66" s="73"/>
      <c r="E66" s="73"/>
      <c r="F66" s="78" t="str">
        <f t="shared" si="0"/>
        <v/>
      </c>
      <c r="G66" s="69"/>
      <c r="H66" s="73"/>
      <c r="I66" s="73"/>
      <c r="J66" s="78" t="str">
        <f t="shared" si="1"/>
        <v/>
      </c>
      <c r="K66" s="69"/>
    </row>
    <row r="67" spans="1:11" x14ac:dyDescent="0.3">
      <c r="A67" s="76"/>
      <c r="B67" s="69"/>
      <c r="C67" s="69"/>
      <c r="D67" s="73"/>
      <c r="E67" s="73"/>
      <c r="F67" s="78" t="str">
        <f t="shared" si="0"/>
        <v/>
      </c>
      <c r="G67" s="69"/>
      <c r="H67" s="73"/>
      <c r="I67" s="73"/>
      <c r="J67" s="78" t="str">
        <f t="shared" si="1"/>
        <v/>
      </c>
      <c r="K67" s="69"/>
    </row>
    <row r="68" spans="1:11" x14ac:dyDescent="0.3">
      <c r="A68" s="76"/>
      <c r="B68" s="69"/>
      <c r="C68" s="69"/>
      <c r="D68" s="73"/>
      <c r="E68" s="73"/>
      <c r="F68" s="78" t="str">
        <f t="shared" si="0"/>
        <v/>
      </c>
      <c r="G68" s="69"/>
      <c r="H68" s="73"/>
      <c r="I68" s="73"/>
      <c r="J68" s="78" t="str">
        <f t="shared" si="1"/>
        <v/>
      </c>
      <c r="K68" s="69"/>
    </row>
    <row r="69" spans="1:11" x14ac:dyDescent="0.3">
      <c r="A69" s="76"/>
      <c r="B69" s="69"/>
      <c r="C69" s="69"/>
      <c r="D69" s="73"/>
      <c r="E69" s="73"/>
      <c r="F69" s="78" t="str">
        <f t="shared" ref="F69:F132" si="2">IF(OR(D69="",D69=0,E69=""),"",E69/D69)</f>
        <v/>
      </c>
      <c r="G69" s="69"/>
      <c r="H69" s="73"/>
      <c r="I69" s="73"/>
      <c r="J69" s="78" t="str">
        <f t="shared" ref="J69:J132" si="3">IF(OR(H69="",H69=0,I69=""),"",I69/H69)</f>
        <v/>
      </c>
      <c r="K69" s="69"/>
    </row>
    <row r="70" spans="1:11" x14ac:dyDescent="0.3">
      <c r="A70" s="76"/>
      <c r="B70" s="69"/>
      <c r="C70" s="69"/>
      <c r="D70" s="73"/>
      <c r="E70" s="73"/>
      <c r="F70" s="78" t="str">
        <f t="shared" si="2"/>
        <v/>
      </c>
      <c r="G70" s="69"/>
      <c r="H70" s="73"/>
      <c r="I70" s="73"/>
      <c r="J70" s="78" t="str">
        <f t="shared" si="3"/>
        <v/>
      </c>
      <c r="K70" s="69"/>
    </row>
    <row r="71" spans="1:11" x14ac:dyDescent="0.3">
      <c r="A71" s="76"/>
      <c r="B71" s="69"/>
      <c r="C71" s="69"/>
      <c r="D71" s="73"/>
      <c r="E71" s="73"/>
      <c r="F71" s="78" t="str">
        <f t="shared" si="2"/>
        <v/>
      </c>
      <c r="G71" s="69"/>
      <c r="H71" s="73"/>
      <c r="I71" s="73"/>
      <c r="J71" s="78" t="str">
        <f t="shared" si="3"/>
        <v/>
      </c>
      <c r="K71" s="69"/>
    </row>
    <row r="72" spans="1:11" x14ac:dyDescent="0.3">
      <c r="A72" s="76"/>
      <c r="B72" s="69"/>
      <c r="C72" s="69"/>
      <c r="D72" s="73"/>
      <c r="E72" s="73"/>
      <c r="F72" s="78" t="str">
        <f t="shared" si="2"/>
        <v/>
      </c>
      <c r="G72" s="69"/>
      <c r="H72" s="73"/>
      <c r="I72" s="73"/>
      <c r="J72" s="78" t="str">
        <f t="shared" si="3"/>
        <v/>
      </c>
      <c r="K72" s="69"/>
    </row>
    <row r="73" spans="1:11" x14ac:dyDescent="0.3">
      <c r="A73" s="76"/>
      <c r="B73" s="69"/>
      <c r="C73" s="69"/>
      <c r="D73" s="73"/>
      <c r="E73" s="73"/>
      <c r="F73" s="78" t="str">
        <f t="shared" si="2"/>
        <v/>
      </c>
      <c r="G73" s="69"/>
      <c r="H73" s="73"/>
      <c r="I73" s="73"/>
      <c r="J73" s="78" t="str">
        <f t="shared" si="3"/>
        <v/>
      </c>
      <c r="K73" s="69"/>
    </row>
    <row r="74" spans="1:11" x14ac:dyDescent="0.3">
      <c r="A74" s="76"/>
      <c r="B74" s="69"/>
      <c r="C74" s="69"/>
      <c r="D74" s="73"/>
      <c r="E74" s="73"/>
      <c r="F74" s="78" t="str">
        <f t="shared" si="2"/>
        <v/>
      </c>
      <c r="G74" s="69"/>
      <c r="H74" s="73"/>
      <c r="I74" s="73"/>
      <c r="J74" s="78" t="str">
        <f t="shared" si="3"/>
        <v/>
      </c>
      <c r="K74" s="69"/>
    </row>
    <row r="75" spans="1:11" x14ac:dyDescent="0.3">
      <c r="A75" s="76"/>
      <c r="B75" s="69"/>
      <c r="C75" s="69"/>
      <c r="D75" s="73"/>
      <c r="E75" s="73"/>
      <c r="F75" s="78" t="str">
        <f t="shared" si="2"/>
        <v/>
      </c>
      <c r="G75" s="69"/>
      <c r="H75" s="73"/>
      <c r="I75" s="73"/>
      <c r="J75" s="78" t="str">
        <f t="shared" si="3"/>
        <v/>
      </c>
      <c r="K75" s="69"/>
    </row>
    <row r="76" spans="1:11" x14ac:dyDescent="0.3">
      <c r="A76" s="76"/>
      <c r="B76" s="69"/>
      <c r="C76" s="69"/>
      <c r="D76" s="73"/>
      <c r="E76" s="73"/>
      <c r="F76" s="78" t="str">
        <f t="shared" si="2"/>
        <v/>
      </c>
      <c r="G76" s="69"/>
      <c r="H76" s="73"/>
      <c r="I76" s="73"/>
      <c r="J76" s="78" t="str">
        <f t="shared" si="3"/>
        <v/>
      </c>
      <c r="K76" s="69"/>
    </row>
    <row r="77" spans="1:11" x14ac:dyDescent="0.3">
      <c r="A77" s="76"/>
      <c r="B77" s="69"/>
      <c r="C77" s="69"/>
      <c r="D77" s="73"/>
      <c r="E77" s="73"/>
      <c r="F77" s="78" t="str">
        <f t="shared" si="2"/>
        <v/>
      </c>
      <c r="G77" s="69"/>
      <c r="H77" s="73"/>
      <c r="I77" s="73"/>
      <c r="J77" s="78" t="str">
        <f t="shared" si="3"/>
        <v/>
      </c>
      <c r="K77" s="69"/>
    </row>
    <row r="78" spans="1:11" x14ac:dyDescent="0.3">
      <c r="A78" s="76"/>
      <c r="B78" s="69"/>
      <c r="C78" s="69"/>
      <c r="D78" s="73"/>
      <c r="E78" s="73"/>
      <c r="F78" s="78" t="str">
        <f t="shared" si="2"/>
        <v/>
      </c>
      <c r="G78" s="69"/>
      <c r="H78" s="73"/>
      <c r="I78" s="73"/>
      <c r="J78" s="78" t="str">
        <f t="shared" si="3"/>
        <v/>
      </c>
      <c r="K78" s="69"/>
    </row>
    <row r="79" spans="1:11" x14ac:dyDescent="0.3">
      <c r="A79" s="76"/>
      <c r="B79" s="69"/>
      <c r="C79" s="69"/>
      <c r="D79" s="73"/>
      <c r="E79" s="73"/>
      <c r="F79" s="78" t="str">
        <f t="shared" si="2"/>
        <v/>
      </c>
      <c r="G79" s="69"/>
      <c r="H79" s="73"/>
      <c r="I79" s="73"/>
      <c r="J79" s="78" t="str">
        <f t="shared" si="3"/>
        <v/>
      </c>
      <c r="K79" s="69"/>
    </row>
    <row r="80" spans="1:11" x14ac:dyDescent="0.3">
      <c r="A80" s="76"/>
      <c r="B80" s="69"/>
      <c r="C80" s="69"/>
      <c r="D80" s="73"/>
      <c r="E80" s="73"/>
      <c r="F80" s="78" t="str">
        <f t="shared" si="2"/>
        <v/>
      </c>
      <c r="G80" s="69"/>
      <c r="H80" s="73"/>
      <c r="I80" s="73"/>
      <c r="J80" s="78" t="str">
        <f t="shared" si="3"/>
        <v/>
      </c>
      <c r="K80" s="69"/>
    </row>
    <row r="81" spans="1:11" x14ac:dyDescent="0.3">
      <c r="A81" s="76"/>
      <c r="B81" s="69"/>
      <c r="C81" s="69"/>
      <c r="D81" s="73"/>
      <c r="E81" s="73"/>
      <c r="F81" s="78" t="str">
        <f t="shared" si="2"/>
        <v/>
      </c>
      <c r="G81" s="69"/>
      <c r="H81" s="73"/>
      <c r="I81" s="73"/>
      <c r="J81" s="78" t="str">
        <f t="shared" si="3"/>
        <v/>
      </c>
      <c r="K81" s="69"/>
    </row>
    <row r="82" spans="1:11" x14ac:dyDescent="0.3">
      <c r="A82" s="76"/>
      <c r="B82" s="69"/>
      <c r="C82" s="69"/>
      <c r="D82" s="73"/>
      <c r="E82" s="73"/>
      <c r="F82" s="78" t="str">
        <f t="shared" si="2"/>
        <v/>
      </c>
      <c r="G82" s="69"/>
      <c r="H82" s="73"/>
      <c r="I82" s="73"/>
      <c r="J82" s="78" t="str">
        <f t="shared" si="3"/>
        <v/>
      </c>
      <c r="K82" s="69"/>
    </row>
    <row r="83" spans="1:11" x14ac:dyDescent="0.3">
      <c r="A83" s="76"/>
      <c r="B83" s="69"/>
      <c r="C83" s="69"/>
      <c r="D83" s="73"/>
      <c r="E83" s="73"/>
      <c r="F83" s="78" t="str">
        <f t="shared" si="2"/>
        <v/>
      </c>
      <c r="G83" s="69"/>
      <c r="H83" s="73"/>
      <c r="I83" s="73"/>
      <c r="J83" s="78" t="str">
        <f t="shared" si="3"/>
        <v/>
      </c>
      <c r="K83" s="69"/>
    </row>
    <row r="84" spans="1:11" x14ac:dyDescent="0.3">
      <c r="A84" s="76"/>
      <c r="B84" s="69"/>
      <c r="C84" s="69"/>
      <c r="D84" s="73"/>
      <c r="E84" s="73"/>
      <c r="F84" s="78" t="str">
        <f t="shared" si="2"/>
        <v/>
      </c>
      <c r="G84" s="69"/>
      <c r="H84" s="73"/>
      <c r="I84" s="73"/>
      <c r="J84" s="78" t="str">
        <f t="shared" si="3"/>
        <v/>
      </c>
      <c r="K84" s="69"/>
    </row>
    <row r="85" spans="1:11" x14ac:dyDescent="0.3">
      <c r="A85" s="76"/>
      <c r="B85" s="69"/>
      <c r="C85" s="69"/>
      <c r="D85" s="73"/>
      <c r="E85" s="73"/>
      <c r="F85" s="78" t="str">
        <f t="shared" si="2"/>
        <v/>
      </c>
      <c r="G85" s="69"/>
      <c r="H85" s="73"/>
      <c r="I85" s="73"/>
      <c r="J85" s="78" t="str">
        <f t="shared" si="3"/>
        <v/>
      </c>
      <c r="K85" s="69"/>
    </row>
    <row r="86" spans="1:11" x14ac:dyDescent="0.3">
      <c r="A86" s="76"/>
      <c r="B86" s="69"/>
      <c r="C86" s="69"/>
      <c r="D86" s="73"/>
      <c r="E86" s="73"/>
      <c r="F86" s="78" t="str">
        <f t="shared" si="2"/>
        <v/>
      </c>
      <c r="G86" s="69"/>
      <c r="H86" s="73"/>
      <c r="I86" s="73"/>
      <c r="J86" s="78" t="str">
        <f t="shared" si="3"/>
        <v/>
      </c>
      <c r="K86" s="69"/>
    </row>
    <row r="87" spans="1:11" x14ac:dyDescent="0.3">
      <c r="A87" s="76"/>
      <c r="B87" s="69"/>
      <c r="C87" s="69"/>
      <c r="D87" s="73"/>
      <c r="E87" s="73"/>
      <c r="F87" s="78" t="str">
        <f t="shared" si="2"/>
        <v/>
      </c>
      <c r="G87" s="69"/>
      <c r="H87" s="73"/>
      <c r="I87" s="73"/>
      <c r="J87" s="78" t="str">
        <f t="shared" si="3"/>
        <v/>
      </c>
      <c r="K87" s="69"/>
    </row>
    <row r="88" spans="1:11" x14ac:dyDescent="0.3">
      <c r="A88" s="76"/>
      <c r="B88" s="69"/>
      <c r="C88" s="69"/>
      <c r="D88" s="73"/>
      <c r="E88" s="73"/>
      <c r="F88" s="78" t="str">
        <f t="shared" si="2"/>
        <v/>
      </c>
      <c r="G88" s="69"/>
      <c r="H88" s="73"/>
      <c r="I88" s="73"/>
      <c r="J88" s="78" t="str">
        <f t="shared" si="3"/>
        <v/>
      </c>
      <c r="K88" s="69"/>
    </row>
    <row r="89" spans="1:11" x14ac:dyDescent="0.3">
      <c r="A89" s="76"/>
      <c r="B89" s="69"/>
      <c r="C89" s="69"/>
      <c r="D89" s="73"/>
      <c r="E89" s="73"/>
      <c r="F89" s="78" t="str">
        <f t="shared" si="2"/>
        <v/>
      </c>
      <c r="G89" s="69"/>
      <c r="H89" s="73"/>
      <c r="I89" s="73"/>
      <c r="J89" s="78" t="str">
        <f t="shared" si="3"/>
        <v/>
      </c>
      <c r="K89" s="69"/>
    </row>
    <row r="90" spans="1:11" x14ac:dyDescent="0.3">
      <c r="A90" s="76"/>
      <c r="B90" s="69"/>
      <c r="C90" s="69"/>
      <c r="D90" s="73"/>
      <c r="E90" s="73"/>
      <c r="F90" s="78" t="str">
        <f t="shared" si="2"/>
        <v/>
      </c>
      <c r="G90" s="69"/>
      <c r="H90" s="73"/>
      <c r="I90" s="73"/>
      <c r="J90" s="78" t="str">
        <f t="shared" si="3"/>
        <v/>
      </c>
      <c r="K90" s="69"/>
    </row>
    <row r="91" spans="1:11" x14ac:dyDescent="0.3">
      <c r="A91" s="76"/>
      <c r="B91" s="69"/>
      <c r="C91" s="69"/>
      <c r="D91" s="73"/>
      <c r="E91" s="73"/>
      <c r="F91" s="78" t="str">
        <f t="shared" si="2"/>
        <v/>
      </c>
      <c r="G91" s="69"/>
      <c r="H91" s="73"/>
      <c r="I91" s="73"/>
      <c r="J91" s="78" t="str">
        <f t="shared" si="3"/>
        <v/>
      </c>
      <c r="K91" s="69"/>
    </row>
    <row r="92" spans="1:11" x14ac:dyDescent="0.3">
      <c r="A92" s="76"/>
      <c r="B92" s="69"/>
      <c r="C92" s="69"/>
      <c r="D92" s="73"/>
      <c r="E92" s="73"/>
      <c r="F92" s="78" t="str">
        <f t="shared" si="2"/>
        <v/>
      </c>
      <c r="G92" s="69"/>
      <c r="H92" s="73"/>
      <c r="I92" s="73"/>
      <c r="J92" s="78" t="str">
        <f t="shared" si="3"/>
        <v/>
      </c>
      <c r="K92" s="69"/>
    </row>
    <row r="93" spans="1:11" x14ac:dyDescent="0.3">
      <c r="A93" s="76"/>
      <c r="B93" s="69"/>
      <c r="C93" s="69"/>
      <c r="D93" s="73"/>
      <c r="E93" s="73"/>
      <c r="F93" s="78" t="str">
        <f t="shared" si="2"/>
        <v/>
      </c>
      <c r="G93" s="69"/>
      <c r="H93" s="73"/>
      <c r="I93" s="73"/>
      <c r="J93" s="78" t="str">
        <f t="shared" si="3"/>
        <v/>
      </c>
      <c r="K93" s="69"/>
    </row>
    <row r="94" spans="1:11" x14ac:dyDescent="0.3">
      <c r="A94" s="76"/>
      <c r="B94" s="69"/>
      <c r="C94" s="69"/>
      <c r="D94" s="73"/>
      <c r="E94" s="73"/>
      <c r="F94" s="78" t="str">
        <f t="shared" si="2"/>
        <v/>
      </c>
      <c r="G94" s="69"/>
      <c r="H94" s="73"/>
      <c r="I94" s="73"/>
      <c r="J94" s="78" t="str">
        <f t="shared" si="3"/>
        <v/>
      </c>
      <c r="K94" s="69"/>
    </row>
    <row r="95" spans="1:11" x14ac:dyDescent="0.3">
      <c r="A95" s="76"/>
      <c r="B95" s="69"/>
      <c r="C95" s="69"/>
      <c r="D95" s="73"/>
      <c r="E95" s="73"/>
      <c r="F95" s="78" t="str">
        <f t="shared" si="2"/>
        <v/>
      </c>
      <c r="G95" s="69"/>
      <c r="H95" s="73"/>
      <c r="I95" s="73"/>
      <c r="J95" s="78" t="str">
        <f t="shared" si="3"/>
        <v/>
      </c>
      <c r="K95" s="69"/>
    </row>
    <row r="96" spans="1:11" x14ac:dyDescent="0.3">
      <c r="A96" s="76"/>
      <c r="B96" s="69"/>
      <c r="C96" s="69"/>
      <c r="D96" s="73"/>
      <c r="E96" s="73"/>
      <c r="F96" s="78" t="str">
        <f t="shared" si="2"/>
        <v/>
      </c>
      <c r="G96" s="69"/>
      <c r="H96" s="73"/>
      <c r="I96" s="73"/>
      <c r="J96" s="78" t="str">
        <f t="shared" si="3"/>
        <v/>
      </c>
      <c r="K96" s="69"/>
    </row>
    <row r="97" spans="1:11" x14ac:dyDescent="0.3">
      <c r="A97" s="76"/>
      <c r="B97" s="69"/>
      <c r="C97" s="69"/>
      <c r="D97" s="73"/>
      <c r="E97" s="73"/>
      <c r="F97" s="78" t="str">
        <f t="shared" si="2"/>
        <v/>
      </c>
      <c r="G97" s="69"/>
      <c r="H97" s="73"/>
      <c r="I97" s="73"/>
      <c r="J97" s="78" t="str">
        <f t="shared" si="3"/>
        <v/>
      </c>
      <c r="K97" s="69"/>
    </row>
    <row r="98" spans="1:11" x14ac:dyDescent="0.3">
      <c r="A98" s="76"/>
      <c r="B98" s="69"/>
      <c r="C98" s="69"/>
      <c r="D98" s="73"/>
      <c r="E98" s="73"/>
      <c r="F98" s="78" t="str">
        <f t="shared" si="2"/>
        <v/>
      </c>
      <c r="G98" s="69"/>
      <c r="H98" s="73"/>
      <c r="I98" s="73"/>
      <c r="J98" s="78" t="str">
        <f t="shared" si="3"/>
        <v/>
      </c>
      <c r="K98" s="69"/>
    </row>
    <row r="99" spans="1:11" x14ac:dyDescent="0.3">
      <c r="A99" s="76"/>
      <c r="B99" s="69"/>
      <c r="C99" s="69"/>
      <c r="D99" s="73"/>
      <c r="E99" s="73"/>
      <c r="F99" s="78" t="str">
        <f t="shared" si="2"/>
        <v/>
      </c>
      <c r="G99" s="69"/>
      <c r="H99" s="73"/>
      <c r="I99" s="73"/>
      <c r="J99" s="78" t="str">
        <f t="shared" si="3"/>
        <v/>
      </c>
      <c r="K99" s="69"/>
    </row>
    <row r="100" spans="1:11" x14ac:dyDescent="0.3">
      <c r="A100" s="76"/>
      <c r="B100" s="69"/>
      <c r="C100" s="69"/>
      <c r="D100" s="73"/>
      <c r="E100" s="73"/>
      <c r="F100" s="78" t="str">
        <f t="shared" si="2"/>
        <v/>
      </c>
      <c r="G100" s="69"/>
      <c r="H100" s="73"/>
      <c r="I100" s="73"/>
      <c r="J100" s="78" t="str">
        <f t="shared" si="3"/>
        <v/>
      </c>
      <c r="K100" s="69"/>
    </row>
    <row r="101" spans="1:11" x14ac:dyDescent="0.3">
      <c r="A101" s="76"/>
      <c r="B101" s="69"/>
      <c r="C101" s="69"/>
      <c r="D101" s="73"/>
      <c r="E101" s="73"/>
      <c r="F101" s="78" t="str">
        <f t="shared" si="2"/>
        <v/>
      </c>
      <c r="G101" s="69"/>
      <c r="H101" s="73"/>
      <c r="I101" s="73"/>
      <c r="J101" s="78" t="str">
        <f t="shared" si="3"/>
        <v/>
      </c>
      <c r="K101" s="69"/>
    </row>
    <row r="102" spans="1:11" x14ac:dyDescent="0.3">
      <c r="A102" s="76"/>
      <c r="B102" s="69"/>
      <c r="C102" s="69"/>
      <c r="D102" s="73"/>
      <c r="E102" s="73"/>
      <c r="F102" s="78" t="str">
        <f t="shared" si="2"/>
        <v/>
      </c>
      <c r="G102" s="69"/>
      <c r="H102" s="73"/>
      <c r="I102" s="73"/>
      <c r="J102" s="78" t="str">
        <f t="shared" si="3"/>
        <v/>
      </c>
      <c r="K102" s="69"/>
    </row>
    <row r="103" spans="1:11" x14ac:dyDescent="0.3">
      <c r="A103" s="76"/>
      <c r="B103" s="69"/>
      <c r="C103" s="69"/>
      <c r="D103" s="73"/>
      <c r="E103" s="73"/>
      <c r="F103" s="78" t="str">
        <f t="shared" si="2"/>
        <v/>
      </c>
      <c r="G103" s="69"/>
      <c r="H103" s="73"/>
      <c r="I103" s="73"/>
      <c r="J103" s="78" t="str">
        <f t="shared" si="3"/>
        <v/>
      </c>
      <c r="K103" s="69"/>
    </row>
    <row r="104" spans="1:11" x14ac:dyDescent="0.3">
      <c r="A104" s="76"/>
      <c r="B104" s="69"/>
      <c r="C104" s="69"/>
      <c r="D104" s="73"/>
      <c r="E104" s="73"/>
      <c r="F104" s="78" t="str">
        <f t="shared" si="2"/>
        <v/>
      </c>
      <c r="G104" s="69"/>
      <c r="H104" s="73"/>
      <c r="I104" s="73"/>
      <c r="J104" s="78" t="str">
        <f t="shared" si="3"/>
        <v/>
      </c>
      <c r="K104" s="69"/>
    </row>
    <row r="105" spans="1:11" x14ac:dyDescent="0.3">
      <c r="A105" s="76"/>
      <c r="B105" s="69"/>
      <c r="C105" s="69"/>
      <c r="D105" s="73"/>
      <c r="E105" s="73"/>
      <c r="F105" s="78" t="str">
        <f t="shared" si="2"/>
        <v/>
      </c>
      <c r="G105" s="69"/>
      <c r="H105" s="73"/>
      <c r="I105" s="73"/>
      <c r="J105" s="78" t="str">
        <f t="shared" si="3"/>
        <v/>
      </c>
      <c r="K105" s="69"/>
    </row>
    <row r="106" spans="1:11" x14ac:dyDescent="0.3">
      <c r="A106" s="76"/>
      <c r="B106" s="69"/>
      <c r="C106" s="69"/>
      <c r="D106" s="73"/>
      <c r="E106" s="73"/>
      <c r="F106" s="78" t="str">
        <f t="shared" si="2"/>
        <v/>
      </c>
      <c r="G106" s="69"/>
      <c r="H106" s="73"/>
      <c r="I106" s="73"/>
      <c r="J106" s="78" t="str">
        <f t="shared" si="3"/>
        <v/>
      </c>
      <c r="K106" s="69"/>
    </row>
    <row r="107" spans="1:11" x14ac:dyDescent="0.3">
      <c r="A107" s="76"/>
      <c r="B107" s="69"/>
      <c r="C107" s="69"/>
      <c r="D107" s="73"/>
      <c r="E107" s="73"/>
      <c r="F107" s="78" t="str">
        <f t="shared" si="2"/>
        <v/>
      </c>
      <c r="G107" s="69"/>
      <c r="H107" s="73"/>
      <c r="I107" s="73"/>
      <c r="J107" s="78" t="str">
        <f t="shared" si="3"/>
        <v/>
      </c>
      <c r="K107" s="69"/>
    </row>
    <row r="108" spans="1:11" x14ac:dyDescent="0.3">
      <c r="A108" s="76"/>
      <c r="B108" s="69"/>
      <c r="C108" s="69"/>
      <c r="D108" s="73"/>
      <c r="E108" s="73"/>
      <c r="F108" s="78" t="str">
        <f t="shared" si="2"/>
        <v/>
      </c>
      <c r="G108" s="69"/>
      <c r="H108" s="73"/>
      <c r="I108" s="73"/>
      <c r="J108" s="78" t="str">
        <f t="shared" si="3"/>
        <v/>
      </c>
      <c r="K108" s="69"/>
    </row>
    <row r="109" spans="1:11" x14ac:dyDescent="0.3">
      <c r="A109" s="76"/>
      <c r="B109" s="69"/>
      <c r="C109" s="69"/>
      <c r="D109" s="73"/>
      <c r="E109" s="73"/>
      <c r="F109" s="78" t="str">
        <f t="shared" si="2"/>
        <v/>
      </c>
      <c r="G109" s="69"/>
      <c r="H109" s="73"/>
      <c r="I109" s="73"/>
      <c r="J109" s="78" t="str">
        <f t="shared" si="3"/>
        <v/>
      </c>
      <c r="K109" s="69"/>
    </row>
    <row r="110" spans="1:11" x14ac:dyDescent="0.3">
      <c r="A110" s="76"/>
      <c r="B110" s="69"/>
      <c r="C110" s="69"/>
      <c r="D110" s="73"/>
      <c r="E110" s="73"/>
      <c r="F110" s="78" t="str">
        <f t="shared" si="2"/>
        <v/>
      </c>
      <c r="G110" s="69"/>
      <c r="H110" s="73"/>
      <c r="I110" s="73"/>
      <c r="J110" s="78" t="str">
        <f t="shared" si="3"/>
        <v/>
      </c>
      <c r="K110" s="69"/>
    </row>
    <row r="111" spans="1:11" x14ac:dyDescent="0.3">
      <c r="A111" s="76"/>
      <c r="B111" s="69"/>
      <c r="C111" s="69"/>
      <c r="D111" s="73"/>
      <c r="E111" s="73"/>
      <c r="F111" s="78" t="str">
        <f t="shared" si="2"/>
        <v/>
      </c>
      <c r="G111" s="69"/>
      <c r="H111" s="73"/>
      <c r="I111" s="73"/>
      <c r="J111" s="78" t="str">
        <f t="shared" si="3"/>
        <v/>
      </c>
      <c r="K111" s="69"/>
    </row>
    <row r="112" spans="1:11" x14ac:dyDescent="0.3">
      <c r="A112" s="76"/>
      <c r="B112" s="69"/>
      <c r="C112" s="69"/>
      <c r="D112" s="73"/>
      <c r="E112" s="73"/>
      <c r="F112" s="78" t="str">
        <f t="shared" si="2"/>
        <v/>
      </c>
      <c r="G112" s="69"/>
      <c r="H112" s="73"/>
      <c r="I112" s="73"/>
      <c r="J112" s="78" t="str">
        <f t="shared" si="3"/>
        <v/>
      </c>
      <c r="K112" s="69"/>
    </row>
    <row r="113" spans="1:11" x14ac:dyDescent="0.3">
      <c r="A113" s="76"/>
      <c r="B113" s="69"/>
      <c r="C113" s="69"/>
      <c r="D113" s="73"/>
      <c r="E113" s="73"/>
      <c r="F113" s="78" t="str">
        <f t="shared" si="2"/>
        <v/>
      </c>
      <c r="G113" s="69"/>
      <c r="H113" s="73"/>
      <c r="I113" s="73"/>
      <c r="J113" s="78" t="str">
        <f t="shared" si="3"/>
        <v/>
      </c>
      <c r="K113" s="69"/>
    </row>
    <row r="114" spans="1:11" x14ac:dyDescent="0.3">
      <c r="A114" s="76"/>
      <c r="B114" s="69"/>
      <c r="C114" s="69"/>
      <c r="D114" s="73"/>
      <c r="E114" s="73"/>
      <c r="F114" s="78" t="str">
        <f t="shared" si="2"/>
        <v/>
      </c>
      <c r="G114" s="69"/>
      <c r="H114" s="73"/>
      <c r="I114" s="73"/>
      <c r="J114" s="78" t="str">
        <f t="shared" si="3"/>
        <v/>
      </c>
      <c r="K114" s="69"/>
    </row>
    <row r="115" spans="1:11" x14ac:dyDescent="0.3">
      <c r="A115" s="76"/>
      <c r="B115" s="69"/>
      <c r="C115" s="69"/>
      <c r="D115" s="73"/>
      <c r="E115" s="73"/>
      <c r="F115" s="78" t="str">
        <f t="shared" si="2"/>
        <v/>
      </c>
      <c r="G115" s="69"/>
      <c r="H115" s="73"/>
      <c r="I115" s="73"/>
      <c r="J115" s="78" t="str">
        <f t="shared" si="3"/>
        <v/>
      </c>
      <c r="K115" s="69"/>
    </row>
    <row r="116" spans="1:11" x14ac:dyDescent="0.3">
      <c r="A116" s="76"/>
      <c r="B116" s="69"/>
      <c r="C116" s="69"/>
      <c r="D116" s="73"/>
      <c r="E116" s="73"/>
      <c r="F116" s="78" t="str">
        <f t="shared" si="2"/>
        <v/>
      </c>
      <c r="G116" s="69"/>
      <c r="H116" s="73"/>
      <c r="I116" s="73"/>
      <c r="J116" s="78" t="str">
        <f t="shared" si="3"/>
        <v/>
      </c>
      <c r="K116" s="69"/>
    </row>
    <row r="117" spans="1:11" x14ac:dyDescent="0.3">
      <c r="A117" s="76"/>
      <c r="B117" s="69"/>
      <c r="C117" s="69"/>
      <c r="D117" s="73"/>
      <c r="E117" s="73"/>
      <c r="F117" s="78" t="str">
        <f t="shared" si="2"/>
        <v/>
      </c>
      <c r="G117" s="69"/>
      <c r="H117" s="73"/>
      <c r="I117" s="73"/>
      <c r="J117" s="78" t="str">
        <f t="shared" si="3"/>
        <v/>
      </c>
      <c r="K117" s="69"/>
    </row>
    <row r="118" spans="1:11" x14ac:dyDescent="0.3">
      <c r="A118" s="76"/>
      <c r="B118" s="69"/>
      <c r="C118" s="69"/>
      <c r="D118" s="73"/>
      <c r="E118" s="73"/>
      <c r="F118" s="78" t="str">
        <f t="shared" si="2"/>
        <v/>
      </c>
      <c r="G118" s="69"/>
      <c r="H118" s="73"/>
      <c r="I118" s="73"/>
      <c r="J118" s="78" t="str">
        <f t="shared" si="3"/>
        <v/>
      </c>
      <c r="K118" s="69"/>
    </row>
    <row r="119" spans="1:11" x14ac:dyDescent="0.3">
      <c r="A119" s="76"/>
      <c r="B119" s="69"/>
      <c r="C119" s="69"/>
      <c r="D119" s="73"/>
      <c r="E119" s="73"/>
      <c r="F119" s="78" t="str">
        <f t="shared" si="2"/>
        <v/>
      </c>
      <c r="G119" s="69"/>
      <c r="H119" s="73"/>
      <c r="I119" s="73"/>
      <c r="J119" s="78" t="str">
        <f t="shared" si="3"/>
        <v/>
      </c>
      <c r="K119" s="69"/>
    </row>
    <row r="120" spans="1:11" x14ac:dyDescent="0.3">
      <c r="A120" s="76"/>
      <c r="B120" s="69"/>
      <c r="C120" s="69"/>
      <c r="D120" s="73"/>
      <c r="E120" s="73"/>
      <c r="F120" s="78" t="str">
        <f t="shared" si="2"/>
        <v/>
      </c>
      <c r="G120" s="69"/>
      <c r="H120" s="73"/>
      <c r="I120" s="73"/>
      <c r="J120" s="78" t="str">
        <f t="shared" si="3"/>
        <v/>
      </c>
      <c r="K120" s="69"/>
    </row>
    <row r="121" spans="1:11" x14ac:dyDescent="0.3">
      <c r="A121" s="76"/>
      <c r="B121" s="69"/>
      <c r="C121" s="69"/>
      <c r="D121" s="73"/>
      <c r="E121" s="73"/>
      <c r="F121" s="78" t="str">
        <f t="shared" si="2"/>
        <v/>
      </c>
      <c r="G121" s="69"/>
      <c r="H121" s="73"/>
      <c r="I121" s="73"/>
      <c r="J121" s="78" t="str">
        <f t="shared" si="3"/>
        <v/>
      </c>
      <c r="K121" s="69"/>
    </row>
    <row r="122" spans="1:11" x14ac:dyDescent="0.3">
      <c r="A122" s="76"/>
      <c r="B122" s="69"/>
      <c r="C122" s="69"/>
      <c r="D122" s="73"/>
      <c r="E122" s="73"/>
      <c r="F122" s="78" t="str">
        <f t="shared" si="2"/>
        <v/>
      </c>
      <c r="G122" s="69"/>
      <c r="H122" s="73"/>
      <c r="I122" s="73"/>
      <c r="J122" s="78" t="str">
        <f t="shared" si="3"/>
        <v/>
      </c>
      <c r="K122" s="69"/>
    </row>
    <row r="123" spans="1:11" x14ac:dyDescent="0.3">
      <c r="A123" s="76"/>
      <c r="B123" s="69"/>
      <c r="C123" s="69"/>
      <c r="D123" s="73"/>
      <c r="E123" s="73"/>
      <c r="F123" s="78" t="str">
        <f t="shared" si="2"/>
        <v/>
      </c>
      <c r="G123" s="69"/>
      <c r="H123" s="73"/>
      <c r="I123" s="73"/>
      <c r="J123" s="78" t="str">
        <f t="shared" si="3"/>
        <v/>
      </c>
      <c r="K123" s="69"/>
    </row>
    <row r="124" spans="1:11" x14ac:dyDescent="0.3">
      <c r="A124" s="76"/>
      <c r="B124" s="69"/>
      <c r="C124" s="69"/>
      <c r="D124" s="73"/>
      <c r="E124" s="73"/>
      <c r="F124" s="78" t="str">
        <f t="shared" si="2"/>
        <v/>
      </c>
      <c r="G124" s="69"/>
      <c r="H124" s="73"/>
      <c r="I124" s="73"/>
      <c r="J124" s="78" t="str">
        <f t="shared" si="3"/>
        <v/>
      </c>
      <c r="K124" s="69"/>
    </row>
    <row r="125" spans="1:11" x14ac:dyDescent="0.3">
      <c r="A125" s="76"/>
      <c r="B125" s="69"/>
      <c r="C125" s="69"/>
      <c r="D125" s="73"/>
      <c r="E125" s="73"/>
      <c r="F125" s="78" t="str">
        <f t="shared" si="2"/>
        <v/>
      </c>
      <c r="G125" s="69"/>
      <c r="H125" s="73"/>
      <c r="I125" s="73"/>
      <c r="J125" s="78" t="str">
        <f t="shared" si="3"/>
        <v/>
      </c>
      <c r="K125" s="69"/>
    </row>
    <row r="126" spans="1:11" x14ac:dyDescent="0.3">
      <c r="A126" s="76"/>
      <c r="B126" s="69"/>
      <c r="C126" s="69"/>
      <c r="D126" s="73"/>
      <c r="E126" s="73"/>
      <c r="F126" s="78" t="str">
        <f t="shared" si="2"/>
        <v/>
      </c>
      <c r="G126" s="69"/>
      <c r="H126" s="73"/>
      <c r="I126" s="73"/>
      <c r="J126" s="78" t="str">
        <f t="shared" si="3"/>
        <v/>
      </c>
      <c r="K126" s="69"/>
    </row>
    <row r="127" spans="1:11" x14ac:dyDescent="0.3">
      <c r="A127" s="76"/>
      <c r="B127" s="69"/>
      <c r="C127" s="69"/>
      <c r="D127" s="73"/>
      <c r="E127" s="73"/>
      <c r="F127" s="78" t="str">
        <f t="shared" si="2"/>
        <v/>
      </c>
      <c r="G127" s="69"/>
      <c r="H127" s="73"/>
      <c r="I127" s="73"/>
      <c r="J127" s="78" t="str">
        <f t="shared" si="3"/>
        <v/>
      </c>
      <c r="K127" s="69"/>
    </row>
    <row r="128" spans="1:11" x14ac:dyDescent="0.3">
      <c r="A128" s="76"/>
      <c r="B128" s="69"/>
      <c r="C128" s="69"/>
      <c r="D128" s="73"/>
      <c r="E128" s="73"/>
      <c r="F128" s="78" t="str">
        <f t="shared" si="2"/>
        <v/>
      </c>
      <c r="G128" s="69"/>
      <c r="H128" s="73"/>
      <c r="I128" s="73"/>
      <c r="J128" s="78" t="str">
        <f t="shared" si="3"/>
        <v/>
      </c>
      <c r="K128" s="69"/>
    </row>
    <row r="129" spans="1:11" x14ac:dyDescent="0.3">
      <c r="A129" s="76"/>
      <c r="B129" s="69"/>
      <c r="C129" s="69"/>
      <c r="D129" s="73"/>
      <c r="E129" s="73"/>
      <c r="F129" s="78" t="str">
        <f t="shared" si="2"/>
        <v/>
      </c>
      <c r="G129" s="69"/>
      <c r="H129" s="73"/>
      <c r="I129" s="73"/>
      <c r="J129" s="78" t="str">
        <f t="shared" si="3"/>
        <v/>
      </c>
      <c r="K129" s="69"/>
    </row>
    <row r="130" spans="1:11" x14ac:dyDescent="0.3">
      <c r="A130" s="76"/>
      <c r="B130" s="69"/>
      <c r="C130" s="69"/>
      <c r="D130" s="73"/>
      <c r="E130" s="73"/>
      <c r="F130" s="78" t="str">
        <f t="shared" si="2"/>
        <v/>
      </c>
      <c r="G130" s="69"/>
      <c r="H130" s="73"/>
      <c r="I130" s="73"/>
      <c r="J130" s="78" t="str">
        <f t="shared" si="3"/>
        <v/>
      </c>
      <c r="K130" s="69"/>
    </row>
    <row r="131" spans="1:11" x14ac:dyDescent="0.3">
      <c r="A131" s="76"/>
      <c r="B131" s="69"/>
      <c r="C131" s="69"/>
      <c r="D131" s="73"/>
      <c r="E131" s="73"/>
      <c r="F131" s="78" t="str">
        <f t="shared" si="2"/>
        <v/>
      </c>
      <c r="G131" s="69"/>
      <c r="H131" s="73"/>
      <c r="I131" s="73"/>
      <c r="J131" s="78" t="str">
        <f t="shared" si="3"/>
        <v/>
      </c>
      <c r="K131" s="69"/>
    </row>
    <row r="132" spans="1:11" x14ac:dyDescent="0.3">
      <c r="A132" s="76"/>
      <c r="B132" s="69"/>
      <c r="C132" s="69"/>
      <c r="D132" s="73"/>
      <c r="E132" s="73"/>
      <c r="F132" s="78" t="str">
        <f t="shared" si="2"/>
        <v/>
      </c>
      <c r="G132" s="69"/>
      <c r="H132" s="73"/>
      <c r="I132" s="73"/>
      <c r="J132" s="78" t="str">
        <f t="shared" si="3"/>
        <v/>
      </c>
      <c r="K132" s="69"/>
    </row>
    <row r="133" spans="1:11" x14ac:dyDescent="0.3">
      <c r="A133" s="76"/>
      <c r="B133" s="69"/>
      <c r="C133" s="69"/>
      <c r="D133" s="73"/>
      <c r="E133" s="73"/>
      <c r="F133" s="78" t="str">
        <f t="shared" ref="F133:F196" si="4">IF(OR(D133="",D133=0,E133=""),"",E133/D133)</f>
        <v/>
      </c>
      <c r="G133" s="69"/>
      <c r="H133" s="73"/>
      <c r="I133" s="73"/>
      <c r="J133" s="78" t="str">
        <f t="shared" ref="J133:J196" si="5">IF(OR(H133="",H133=0,I133=""),"",I133/H133)</f>
        <v/>
      </c>
      <c r="K133" s="69"/>
    </row>
    <row r="134" spans="1:11" x14ac:dyDescent="0.3">
      <c r="A134" s="76"/>
      <c r="B134" s="69"/>
      <c r="C134" s="69"/>
      <c r="D134" s="73"/>
      <c r="E134" s="73"/>
      <c r="F134" s="78" t="str">
        <f t="shared" si="4"/>
        <v/>
      </c>
      <c r="G134" s="69"/>
      <c r="H134" s="73"/>
      <c r="I134" s="73"/>
      <c r="J134" s="78" t="str">
        <f t="shared" si="5"/>
        <v/>
      </c>
      <c r="K134" s="69"/>
    </row>
    <row r="135" spans="1:11" x14ac:dyDescent="0.3">
      <c r="A135" s="76"/>
      <c r="B135" s="69"/>
      <c r="C135" s="69"/>
      <c r="D135" s="73"/>
      <c r="E135" s="73"/>
      <c r="F135" s="78" t="str">
        <f t="shared" si="4"/>
        <v/>
      </c>
      <c r="G135" s="69"/>
      <c r="H135" s="73"/>
      <c r="I135" s="73"/>
      <c r="J135" s="78" t="str">
        <f t="shared" si="5"/>
        <v/>
      </c>
      <c r="K135" s="69"/>
    </row>
    <row r="136" spans="1:11" x14ac:dyDescent="0.3">
      <c r="A136" s="76"/>
      <c r="B136" s="69"/>
      <c r="C136" s="69"/>
      <c r="D136" s="73"/>
      <c r="E136" s="73"/>
      <c r="F136" s="78" t="str">
        <f t="shared" si="4"/>
        <v/>
      </c>
      <c r="G136" s="69"/>
      <c r="H136" s="73"/>
      <c r="I136" s="73"/>
      <c r="J136" s="78" t="str">
        <f t="shared" si="5"/>
        <v/>
      </c>
      <c r="K136" s="69"/>
    </row>
    <row r="137" spans="1:11" x14ac:dyDescent="0.3">
      <c r="A137" s="76"/>
      <c r="B137" s="69"/>
      <c r="C137" s="69"/>
      <c r="D137" s="73"/>
      <c r="E137" s="73"/>
      <c r="F137" s="78" t="str">
        <f t="shared" si="4"/>
        <v/>
      </c>
      <c r="G137" s="69"/>
      <c r="H137" s="73"/>
      <c r="I137" s="73"/>
      <c r="J137" s="78" t="str">
        <f t="shared" si="5"/>
        <v/>
      </c>
      <c r="K137" s="69"/>
    </row>
    <row r="138" spans="1:11" x14ac:dyDescent="0.3">
      <c r="A138" s="76"/>
      <c r="B138" s="69"/>
      <c r="C138" s="69"/>
      <c r="D138" s="73"/>
      <c r="E138" s="73"/>
      <c r="F138" s="78" t="str">
        <f t="shared" si="4"/>
        <v/>
      </c>
      <c r="G138" s="69"/>
      <c r="H138" s="73"/>
      <c r="I138" s="73"/>
      <c r="J138" s="78" t="str">
        <f t="shared" si="5"/>
        <v/>
      </c>
      <c r="K138" s="69"/>
    </row>
    <row r="139" spans="1:11" x14ac:dyDescent="0.3">
      <c r="A139" s="76"/>
      <c r="B139" s="69"/>
      <c r="C139" s="69"/>
      <c r="D139" s="73"/>
      <c r="E139" s="73"/>
      <c r="F139" s="78" t="str">
        <f t="shared" si="4"/>
        <v/>
      </c>
      <c r="G139" s="69"/>
      <c r="H139" s="73"/>
      <c r="I139" s="73"/>
      <c r="J139" s="78" t="str">
        <f t="shared" si="5"/>
        <v/>
      </c>
      <c r="K139" s="69"/>
    </row>
    <row r="140" spans="1:11" x14ac:dyDescent="0.3">
      <c r="A140" s="76"/>
      <c r="B140" s="69"/>
      <c r="C140" s="69"/>
      <c r="D140" s="73"/>
      <c r="E140" s="73"/>
      <c r="F140" s="78" t="str">
        <f t="shared" si="4"/>
        <v/>
      </c>
      <c r="G140" s="69"/>
      <c r="H140" s="73"/>
      <c r="I140" s="73"/>
      <c r="J140" s="78" t="str">
        <f t="shared" si="5"/>
        <v/>
      </c>
      <c r="K140" s="69"/>
    </row>
    <row r="141" spans="1:11" x14ac:dyDescent="0.3">
      <c r="A141" s="76"/>
      <c r="B141" s="69"/>
      <c r="C141" s="69"/>
      <c r="D141" s="73"/>
      <c r="E141" s="73"/>
      <c r="F141" s="78" t="str">
        <f t="shared" si="4"/>
        <v/>
      </c>
      <c r="G141" s="69"/>
      <c r="H141" s="73"/>
      <c r="I141" s="73"/>
      <c r="J141" s="78" t="str">
        <f t="shared" si="5"/>
        <v/>
      </c>
      <c r="K141" s="69"/>
    </row>
    <row r="142" spans="1:11" x14ac:dyDescent="0.3">
      <c r="A142" s="76"/>
      <c r="B142" s="69"/>
      <c r="C142" s="69"/>
      <c r="D142" s="73"/>
      <c r="E142" s="73"/>
      <c r="F142" s="78" t="str">
        <f t="shared" si="4"/>
        <v/>
      </c>
      <c r="G142" s="69"/>
      <c r="H142" s="73"/>
      <c r="I142" s="73"/>
      <c r="J142" s="78" t="str">
        <f t="shared" si="5"/>
        <v/>
      </c>
      <c r="K142" s="69"/>
    </row>
    <row r="143" spans="1:11" x14ac:dyDescent="0.3">
      <c r="A143" s="76"/>
      <c r="B143" s="69"/>
      <c r="C143" s="69"/>
      <c r="D143" s="73"/>
      <c r="E143" s="73"/>
      <c r="F143" s="78" t="str">
        <f t="shared" si="4"/>
        <v/>
      </c>
      <c r="G143" s="69"/>
      <c r="H143" s="73"/>
      <c r="I143" s="73"/>
      <c r="J143" s="78" t="str">
        <f t="shared" si="5"/>
        <v/>
      </c>
      <c r="K143" s="69"/>
    </row>
    <row r="144" spans="1:11" x14ac:dyDescent="0.3">
      <c r="A144" s="76"/>
      <c r="B144" s="69"/>
      <c r="C144" s="69"/>
      <c r="D144" s="73"/>
      <c r="E144" s="73"/>
      <c r="F144" s="78" t="str">
        <f t="shared" si="4"/>
        <v/>
      </c>
      <c r="G144" s="69"/>
      <c r="H144" s="73"/>
      <c r="I144" s="73"/>
      <c r="J144" s="78" t="str">
        <f t="shared" si="5"/>
        <v/>
      </c>
      <c r="K144" s="69"/>
    </row>
    <row r="145" spans="1:11" x14ac:dyDescent="0.3">
      <c r="A145" s="76"/>
      <c r="B145" s="69"/>
      <c r="C145" s="69"/>
      <c r="D145" s="73"/>
      <c r="E145" s="73"/>
      <c r="F145" s="78" t="str">
        <f t="shared" si="4"/>
        <v/>
      </c>
      <c r="G145" s="69"/>
      <c r="H145" s="73"/>
      <c r="I145" s="73"/>
      <c r="J145" s="78" t="str">
        <f t="shared" si="5"/>
        <v/>
      </c>
      <c r="K145" s="69"/>
    </row>
    <row r="146" spans="1:11" x14ac:dyDescent="0.3">
      <c r="A146" s="76"/>
      <c r="B146" s="69"/>
      <c r="C146" s="69"/>
      <c r="D146" s="73"/>
      <c r="E146" s="73"/>
      <c r="F146" s="78" t="str">
        <f t="shared" si="4"/>
        <v/>
      </c>
      <c r="G146" s="69"/>
      <c r="H146" s="73"/>
      <c r="I146" s="73"/>
      <c r="J146" s="78" t="str">
        <f t="shared" si="5"/>
        <v/>
      </c>
      <c r="K146" s="69"/>
    </row>
    <row r="147" spans="1:11" x14ac:dyDescent="0.3">
      <c r="A147" s="76"/>
      <c r="B147" s="69"/>
      <c r="C147" s="69"/>
      <c r="D147" s="73"/>
      <c r="E147" s="73"/>
      <c r="F147" s="78" t="str">
        <f t="shared" si="4"/>
        <v/>
      </c>
      <c r="G147" s="69"/>
      <c r="H147" s="73"/>
      <c r="I147" s="73"/>
      <c r="J147" s="78" t="str">
        <f t="shared" si="5"/>
        <v/>
      </c>
      <c r="K147" s="69"/>
    </row>
    <row r="148" spans="1:11" x14ac:dyDescent="0.3">
      <c r="A148" s="76"/>
      <c r="B148" s="69"/>
      <c r="C148" s="69"/>
      <c r="D148" s="73"/>
      <c r="E148" s="73"/>
      <c r="F148" s="78" t="str">
        <f t="shared" si="4"/>
        <v/>
      </c>
      <c r="G148" s="69"/>
      <c r="H148" s="73"/>
      <c r="I148" s="73"/>
      <c r="J148" s="78" t="str">
        <f t="shared" si="5"/>
        <v/>
      </c>
      <c r="K148" s="69"/>
    </row>
    <row r="149" spans="1:11" x14ac:dyDescent="0.3">
      <c r="A149" s="76"/>
      <c r="B149" s="69"/>
      <c r="C149" s="69"/>
      <c r="D149" s="73"/>
      <c r="E149" s="73"/>
      <c r="F149" s="78" t="str">
        <f t="shared" si="4"/>
        <v/>
      </c>
      <c r="G149" s="69"/>
      <c r="H149" s="73"/>
      <c r="I149" s="73"/>
      <c r="J149" s="78" t="str">
        <f t="shared" si="5"/>
        <v/>
      </c>
      <c r="K149" s="69"/>
    </row>
    <row r="150" spans="1:11" x14ac:dyDescent="0.3">
      <c r="A150" s="76"/>
      <c r="B150" s="69"/>
      <c r="C150" s="69"/>
      <c r="D150" s="73"/>
      <c r="E150" s="73"/>
      <c r="F150" s="78" t="str">
        <f t="shared" si="4"/>
        <v/>
      </c>
      <c r="G150" s="69"/>
      <c r="H150" s="73"/>
      <c r="I150" s="73"/>
      <c r="J150" s="78" t="str">
        <f t="shared" si="5"/>
        <v/>
      </c>
      <c r="K150" s="69"/>
    </row>
    <row r="151" spans="1:11" x14ac:dyDescent="0.3">
      <c r="A151" s="76"/>
      <c r="B151" s="69"/>
      <c r="C151" s="69"/>
      <c r="D151" s="73"/>
      <c r="E151" s="73"/>
      <c r="F151" s="78" t="str">
        <f t="shared" si="4"/>
        <v/>
      </c>
      <c r="G151" s="69"/>
      <c r="H151" s="73"/>
      <c r="I151" s="73"/>
      <c r="J151" s="78" t="str">
        <f t="shared" si="5"/>
        <v/>
      </c>
      <c r="K151" s="69"/>
    </row>
    <row r="152" spans="1:11" x14ac:dyDescent="0.3">
      <c r="A152" s="76"/>
      <c r="B152" s="69"/>
      <c r="C152" s="69"/>
      <c r="D152" s="73"/>
      <c r="E152" s="73"/>
      <c r="F152" s="78" t="str">
        <f t="shared" si="4"/>
        <v/>
      </c>
      <c r="G152" s="69"/>
      <c r="H152" s="73"/>
      <c r="I152" s="73"/>
      <c r="J152" s="78" t="str">
        <f t="shared" si="5"/>
        <v/>
      </c>
      <c r="K152" s="69"/>
    </row>
    <row r="153" spans="1:11" x14ac:dyDescent="0.3">
      <c r="A153" s="76"/>
      <c r="B153" s="69"/>
      <c r="C153" s="69"/>
      <c r="D153" s="73"/>
      <c r="E153" s="73"/>
      <c r="F153" s="78" t="str">
        <f t="shared" si="4"/>
        <v/>
      </c>
      <c r="G153" s="69"/>
      <c r="H153" s="73"/>
      <c r="I153" s="73"/>
      <c r="J153" s="78" t="str">
        <f t="shared" si="5"/>
        <v/>
      </c>
      <c r="K153" s="69"/>
    </row>
    <row r="154" spans="1:11" x14ac:dyDescent="0.3">
      <c r="A154" s="76"/>
      <c r="B154" s="69"/>
      <c r="C154" s="69"/>
      <c r="D154" s="73"/>
      <c r="E154" s="73"/>
      <c r="F154" s="78" t="str">
        <f t="shared" si="4"/>
        <v/>
      </c>
      <c r="G154" s="69"/>
      <c r="H154" s="73"/>
      <c r="I154" s="73"/>
      <c r="J154" s="78" t="str">
        <f t="shared" si="5"/>
        <v/>
      </c>
      <c r="K154" s="69"/>
    </row>
    <row r="155" spans="1:11" x14ac:dyDescent="0.3">
      <c r="A155" s="76"/>
      <c r="B155" s="69"/>
      <c r="C155" s="69"/>
      <c r="D155" s="73"/>
      <c r="E155" s="73"/>
      <c r="F155" s="78" t="str">
        <f t="shared" si="4"/>
        <v/>
      </c>
      <c r="G155" s="69"/>
      <c r="H155" s="73"/>
      <c r="I155" s="73"/>
      <c r="J155" s="78" t="str">
        <f t="shared" si="5"/>
        <v/>
      </c>
      <c r="K155" s="69"/>
    </row>
    <row r="156" spans="1:11" x14ac:dyDescent="0.3">
      <c r="A156" s="76"/>
      <c r="B156" s="69"/>
      <c r="C156" s="69"/>
      <c r="D156" s="73"/>
      <c r="E156" s="73"/>
      <c r="F156" s="78" t="str">
        <f t="shared" si="4"/>
        <v/>
      </c>
      <c r="G156" s="69"/>
      <c r="H156" s="73"/>
      <c r="I156" s="73"/>
      <c r="J156" s="78" t="str">
        <f t="shared" si="5"/>
        <v/>
      </c>
      <c r="K156" s="69"/>
    </row>
    <row r="157" spans="1:11" x14ac:dyDescent="0.3">
      <c r="A157" s="76"/>
      <c r="B157" s="69"/>
      <c r="C157" s="69"/>
      <c r="D157" s="73"/>
      <c r="E157" s="73"/>
      <c r="F157" s="78" t="str">
        <f t="shared" si="4"/>
        <v/>
      </c>
      <c r="G157" s="69"/>
      <c r="H157" s="73"/>
      <c r="I157" s="73"/>
      <c r="J157" s="78" t="str">
        <f t="shared" si="5"/>
        <v/>
      </c>
      <c r="K157" s="69"/>
    </row>
    <row r="158" spans="1:11" x14ac:dyDescent="0.3">
      <c r="A158" s="76"/>
      <c r="B158" s="69"/>
      <c r="C158" s="69"/>
      <c r="D158" s="73"/>
      <c r="E158" s="73"/>
      <c r="F158" s="78" t="str">
        <f t="shared" si="4"/>
        <v/>
      </c>
      <c r="G158" s="69"/>
      <c r="H158" s="73"/>
      <c r="I158" s="73"/>
      <c r="J158" s="78" t="str">
        <f t="shared" si="5"/>
        <v/>
      </c>
      <c r="K158" s="69"/>
    </row>
    <row r="159" spans="1:11" x14ac:dyDescent="0.3">
      <c r="A159" s="76"/>
      <c r="B159" s="69"/>
      <c r="C159" s="69"/>
      <c r="D159" s="73"/>
      <c r="E159" s="73"/>
      <c r="F159" s="78" t="str">
        <f t="shared" si="4"/>
        <v/>
      </c>
      <c r="G159" s="69"/>
      <c r="H159" s="73"/>
      <c r="I159" s="73"/>
      <c r="J159" s="78" t="str">
        <f t="shared" si="5"/>
        <v/>
      </c>
      <c r="K159" s="69"/>
    </row>
    <row r="160" spans="1:11" x14ac:dyDescent="0.3">
      <c r="A160" s="76"/>
      <c r="B160" s="69"/>
      <c r="C160" s="69"/>
      <c r="D160" s="73"/>
      <c r="E160" s="73"/>
      <c r="F160" s="78" t="str">
        <f t="shared" si="4"/>
        <v/>
      </c>
      <c r="G160" s="69"/>
      <c r="H160" s="73"/>
      <c r="I160" s="73"/>
      <c r="J160" s="78" t="str">
        <f t="shared" si="5"/>
        <v/>
      </c>
      <c r="K160" s="69"/>
    </row>
    <row r="161" spans="1:11" x14ac:dyDescent="0.3">
      <c r="A161" s="76"/>
      <c r="B161" s="69"/>
      <c r="C161" s="69"/>
      <c r="D161" s="73"/>
      <c r="E161" s="73"/>
      <c r="F161" s="78" t="str">
        <f t="shared" si="4"/>
        <v/>
      </c>
      <c r="G161" s="69"/>
      <c r="H161" s="73"/>
      <c r="I161" s="73"/>
      <c r="J161" s="78" t="str">
        <f t="shared" si="5"/>
        <v/>
      </c>
      <c r="K161" s="69"/>
    </row>
    <row r="162" spans="1:11" x14ac:dyDescent="0.3">
      <c r="A162" s="76"/>
      <c r="B162" s="69"/>
      <c r="C162" s="69"/>
      <c r="D162" s="73"/>
      <c r="E162" s="73"/>
      <c r="F162" s="78" t="str">
        <f t="shared" si="4"/>
        <v/>
      </c>
      <c r="G162" s="69"/>
      <c r="H162" s="73"/>
      <c r="I162" s="73"/>
      <c r="J162" s="78" t="str">
        <f t="shared" si="5"/>
        <v/>
      </c>
      <c r="K162" s="69"/>
    </row>
    <row r="163" spans="1:11" x14ac:dyDescent="0.3">
      <c r="A163" s="76"/>
      <c r="B163" s="69"/>
      <c r="C163" s="69"/>
      <c r="D163" s="73"/>
      <c r="E163" s="73"/>
      <c r="F163" s="78" t="str">
        <f t="shared" si="4"/>
        <v/>
      </c>
      <c r="G163" s="69"/>
      <c r="H163" s="73"/>
      <c r="I163" s="73"/>
      <c r="J163" s="78" t="str">
        <f t="shared" si="5"/>
        <v/>
      </c>
      <c r="K163" s="69"/>
    </row>
    <row r="164" spans="1:11" x14ac:dyDescent="0.3">
      <c r="A164" s="76"/>
      <c r="B164" s="69"/>
      <c r="C164" s="69"/>
      <c r="D164" s="73"/>
      <c r="E164" s="73"/>
      <c r="F164" s="78" t="str">
        <f t="shared" si="4"/>
        <v/>
      </c>
      <c r="G164" s="69"/>
      <c r="H164" s="73"/>
      <c r="I164" s="73"/>
      <c r="J164" s="78" t="str">
        <f t="shared" si="5"/>
        <v/>
      </c>
      <c r="K164" s="69"/>
    </row>
    <row r="165" spans="1:11" x14ac:dyDescent="0.3">
      <c r="A165" s="76"/>
      <c r="B165" s="69"/>
      <c r="C165" s="69"/>
      <c r="D165" s="73"/>
      <c r="E165" s="73"/>
      <c r="F165" s="78" t="str">
        <f t="shared" si="4"/>
        <v/>
      </c>
      <c r="G165" s="69"/>
      <c r="H165" s="73"/>
      <c r="I165" s="73"/>
      <c r="J165" s="78" t="str">
        <f t="shared" si="5"/>
        <v/>
      </c>
      <c r="K165" s="69"/>
    </row>
    <row r="166" spans="1:11" x14ac:dyDescent="0.3">
      <c r="A166" s="76"/>
      <c r="B166" s="69"/>
      <c r="C166" s="69"/>
      <c r="D166" s="73"/>
      <c r="E166" s="73"/>
      <c r="F166" s="78" t="str">
        <f t="shared" si="4"/>
        <v/>
      </c>
      <c r="G166" s="69"/>
      <c r="H166" s="73"/>
      <c r="I166" s="73"/>
      <c r="J166" s="78" t="str">
        <f t="shared" si="5"/>
        <v/>
      </c>
      <c r="K166" s="69"/>
    </row>
    <row r="167" spans="1:11" x14ac:dyDescent="0.3">
      <c r="A167" s="76"/>
      <c r="B167" s="69"/>
      <c r="C167" s="69"/>
      <c r="D167" s="73"/>
      <c r="E167" s="73"/>
      <c r="F167" s="78" t="str">
        <f t="shared" si="4"/>
        <v/>
      </c>
      <c r="G167" s="69"/>
      <c r="H167" s="73"/>
      <c r="I167" s="73"/>
      <c r="J167" s="78" t="str">
        <f t="shared" si="5"/>
        <v/>
      </c>
      <c r="K167" s="69"/>
    </row>
    <row r="168" spans="1:11" x14ac:dyDescent="0.3">
      <c r="A168" s="76"/>
      <c r="B168" s="69"/>
      <c r="C168" s="69"/>
      <c r="D168" s="73"/>
      <c r="E168" s="73"/>
      <c r="F168" s="78" t="str">
        <f t="shared" si="4"/>
        <v/>
      </c>
      <c r="G168" s="69"/>
      <c r="H168" s="73"/>
      <c r="I168" s="73"/>
      <c r="J168" s="78" t="str">
        <f t="shared" si="5"/>
        <v/>
      </c>
      <c r="K168" s="69"/>
    </row>
    <row r="169" spans="1:11" x14ac:dyDescent="0.3">
      <c r="A169" s="76"/>
      <c r="B169" s="69"/>
      <c r="C169" s="69"/>
      <c r="D169" s="73"/>
      <c r="E169" s="73"/>
      <c r="F169" s="78" t="str">
        <f t="shared" si="4"/>
        <v/>
      </c>
      <c r="G169" s="69"/>
      <c r="H169" s="73"/>
      <c r="I169" s="73"/>
      <c r="J169" s="78" t="str">
        <f t="shared" si="5"/>
        <v/>
      </c>
      <c r="K169" s="69"/>
    </row>
    <row r="170" spans="1:11" x14ac:dyDescent="0.3">
      <c r="A170" s="76"/>
      <c r="B170" s="69"/>
      <c r="C170" s="69"/>
      <c r="D170" s="73"/>
      <c r="E170" s="73"/>
      <c r="F170" s="78" t="str">
        <f t="shared" si="4"/>
        <v/>
      </c>
      <c r="G170" s="69"/>
      <c r="H170" s="73"/>
      <c r="I170" s="73"/>
      <c r="J170" s="78" t="str">
        <f t="shared" si="5"/>
        <v/>
      </c>
      <c r="K170" s="69"/>
    </row>
    <row r="171" spans="1:11" x14ac:dyDescent="0.3">
      <c r="A171" s="76"/>
      <c r="B171" s="69"/>
      <c r="C171" s="69"/>
      <c r="D171" s="73"/>
      <c r="E171" s="73"/>
      <c r="F171" s="78" t="str">
        <f t="shared" si="4"/>
        <v/>
      </c>
      <c r="G171" s="69"/>
      <c r="H171" s="73"/>
      <c r="I171" s="73"/>
      <c r="J171" s="78" t="str">
        <f t="shared" si="5"/>
        <v/>
      </c>
      <c r="K171" s="69"/>
    </row>
    <row r="172" spans="1:11" x14ac:dyDescent="0.3">
      <c r="A172" s="76"/>
      <c r="B172" s="69"/>
      <c r="C172" s="69"/>
      <c r="D172" s="73"/>
      <c r="E172" s="73"/>
      <c r="F172" s="78" t="str">
        <f t="shared" si="4"/>
        <v/>
      </c>
      <c r="G172" s="69"/>
      <c r="H172" s="73"/>
      <c r="I172" s="73"/>
      <c r="J172" s="78" t="str">
        <f t="shared" si="5"/>
        <v/>
      </c>
      <c r="K172" s="69"/>
    </row>
    <row r="173" spans="1:11" x14ac:dyDescent="0.3">
      <c r="A173" s="76"/>
      <c r="B173" s="69"/>
      <c r="C173" s="69"/>
      <c r="D173" s="73"/>
      <c r="E173" s="73"/>
      <c r="F173" s="78" t="str">
        <f t="shared" si="4"/>
        <v/>
      </c>
      <c r="G173" s="69"/>
      <c r="H173" s="73"/>
      <c r="I173" s="73"/>
      <c r="J173" s="78" t="str">
        <f t="shared" si="5"/>
        <v/>
      </c>
      <c r="K173" s="69"/>
    </row>
    <row r="174" spans="1:11" x14ac:dyDescent="0.3">
      <c r="A174" s="76"/>
      <c r="B174" s="69"/>
      <c r="C174" s="69"/>
      <c r="D174" s="73"/>
      <c r="E174" s="73"/>
      <c r="F174" s="78" t="str">
        <f t="shared" si="4"/>
        <v/>
      </c>
      <c r="G174" s="69"/>
      <c r="H174" s="73"/>
      <c r="I174" s="73"/>
      <c r="J174" s="78" t="str">
        <f t="shared" si="5"/>
        <v/>
      </c>
      <c r="K174" s="69"/>
    </row>
    <row r="175" spans="1:11" x14ac:dyDescent="0.3">
      <c r="A175" s="76"/>
      <c r="B175" s="69"/>
      <c r="C175" s="69"/>
      <c r="D175" s="73"/>
      <c r="E175" s="73"/>
      <c r="F175" s="78" t="str">
        <f t="shared" si="4"/>
        <v/>
      </c>
      <c r="G175" s="69"/>
      <c r="H175" s="73"/>
      <c r="I175" s="73"/>
      <c r="J175" s="78" t="str">
        <f t="shared" si="5"/>
        <v/>
      </c>
      <c r="K175" s="69"/>
    </row>
    <row r="176" spans="1:11" x14ac:dyDescent="0.3">
      <c r="A176" s="76"/>
      <c r="B176" s="69"/>
      <c r="C176" s="69"/>
      <c r="D176" s="73"/>
      <c r="E176" s="73"/>
      <c r="F176" s="78" t="str">
        <f t="shared" si="4"/>
        <v/>
      </c>
      <c r="G176" s="69"/>
      <c r="H176" s="73"/>
      <c r="I176" s="73"/>
      <c r="J176" s="78" t="str">
        <f t="shared" si="5"/>
        <v/>
      </c>
      <c r="K176" s="69"/>
    </row>
    <row r="177" spans="1:11" x14ac:dyDescent="0.3">
      <c r="A177" s="76"/>
      <c r="B177" s="69"/>
      <c r="C177" s="69"/>
      <c r="D177" s="73"/>
      <c r="E177" s="73"/>
      <c r="F177" s="78" t="str">
        <f t="shared" si="4"/>
        <v/>
      </c>
      <c r="G177" s="69"/>
      <c r="H177" s="73"/>
      <c r="I177" s="73"/>
      <c r="J177" s="78" t="str">
        <f t="shared" si="5"/>
        <v/>
      </c>
      <c r="K177" s="69"/>
    </row>
    <row r="178" spans="1:11" x14ac:dyDescent="0.3">
      <c r="A178" s="76"/>
      <c r="B178" s="69"/>
      <c r="C178" s="69"/>
      <c r="D178" s="73"/>
      <c r="E178" s="73"/>
      <c r="F178" s="78" t="str">
        <f t="shared" si="4"/>
        <v/>
      </c>
      <c r="G178" s="69"/>
      <c r="H178" s="73"/>
      <c r="I178" s="73"/>
      <c r="J178" s="78" t="str">
        <f t="shared" si="5"/>
        <v/>
      </c>
      <c r="K178" s="69"/>
    </row>
    <row r="179" spans="1:11" x14ac:dyDescent="0.3">
      <c r="A179" s="76"/>
      <c r="B179" s="69"/>
      <c r="C179" s="69"/>
      <c r="D179" s="73"/>
      <c r="E179" s="73"/>
      <c r="F179" s="78" t="str">
        <f t="shared" si="4"/>
        <v/>
      </c>
      <c r="G179" s="69"/>
      <c r="H179" s="73"/>
      <c r="I179" s="73"/>
      <c r="J179" s="78" t="str">
        <f t="shared" si="5"/>
        <v/>
      </c>
      <c r="K179" s="69"/>
    </row>
    <row r="180" spans="1:11" x14ac:dyDescent="0.3">
      <c r="A180" s="76"/>
      <c r="B180" s="69"/>
      <c r="C180" s="69"/>
      <c r="D180" s="73"/>
      <c r="E180" s="73"/>
      <c r="F180" s="78" t="str">
        <f t="shared" si="4"/>
        <v/>
      </c>
      <c r="G180" s="69"/>
      <c r="H180" s="73"/>
      <c r="I180" s="73"/>
      <c r="J180" s="78" t="str">
        <f t="shared" si="5"/>
        <v/>
      </c>
      <c r="K180" s="69"/>
    </row>
    <row r="181" spans="1:11" x14ac:dyDescent="0.3">
      <c r="A181" s="76"/>
      <c r="B181" s="69"/>
      <c r="C181" s="69"/>
      <c r="D181" s="73"/>
      <c r="E181" s="73"/>
      <c r="F181" s="78" t="str">
        <f t="shared" si="4"/>
        <v/>
      </c>
      <c r="G181" s="69"/>
      <c r="H181" s="73"/>
      <c r="I181" s="73"/>
      <c r="J181" s="78" t="str">
        <f t="shared" si="5"/>
        <v/>
      </c>
      <c r="K181" s="69"/>
    </row>
    <row r="182" spans="1:11" x14ac:dyDescent="0.3">
      <c r="A182" s="76"/>
      <c r="B182" s="69"/>
      <c r="C182" s="69"/>
      <c r="D182" s="73"/>
      <c r="E182" s="73"/>
      <c r="F182" s="78" t="str">
        <f t="shared" si="4"/>
        <v/>
      </c>
      <c r="G182" s="69"/>
      <c r="H182" s="73"/>
      <c r="I182" s="73"/>
      <c r="J182" s="78" t="str">
        <f t="shared" si="5"/>
        <v/>
      </c>
      <c r="K182" s="69"/>
    </row>
    <row r="183" spans="1:11" x14ac:dyDescent="0.3">
      <c r="A183" s="76"/>
      <c r="B183" s="69"/>
      <c r="C183" s="69"/>
      <c r="D183" s="73"/>
      <c r="E183" s="73"/>
      <c r="F183" s="78" t="str">
        <f t="shared" si="4"/>
        <v/>
      </c>
      <c r="G183" s="69"/>
      <c r="H183" s="73"/>
      <c r="I183" s="73"/>
      <c r="J183" s="78" t="str">
        <f t="shared" si="5"/>
        <v/>
      </c>
      <c r="K183" s="69"/>
    </row>
    <row r="184" spans="1:11" x14ac:dyDescent="0.3">
      <c r="A184" s="76"/>
      <c r="B184" s="69"/>
      <c r="C184" s="69"/>
      <c r="D184" s="73"/>
      <c r="E184" s="73"/>
      <c r="F184" s="78" t="str">
        <f t="shared" si="4"/>
        <v/>
      </c>
      <c r="G184" s="69"/>
      <c r="H184" s="73"/>
      <c r="I184" s="73"/>
      <c r="J184" s="78" t="str">
        <f t="shared" si="5"/>
        <v/>
      </c>
      <c r="K184" s="69"/>
    </row>
    <row r="185" spans="1:11" x14ac:dyDescent="0.3">
      <c r="A185" s="76"/>
      <c r="B185" s="69"/>
      <c r="C185" s="69"/>
      <c r="D185" s="73"/>
      <c r="E185" s="73"/>
      <c r="F185" s="78" t="str">
        <f t="shared" si="4"/>
        <v/>
      </c>
      <c r="G185" s="69"/>
      <c r="H185" s="73"/>
      <c r="I185" s="73"/>
      <c r="J185" s="78" t="str">
        <f t="shared" si="5"/>
        <v/>
      </c>
      <c r="K185" s="69"/>
    </row>
    <row r="186" spans="1:11" x14ac:dyDescent="0.3">
      <c r="A186" s="76"/>
      <c r="B186" s="69"/>
      <c r="C186" s="69"/>
      <c r="D186" s="73"/>
      <c r="E186" s="73"/>
      <c r="F186" s="78" t="str">
        <f t="shared" si="4"/>
        <v/>
      </c>
      <c r="G186" s="69"/>
      <c r="H186" s="73"/>
      <c r="I186" s="73"/>
      <c r="J186" s="78" t="str">
        <f t="shared" si="5"/>
        <v/>
      </c>
      <c r="K186" s="69"/>
    </row>
    <row r="187" spans="1:11" x14ac:dyDescent="0.3">
      <c r="A187" s="76"/>
      <c r="B187" s="69"/>
      <c r="C187" s="69"/>
      <c r="D187" s="73"/>
      <c r="E187" s="73"/>
      <c r="F187" s="78" t="str">
        <f t="shared" si="4"/>
        <v/>
      </c>
      <c r="G187" s="69"/>
      <c r="H187" s="73"/>
      <c r="I187" s="73"/>
      <c r="J187" s="78" t="str">
        <f t="shared" si="5"/>
        <v/>
      </c>
      <c r="K187" s="69"/>
    </row>
    <row r="188" spans="1:11" x14ac:dyDescent="0.3">
      <c r="A188" s="76"/>
      <c r="B188" s="69"/>
      <c r="C188" s="69"/>
      <c r="D188" s="73"/>
      <c r="E188" s="73"/>
      <c r="F188" s="78" t="str">
        <f t="shared" si="4"/>
        <v/>
      </c>
      <c r="G188" s="69"/>
      <c r="H188" s="73"/>
      <c r="I188" s="73"/>
      <c r="J188" s="78" t="str">
        <f t="shared" si="5"/>
        <v/>
      </c>
      <c r="K188" s="69"/>
    </row>
    <row r="189" spans="1:11" x14ac:dyDescent="0.3">
      <c r="A189" s="76"/>
      <c r="B189" s="69"/>
      <c r="C189" s="69"/>
      <c r="D189" s="73"/>
      <c r="E189" s="73"/>
      <c r="F189" s="78" t="str">
        <f t="shared" si="4"/>
        <v/>
      </c>
      <c r="G189" s="69"/>
      <c r="H189" s="73"/>
      <c r="I189" s="73"/>
      <c r="J189" s="78" t="str">
        <f t="shared" si="5"/>
        <v/>
      </c>
      <c r="K189" s="69"/>
    </row>
    <row r="190" spans="1:11" x14ac:dyDescent="0.3">
      <c r="A190" s="76"/>
      <c r="B190" s="69"/>
      <c r="C190" s="69"/>
      <c r="D190" s="73"/>
      <c r="E190" s="73"/>
      <c r="F190" s="78" t="str">
        <f t="shared" si="4"/>
        <v/>
      </c>
      <c r="G190" s="69"/>
      <c r="H190" s="73"/>
      <c r="I190" s="73"/>
      <c r="J190" s="78" t="str">
        <f t="shared" si="5"/>
        <v/>
      </c>
      <c r="K190" s="69"/>
    </row>
    <row r="191" spans="1:11" x14ac:dyDescent="0.3">
      <c r="A191" s="76"/>
      <c r="B191" s="69"/>
      <c r="C191" s="69"/>
      <c r="D191" s="73"/>
      <c r="E191" s="73"/>
      <c r="F191" s="78" t="str">
        <f t="shared" si="4"/>
        <v/>
      </c>
      <c r="G191" s="69"/>
      <c r="H191" s="73"/>
      <c r="I191" s="73"/>
      <c r="J191" s="78" t="str">
        <f t="shared" si="5"/>
        <v/>
      </c>
      <c r="K191" s="69"/>
    </row>
    <row r="192" spans="1:11" x14ac:dyDescent="0.3">
      <c r="A192" s="76"/>
      <c r="B192" s="69"/>
      <c r="C192" s="69"/>
      <c r="D192" s="73"/>
      <c r="E192" s="73"/>
      <c r="F192" s="78" t="str">
        <f t="shared" si="4"/>
        <v/>
      </c>
      <c r="G192" s="69"/>
      <c r="H192" s="73"/>
      <c r="I192" s="73"/>
      <c r="J192" s="78" t="str">
        <f t="shared" si="5"/>
        <v/>
      </c>
      <c r="K192" s="69"/>
    </row>
    <row r="193" spans="1:11" x14ac:dyDescent="0.3">
      <c r="A193" s="76"/>
      <c r="B193" s="69"/>
      <c r="C193" s="69"/>
      <c r="D193" s="73"/>
      <c r="E193" s="73"/>
      <c r="F193" s="78" t="str">
        <f t="shared" si="4"/>
        <v/>
      </c>
      <c r="G193" s="69"/>
      <c r="H193" s="73"/>
      <c r="I193" s="73"/>
      <c r="J193" s="78" t="str">
        <f t="shared" si="5"/>
        <v/>
      </c>
      <c r="K193" s="69"/>
    </row>
    <row r="194" spans="1:11" x14ac:dyDescent="0.3">
      <c r="A194" s="76"/>
      <c r="B194" s="69"/>
      <c r="C194" s="69"/>
      <c r="D194" s="73"/>
      <c r="E194" s="73"/>
      <c r="F194" s="78" t="str">
        <f t="shared" si="4"/>
        <v/>
      </c>
      <c r="G194" s="69"/>
      <c r="H194" s="73"/>
      <c r="I194" s="73"/>
      <c r="J194" s="78" t="str">
        <f t="shared" si="5"/>
        <v/>
      </c>
      <c r="K194" s="69"/>
    </row>
    <row r="195" spans="1:11" x14ac:dyDescent="0.3">
      <c r="A195" s="76"/>
      <c r="B195" s="69"/>
      <c r="C195" s="69"/>
      <c r="D195" s="73"/>
      <c r="E195" s="73"/>
      <c r="F195" s="78" t="str">
        <f t="shared" si="4"/>
        <v/>
      </c>
      <c r="G195" s="69"/>
      <c r="H195" s="73"/>
      <c r="I195" s="73"/>
      <c r="J195" s="78" t="str">
        <f t="shared" si="5"/>
        <v/>
      </c>
      <c r="K195" s="69"/>
    </row>
    <row r="196" spans="1:11" x14ac:dyDescent="0.3">
      <c r="A196" s="76"/>
      <c r="B196" s="69"/>
      <c r="C196" s="69"/>
      <c r="D196" s="73"/>
      <c r="E196" s="73"/>
      <c r="F196" s="78" t="str">
        <f t="shared" si="4"/>
        <v/>
      </c>
      <c r="G196" s="69"/>
      <c r="H196" s="73"/>
      <c r="I196" s="73"/>
      <c r="J196" s="78" t="str">
        <f t="shared" si="5"/>
        <v/>
      </c>
      <c r="K196" s="69"/>
    </row>
    <row r="197" spans="1:11" x14ac:dyDescent="0.3">
      <c r="A197" s="76"/>
      <c r="B197" s="69"/>
      <c r="C197" s="69"/>
      <c r="D197" s="73"/>
      <c r="E197" s="73"/>
      <c r="F197" s="78" t="str">
        <f t="shared" ref="F197:F260" si="6">IF(OR(D197="",D197=0,E197=""),"",E197/D197)</f>
        <v/>
      </c>
      <c r="G197" s="69"/>
      <c r="H197" s="73"/>
      <c r="I197" s="73"/>
      <c r="J197" s="78" t="str">
        <f t="shared" ref="J197:J260" si="7">IF(OR(H197="",H197=0,I197=""),"",I197/H197)</f>
        <v/>
      </c>
      <c r="K197" s="69"/>
    </row>
    <row r="198" spans="1:11" x14ac:dyDescent="0.3">
      <c r="A198" s="76"/>
      <c r="B198" s="69"/>
      <c r="C198" s="69"/>
      <c r="D198" s="73"/>
      <c r="E198" s="73"/>
      <c r="F198" s="78" t="str">
        <f t="shared" si="6"/>
        <v/>
      </c>
      <c r="G198" s="69"/>
      <c r="H198" s="73"/>
      <c r="I198" s="73"/>
      <c r="J198" s="78" t="str">
        <f t="shared" si="7"/>
        <v/>
      </c>
      <c r="K198" s="69"/>
    </row>
    <row r="199" spans="1:11" x14ac:dyDescent="0.3">
      <c r="A199" s="76"/>
      <c r="B199" s="69"/>
      <c r="C199" s="69"/>
      <c r="D199" s="73"/>
      <c r="E199" s="73"/>
      <c r="F199" s="78" t="str">
        <f t="shared" si="6"/>
        <v/>
      </c>
      <c r="G199" s="69"/>
      <c r="H199" s="73"/>
      <c r="I199" s="73"/>
      <c r="J199" s="78" t="str">
        <f t="shared" si="7"/>
        <v/>
      </c>
      <c r="K199" s="69"/>
    </row>
    <row r="200" spans="1:11" x14ac:dyDescent="0.3">
      <c r="A200" s="76"/>
      <c r="B200" s="69"/>
      <c r="C200" s="69"/>
      <c r="D200" s="73"/>
      <c r="E200" s="73"/>
      <c r="F200" s="78" t="str">
        <f t="shared" si="6"/>
        <v/>
      </c>
      <c r="G200" s="69"/>
      <c r="H200" s="73"/>
      <c r="I200" s="73"/>
      <c r="J200" s="78" t="str">
        <f t="shared" si="7"/>
        <v/>
      </c>
      <c r="K200" s="69"/>
    </row>
    <row r="201" spans="1:11" x14ac:dyDescent="0.3">
      <c r="A201" s="76"/>
      <c r="B201" s="69"/>
      <c r="C201" s="69"/>
      <c r="D201" s="73"/>
      <c r="E201" s="73"/>
      <c r="F201" s="78" t="str">
        <f t="shared" si="6"/>
        <v/>
      </c>
      <c r="G201" s="69"/>
      <c r="H201" s="73"/>
      <c r="I201" s="73"/>
      <c r="J201" s="78" t="str">
        <f t="shared" si="7"/>
        <v/>
      </c>
      <c r="K201" s="69"/>
    </row>
    <row r="202" spans="1:11" x14ac:dyDescent="0.3">
      <c r="A202" s="76"/>
      <c r="B202" s="69"/>
      <c r="C202" s="69"/>
      <c r="D202" s="73"/>
      <c r="E202" s="73"/>
      <c r="F202" s="78" t="str">
        <f t="shared" si="6"/>
        <v/>
      </c>
      <c r="G202" s="69"/>
      <c r="H202" s="73"/>
      <c r="I202" s="73"/>
      <c r="J202" s="78" t="str">
        <f t="shared" si="7"/>
        <v/>
      </c>
      <c r="K202" s="69"/>
    </row>
    <row r="203" spans="1:11" x14ac:dyDescent="0.3">
      <c r="A203" s="76"/>
      <c r="B203" s="69"/>
      <c r="C203" s="69"/>
      <c r="D203" s="73"/>
      <c r="E203" s="73"/>
      <c r="F203" s="78" t="str">
        <f t="shared" si="6"/>
        <v/>
      </c>
      <c r="G203" s="69"/>
      <c r="H203" s="73"/>
      <c r="I203" s="73"/>
      <c r="J203" s="78" t="str">
        <f t="shared" si="7"/>
        <v/>
      </c>
      <c r="K203" s="69"/>
    </row>
    <row r="204" spans="1:11" x14ac:dyDescent="0.3">
      <c r="A204" s="76"/>
      <c r="B204" s="69"/>
      <c r="C204" s="69"/>
      <c r="D204" s="73"/>
      <c r="E204" s="73"/>
      <c r="F204" s="78" t="str">
        <f t="shared" si="6"/>
        <v/>
      </c>
      <c r="G204" s="69"/>
      <c r="H204" s="73"/>
      <c r="I204" s="73"/>
      <c r="J204" s="78" t="str">
        <f t="shared" si="7"/>
        <v/>
      </c>
      <c r="K204" s="69"/>
    </row>
    <row r="205" spans="1:11" x14ac:dyDescent="0.3">
      <c r="A205" s="76"/>
      <c r="B205" s="69"/>
      <c r="C205" s="69"/>
      <c r="D205" s="73"/>
      <c r="E205" s="73"/>
      <c r="F205" s="78" t="str">
        <f t="shared" si="6"/>
        <v/>
      </c>
      <c r="G205" s="69"/>
      <c r="H205" s="73"/>
      <c r="I205" s="73"/>
      <c r="J205" s="78" t="str">
        <f t="shared" si="7"/>
        <v/>
      </c>
      <c r="K205" s="69"/>
    </row>
    <row r="206" spans="1:11" x14ac:dyDescent="0.3">
      <c r="A206" s="76"/>
      <c r="B206" s="69"/>
      <c r="C206" s="69"/>
      <c r="D206" s="73"/>
      <c r="E206" s="73"/>
      <c r="F206" s="78" t="str">
        <f t="shared" si="6"/>
        <v/>
      </c>
      <c r="G206" s="69"/>
      <c r="H206" s="73"/>
      <c r="I206" s="73"/>
      <c r="J206" s="78" t="str">
        <f t="shared" si="7"/>
        <v/>
      </c>
      <c r="K206" s="69"/>
    </row>
    <row r="207" spans="1:11" x14ac:dyDescent="0.3">
      <c r="A207" s="76"/>
      <c r="B207" s="69"/>
      <c r="C207" s="69"/>
      <c r="D207" s="73"/>
      <c r="E207" s="73"/>
      <c r="F207" s="78" t="str">
        <f t="shared" si="6"/>
        <v/>
      </c>
      <c r="G207" s="69"/>
      <c r="H207" s="73"/>
      <c r="I207" s="73"/>
      <c r="J207" s="78" t="str">
        <f t="shared" si="7"/>
        <v/>
      </c>
      <c r="K207" s="69"/>
    </row>
    <row r="208" spans="1:11" x14ac:dyDescent="0.3">
      <c r="A208" s="76"/>
      <c r="B208" s="69"/>
      <c r="C208" s="69"/>
      <c r="D208" s="73"/>
      <c r="E208" s="73"/>
      <c r="F208" s="78" t="str">
        <f t="shared" si="6"/>
        <v/>
      </c>
      <c r="G208" s="69"/>
      <c r="H208" s="73"/>
      <c r="I208" s="73"/>
      <c r="J208" s="78" t="str">
        <f t="shared" si="7"/>
        <v/>
      </c>
      <c r="K208" s="69"/>
    </row>
    <row r="209" spans="1:11" x14ac:dyDescent="0.3">
      <c r="A209" s="76"/>
      <c r="B209" s="69"/>
      <c r="C209" s="69"/>
      <c r="D209" s="73"/>
      <c r="E209" s="73"/>
      <c r="F209" s="78" t="str">
        <f t="shared" si="6"/>
        <v/>
      </c>
      <c r="G209" s="69"/>
      <c r="H209" s="73"/>
      <c r="I209" s="73"/>
      <c r="J209" s="78" t="str">
        <f t="shared" si="7"/>
        <v/>
      </c>
      <c r="K209" s="69"/>
    </row>
    <row r="210" spans="1:11" x14ac:dyDescent="0.3">
      <c r="A210" s="76"/>
      <c r="B210" s="69"/>
      <c r="C210" s="69"/>
      <c r="D210" s="73"/>
      <c r="E210" s="73"/>
      <c r="F210" s="78" t="str">
        <f t="shared" si="6"/>
        <v/>
      </c>
      <c r="G210" s="69"/>
      <c r="H210" s="73"/>
      <c r="I210" s="73"/>
      <c r="J210" s="78" t="str">
        <f t="shared" si="7"/>
        <v/>
      </c>
      <c r="K210" s="69"/>
    </row>
    <row r="211" spans="1:11" x14ac:dyDescent="0.3">
      <c r="A211" s="76"/>
      <c r="B211" s="69"/>
      <c r="C211" s="69"/>
      <c r="D211" s="73"/>
      <c r="E211" s="73"/>
      <c r="F211" s="78" t="str">
        <f t="shared" si="6"/>
        <v/>
      </c>
      <c r="G211" s="69"/>
      <c r="H211" s="73"/>
      <c r="I211" s="73"/>
      <c r="J211" s="78" t="str">
        <f t="shared" si="7"/>
        <v/>
      </c>
      <c r="K211" s="69"/>
    </row>
    <row r="212" spans="1:11" x14ac:dyDescent="0.3">
      <c r="A212" s="76"/>
      <c r="B212" s="69"/>
      <c r="C212" s="69"/>
      <c r="D212" s="73"/>
      <c r="E212" s="73"/>
      <c r="F212" s="78" t="str">
        <f t="shared" si="6"/>
        <v/>
      </c>
      <c r="G212" s="69"/>
      <c r="H212" s="73"/>
      <c r="I212" s="73"/>
      <c r="J212" s="78" t="str">
        <f t="shared" si="7"/>
        <v/>
      </c>
      <c r="K212" s="69"/>
    </row>
    <row r="213" spans="1:11" x14ac:dyDescent="0.3">
      <c r="A213" s="76"/>
      <c r="B213" s="69"/>
      <c r="C213" s="69"/>
      <c r="D213" s="73"/>
      <c r="E213" s="73"/>
      <c r="F213" s="78" t="str">
        <f t="shared" si="6"/>
        <v/>
      </c>
      <c r="G213" s="69"/>
      <c r="H213" s="73"/>
      <c r="I213" s="73"/>
      <c r="J213" s="78" t="str">
        <f t="shared" si="7"/>
        <v/>
      </c>
      <c r="K213" s="69"/>
    </row>
    <row r="214" spans="1:11" x14ac:dyDescent="0.3">
      <c r="A214" s="76"/>
      <c r="B214" s="69"/>
      <c r="C214" s="69"/>
      <c r="D214" s="73"/>
      <c r="E214" s="73"/>
      <c r="F214" s="78" t="str">
        <f t="shared" si="6"/>
        <v/>
      </c>
      <c r="G214" s="69"/>
      <c r="H214" s="73"/>
      <c r="I214" s="73"/>
      <c r="J214" s="78" t="str">
        <f t="shared" si="7"/>
        <v/>
      </c>
      <c r="K214" s="69"/>
    </row>
    <row r="215" spans="1:11" x14ac:dyDescent="0.3">
      <c r="A215" s="76"/>
      <c r="B215" s="69"/>
      <c r="C215" s="69"/>
      <c r="D215" s="73"/>
      <c r="E215" s="73"/>
      <c r="F215" s="78" t="str">
        <f t="shared" si="6"/>
        <v/>
      </c>
      <c r="G215" s="69"/>
      <c r="H215" s="73"/>
      <c r="I215" s="73"/>
      <c r="J215" s="78" t="str">
        <f t="shared" si="7"/>
        <v/>
      </c>
      <c r="K215" s="69"/>
    </row>
    <row r="216" spans="1:11" x14ac:dyDescent="0.3">
      <c r="A216" s="76"/>
      <c r="B216" s="69"/>
      <c r="C216" s="69"/>
      <c r="D216" s="73"/>
      <c r="E216" s="73"/>
      <c r="F216" s="78" t="str">
        <f t="shared" si="6"/>
        <v/>
      </c>
      <c r="G216" s="69"/>
      <c r="H216" s="73"/>
      <c r="I216" s="73"/>
      <c r="J216" s="78" t="str">
        <f t="shared" si="7"/>
        <v/>
      </c>
      <c r="K216" s="69"/>
    </row>
    <row r="217" spans="1:11" x14ac:dyDescent="0.3">
      <c r="A217" s="76"/>
      <c r="B217" s="69"/>
      <c r="C217" s="69"/>
      <c r="D217" s="73"/>
      <c r="E217" s="73"/>
      <c r="F217" s="78" t="str">
        <f t="shared" si="6"/>
        <v/>
      </c>
      <c r="G217" s="69"/>
      <c r="H217" s="73"/>
      <c r="I217" s="73"/>
      <c r="J217" s="78" t="str">
        <f t="shared" si="7"/>
        <v/>
      </c>
      <c r="K217" s="69"/>
    </row>
    <row r="218" spans="1:11" x14ac:dyDescent="0.3">
      <c r="A218" s="76"/>
      <c r="B218" s="69"/>
      <c r="C218" s="69"/>
      <c r="D218" s="73"/>
      <c r="E218" s="73"/>
      <c r="F218" s="78" t="str">
        <f t="shared" si="6"/>
        <v/>
      </c>
      <c r="G218" s="69"/>
      <c r="H218" s="73"/>
      <c r="I218" s="73"/>
      <c r="J218" s="78" t="str">
        <f t="shared" si="7"/>
        <v/>
      </c>
      <c r="K218" s="69"/>
    </row>
    <row r="219" spans="1:11" x14ac:dyDescent="0.3">
      <c r="A219" s="76"/>
      <c r="B219" s="69"/>
      <c r="C219" s="69"/>
      <c r="D219" s="73"/>
      <c r="E219" s="73"/>
      <c r="F219" s="78" t="str">
        <f t="shared" si="6"/>
        <v/>
      </c>
      <c r="G219" s="69"/>
      <c r="H219" s="73"/>
      <c r="I219" s="73"/>
      <c r="J219" s="78" t="str">
        <f t="shared" si="7"/>
        <v/>
      </c>
      <c r="K219" s="69"/>
    </row>
    <row r="220" spans="1:11" x14ac:dyDescent="0.3">
      <c r="A220" s="76"/>
      <c r="B220" s="69"/>
      <c r="C220" s="69"/>
      <c r="D220" s="73"/>
      <c r="E220" s="73"/>
      <c r="F220" s="78" t="str">
        <f t="shared" si="6"/>
        <v/>
      </c>
      <c r="G220" s="69"/>
      <c r="H220" s="73"/>
      <c r="I220" s="73"/>
      <c r="J220" s="78" t="str">
        <f t="shared" si="7"/>
        <v/>
      </c>
      <c r="K220" s="69"/>
    </row>
    <row r="221" spans="1:11" x14ac:dyDescent="0.3">
      <c r="A221" s="76"/>
      <c r="B221" s="69"/>
      <c r="C221" s="69"/>
      <c r="D221" s="73"/>
      <c r="E221" s="73"/>
      <c r="F221" s="78" t="str">
        <f t="shared" si="6"/>
        <v/>
      </c>
      <c r="G221" s="69"/>
      <c r="H221" s="73"/>
      <c r="I221" s="73"/>
      <c r="J221" s="78" t="str">
        <f t="shared" si="7"/>
        <v/>
      </c>
      <c r="K221" s="69"/>
    </row>
    <row r="222" spans="1:11" x14ac:dyDescent="0.3">
      <c r="A222" s="76"/>
      <c r="B222" s="69"/>
      <c r="C222" s="69"/>
      <c r="D222" s="73"/>
      <c r="E222" s="73"/>
      <c r="F222" s="78" t="str">
        <f t="shared" si="6"/>
        <v/>
      </c>
      <c r="G222" s="69"/>
      <c r="H222" s="73"/>
      <c r="I222" s="73"/>
      <c r="J222" s="78" t="str">
        <f t="shared" si="7"/>
        <v/>
      </c>
      <c r="K222" s="69"/>
    </row>
    <row r="223" spans="1:11" x14ac:dyDescent="0.3">
      <c r="A223" s="76"/>
      <c r="B223" s="69"/>
      <c r="C223" s="69"/>
      <c r="D223" s="73"/>
      <c r="E223" s="73"/>
      <c r="F223" s="78" t="str">
        <f t="shared" si="6"/>
        <v/>
      </c>
      <c r="G223" s="69"/>
      <c r="H223" s="73"/>
      <c r="I223" s="73"/>
      <c r="J223" s="78" t="str">
        <f t="shared" si="7"/>
        <v/>
      </c>
      <c r="K223" s="69"/>
    </row>
    <row r="224" spans="1:11" x14ac:dyDescent="0.3">
      <c r="A224" s="76"/>
      <c r="B224" s="69"/>
      <c r="C224" s="69"/>
      <c r="D224" s="73"/>
      <c r="E224" s="73"/>
      <c r="F224" s="78" t="str">
        <f t="shared" si="6"/>
        <v/>
      </c>
      <c r="G224" s="69"/>
      <c r="H224" s="73"/>
      <c r="I224" s="73"/>
      <c r="J224" s="78" t="str">
        <f t="shared" si="7"/>
        <v/>
      </c>
      <c r="K224" s="69"/>
    </row>
    <row r="225" spans="1:11" x14ac:dyDescent="0.3">
      <c r="A225" s="76"/>
      <c r="B225" s="69"/>
      <c r="C225" s="69"/>
      <c r="D225" s="73"/>
      <c r="E225" s="73"/>
      <c r="F225" s="78" t="str">
        <f t="shared" si="6"/>
        <v/>
      </c>
      <c r="G225" s="69"/>
      <c r="H225" s="73"/>
      <c r="I225" s="73"/>
      <c r="J225" s="78" t="str">
        <f t="shared" si="7"/>
        <v/>
      </c>
      <c r="K225" s="69"/>
    </row>
    <row r="226" spans="1:11" x14ac:dyDescent="0.3">
      <c r="A226" s="76"/>
      <c r="B226" s="69"/>
      <c r="C226" s="69"/>
      <c r="D226" s="73"/>
      <c r="E226" s="73"/>
      <c r="F226" s="78" t="str">
        <f t="shared" si="6"/>
        <v/>
      </c>
      <c r="G226" s="69"/>
      <c r="H226" s="73"/>
      <c r="I226" s="73"/>
      <c r="J226" s="78" t="str">
        <f t="shared" si="7"/>
        <v/>
      </c>
      <c r="K226" s="69"/>
    </row>
    <row r="227" spans="1:11" x14ac:dyDescent="0.3">
      <c r="A227" s="76"/>
      <c r="B227" s="69"/>
      <c r="C227" s="69"/>
      <c r="D227" s="73"/>
      <c r="E227" s="73"/>
      <c r="F227" s="78" t="str">
        <f t="shared" si="6"/>
        <v/>
      </c>
      <c r="G227" s="69"/>
      <c r="H227" s="73"/>
      <c r="I227" s="73"/>
      <c r="J227" s="78" t="str">
        <f t="shared" si="7"/>
        <v/>
      </c>
      <c r="K227" s="69"/>
    </row>
    <row r="228" spans="1:11" x14ac:dyDescent="0.3">
      <c r="A228" s="76"/>
      <c r="B228" s="69"/>
      <c r="C228" s="69"/>
      <c r="D228" s="73"/>
      <c r="E228" s="73"/>
      <c r="F228" s="78" t="str">
        <f t="shared" si="6"/>
        <v/>
      </c>
      <c r="G228" s="69"/>
      <c r="H228" s="73"/>
      <c r="I228" s="73"/>
      <c r="J228" s="78" t="str">
        <f t="shared" si="7"/>
        <v/>
      </c>
      <c r="K228" s="69"/>
    </row>
    <row r="229" spans="1:11" x14ac:dyDescent="0.3">
      <c r="A229" s="76"/>
      <c r="B229" s="69"/>
      <c r="C229" s="69"/>
      <c r="D229" s="73"/>
      <c r="E229" s="73"/>
      <c r="F229" s="78" t="str">
        <f t="shared" si="6"/>
        <v/>
      </c>
      <c r="G229" s="69"/>
      <c r="H229" s="73"/>
      <c r="I229" s="73"/>
      <c r="J229" s="78" t="str">
        <f t="shared" si="7"/>
        <v/>
      </c>
      <c r="K229" s="69"/>
    </row>
    <row r="230" spans="1:11" x14ac:dyDescent="0.3">
      <c r="A230" s="76"/>
      <c r="B230" s="69"/>
      <c r="C230" s="69"/>
      <c r="D230" s="73"/>
      <c r="E230" s="73"/>
      <c r="F230" s="78" t="str">
        <f t="shared" si="6"/>
        <v/>
      </c>
      <c r="G230" s="69"/>
      <c r="H230" s="73"/>
      <c r="I230" s="73"/>
      <c r="J230" s="78" t="str">
        <f t="shared" si="7"/>
        <v/>
      </c>
      <c r="K230" s="69"/>
    </row>
    <row r="231" spans="1:11" x14ac:dyDescent="0.3">
      <c r="A231" s="76"/>
      <c r="B231" s="69"/>
      <c r="C231" s="69"/>
      <c r="D231" s="73"/>
      <c r="E231" s="73"/>
      <c r="F231" s="78" t="str">
        <f t="shared" si="6"/>
        <v/>
      </c>
      <c r="G231" s="69"/>
      <c r="H231" s="73"/>
      <c r="I231" s="73"/>
      <c r="J231" s="78" t="str">
        <f t="shared" si="7"/>
        <v/>
      </c>
      <c r="K231" s="69"/>
    </row>
    <row r="232" spans="1:11" x14ac:dyDescent="0.3">
      <c r="A232" s="76"/>
      <c r="B232" s="69"/>
      <c r="C232" s="69"/>
      <c r="D232" s="73"/>
      <c r="E232" s="73"/>
      <c r="F232" s="78" t="str">
        <f t="shared" si="6"/>
        <v/>
      </c>
      <c r="G232" s="69"/>
      <c r="H232" s="73"/>
      <c r="I232" s="73"/>
      <c r="J232" s="78" t="str">
        <f t="shared" si="7"/>
        <v/>
      </c>
      <c r="K232" s="69"/>
    </row>
    <row r="233" spans="1:11" x14ac:dyDescent="0.3">
      <c r="A233" s="76"/>
      <c r="B233" s="69"/>
      <c r="C233" s="69"/>
      <c r="D233" s="73"/>
      <c r="E233" s="73"/>
      <c r="F233" s="78" t="str">
        <f t="shared" si="6"/>
        <v/>
      </c>
      <c r="G233" s="69"/>
      <c r="H233" s="73"/>
      <c r="I233" s="73"/>
      <c r="J233" s="78" t="str">
        <f t="shared" si="7"/>
        <v/>
      </c>
      <c r="K233" s="69"/>
    </row>
    <row r="234" spans="1:11" x14ac:dyDescent="0.3">
      <c r="A234" s="76"/>
      <c r="B234" s="69"/>
      <c r="C234" s="69"/>
      <c r="D234" s="73"/>
      <c r="E234" s="73"/>
      <c r="F234" s="78" t="str">
        <f t="shared" si="6"/>
        <v/>
      </c>
      <c r="G234" s="69"/>
      <c r="H234" s="73"/>
      <c r="I234" s="73"/>
      <c r="J234" s="78" t="str">
        <f t="shared" si="7"/>
        <v/>
      </c>
      <c r="K234" s="69"/>
    </row>
    <row r="235" spans="1:11" x14ac:dyDescent="0.3">
      <c r="A235" s="76"/>
      <c r="B235" s="69"/>
      <c r="C235" s="69"/>
      <c r="D235" s="73"/>
      <c r="E235" s="73"/>
      <c r="F235" s="78" t="str">
        <f t="shared" si="6"/>
        <v/>
      </c>
      <c r="G235" s="69"/>
      <c r="H235" s="73"/>
      <c r="I235" s="73"/>
      <c r="J235" s="78" t="str">
        <f t="shared" si="7"/>
        <v/>
      </c>
      <c r="K235" s="69"/>
    </row>
    <row r="236" spans="1:11" x14ac:dyDescent="0.3">
      <c r="A236" s="76"/>
      <c r="B236" s="69"/>
      <c r="C236" s="69"/>
      <c r="D236" s="73"/>
      <c r="E236" s="73"/>
      <c r="F236" s="78" t="str">
        <f t="shared" si="6"/>
        <v/>
      </c>
      <c r="G236" s="69"/>
      <c r="H236" s="73"/>
      <c r="I236" s="73"/>
      <c r="J236" s="78" t="str">
        <f t="shared" si="7"/>
        <v/>
      </c>
      <c r="K236" s="69"/>
    </row>
    <row r="237" spans="1:11" x14ac:dyDescent="0.3">
      <c r="A237" s="76"/>
      <c r="B237" s="69"/>
      <c r="C237" s="69"/>
      <c r="D237" s="73"/>
      <c r="E237" s="73"/>
      <c r="F237" s="78" t="str">
        <f t="shared" si="6"/>
        <v/>
      </c>
      <c r="G237" s="69"/>
      <c r="H237" s="73"/>
      <c r="I237" s="73"/>
      <c r="J237" s="78" t="str">
        <f t="shared" si="7"/>
        <v/>
      </c>
      <c r="K237" s="69"/>
    </row>
    <row r="238" spans="1:11" x14ac:dyDescent="0.3">
      <c r="A238" s="76"/>
      <c r="B238" s="69"/>
      <c r="C238" s="69"/>
      <c r="D238" s="73"/>
      <c r="E238" s="73"/>
      <c r="F238" s="78" t="str">
        <f t="shared" si="6"/>
        <v/>
      </c>
      <c r="G238" s="69"/>
      <c r="H238" s="73"/>
      <c r="I238" s="73"/>
      <c r="J238" s="78" t="str">
        <f t="shared" si="7"/>
        <v/>
      </c>
      <c r="K238" s="69"/>
    </row>
    <row r="239" spans="1:11" x14ac:dyDescent="0.3">
      <c r="A239" s="76"/>
      <c r="B239" s="69"/>
      <c r="C239" s="69"/>
      <c r="D239" s="73"/>
      <c r="E239" s="73"/>
      <c r="F239" s="78" t="str">
        <f t="shared" si="6"/>
        <v/>
      </c>
      <c r="G239" s="69"/>
      <c r="H239" s="73"/>
      <c r="I239" s="73"/>
      <c r="J239" s="78" t="str">
        <f t="shared" si="7"/>
        <v/>
      </c>
      <c r="K239" s="69"/>
    </row>
    <row r="240" spans="1:11" x14ac:dyDescent="0.3">
      <c r="A240" s="76"/>
      <c r="B240" s="69"/>
      <c r="C240" s="69"/>
      <c r="D240" s="73"/>
      <c r="E240" s="73"/>
      <c r="F240" s="78" t="str">
        <f t="shared" si="6"/>
        <v/>
      </c>
      <c r="G240" s="69"/>
      <c r="H240" s="73"/>
      <c r="I240" s="73"/>
      <c r="J240" s="78" t="str">
        <f t="shared" si="7"/>
        <v/>
      </c>
      <c r="K240" s="69"/>
    </row>
    <row r="241" spans="1:11" x14ac:dyDescent="0.3">
      <c r="A241" s="76"/>
      <c r="B241" s="69"/>
      <c r="C241" s="69"/>
      <c r="D241" s="73"/>
      <c r="E241" s="73"/>
      <c r="F241" s="78" t="str">
        <f t="shared" si="6"/>
        <v/>
      </c>
      <c r="G241" s="69"/>
      <c r="H241" s="73"/>
      <c r="I241" s="73"/>
      <c r="J241" s="78" t="str">
        <f t="shared" si="7"/>
        <v/>
      </c>
      <c r="K241" s="69"/>
    </row>
    <row r="242" spans="1:11" x14ac:dyDescent="0.3">
      <c r="A242" s="76"/>
      <c r="B242" s="69"/>
      <c r="C242" s="69"/>
      <c r="D242" s="73"/>
      <c r="E242" s="73"/>
      <c r="F242" s="78" t="str">
        <f t="shared" si="6"/>
        <v/>
      </c>
      <c r="G242" s="69"/>
      <c r="H242" s="73"/>
      <c r="I242" s="73"/>
      <c r="J242" s="78" t="str">
        <f t="shared" si="7"/>
        <v/>
      </c>
      <c r="K242" s="69"/>
    </row>
    <row r="243" spans="1:11" x14ac:dyDescent="0.3">
      <c r="A243" s="76"/>
      <c r="B243" s="69"/>
      <c r="C243" s="69"/>
      <c r="D243" s="73"/>
      <c r="E243" s="73"/>
      <c r="F243" s="78" t="str">
        <f t="shared" si="6"/>
        <v/>
      </c>
      <c r="G243" s="69"/>
      <c r="H243" s="73"/>
      <c r="I243" s="73"/>
      <c r="J243" s="78" t="str">
        <f t="shared" si="7"/>
        <v/>
      </c>
      <c r="K243" s="69"/>
    </row>
    <row r="244" spans="1:11" x14ac:dyDescent="0.3">
      <c r="A244" s="76"/>
      <c r="B244" s="69"/>
      <c r="C244" s="69"/>
      <c r="D244" s="73"/>
      <c r="E244" s="73"/>
      <c r="F244" s="78" t="str">
        <f t="shared" si="6"/>
        <v/>
      </c>
      <c r="G244" s="69"/>
      <c r="H244" s="73"/>
      <c r="I244" s="73"/>
      <c r="J244" s="78" t="str">
        <f t="shared" si="7"/>
        <v/>
      </c>
      <c r="K244" s="69"/>
    </row>
    <row r="245" spans="1:11" x14ac:dyDescent="0.3">
      <c r="A245" s="76"/>
      <c r="B245" s="69"/>
      <c r="C245" s="69"/>
      <c r="D245" s="73"/>
      <c r="E245" s="73"/>
      <c r="F245" s="78" t="str">
        <f t="shared" si="6"/>
        <v/>
      </c>
      <c r="G245" s="69"/>
      <c r="H245" s="73"/>
      <c r="I245" s="73"/>
      <c r="J245" s="78" t="str">
        <f t="shared" si="7"/>
        <v/>
      </c>
      <c r="K245" s="69"/>
    </row>
    <row r="246" spans="1:11" x14ac:dyDescent="0.3">
      <c r="A246" s="76"/>
      <c r="B246" s="69"/>
      <c r="C246" s="69"/>
      <c r="D246" s="73"/>
      <c r="E246" s="73"/>
      <c r="F246" s="78" t="str">
        <f t="shared" si="6"/>
        <v/>
      </c>
      <c r="G246" s="69"/>
      <c r="H246" s="73"/>
      <c r="I246" s="73"/>
      <c r="J246" s="78" t="str">
        <f t="shared" si="7"/>
        <v/>
      </c>
      <c r="K246" s="69"/>
    </row>
    <row r="247" spans="1:11" x14ac:dyDescent="0.3">
      <c r="A247" s="76"/>
      <c r="B247" s="69"/>
      <c r="C247" s="69"/>
      <c r="D247" s="73"/>
      <c r="E247" s="73"/>
      <c r="F247" s="78" t="str">
        <f t="shared" si="6"/>
        <v/>
      </c>
      <c r="G247" s="69"/>
      <c r="H247" s="73"/>
      <c r="I247" s="73"/>
      <c r="J247" s="78" t="str">
        <f t="shared" si="7"/>
        <v/>
      </c>
      <c r="K247" s="69"/>
    </row>
    <row r="248" spans="1:11" x14ac:dyDescent="0.3">
      <c r="A248" s="76"/>
      <c r="B248" s="69"/>
      <c r="C248" s="69"/>
      <c r="D248" s="73"/>
      <c r="E248" s="73"/>
      <c r="F248" s="78" t="str">
        <f t="shared" si="6"/>
        <v/>
      </c>
      <c r="G248" s="69"/>
      <c r="H248" s="73"/>
      <c r="I248" s="73"/>
      <c r="J248" s="78" t="str">
        <f t="shared" si="7"/>
        <v/>
      </c>
      <c r="K248" s="69"/>
    </row>
    <row r="249" spans="1:11" x14ac:dyDescent="0.3">
      <c r="A249" s="76"/>
      <c r="B249" s="69"/>
      <c r="C249" s="69"/>
      <c r="D249" s="73"/>
      <c r="E249" s="73"/>
      <c r="F249" s="78" t="str">
        <f t="shared" si="6"/>
        <v/>
      </c>
      <c r="G249" s="69"/>
      <c r="H249" s="73"/>
      <c r="I249" s="73"/>
      <c r="J249" s="78" t="str">
        <f t="shared" si="7"/>
        <v/>
      </c>
      <c r="K249" s="69"/>
    </row>
    <row r="250" spans="1:11" x14ac:dyDescent="0.3">
      <c r="A250" s="76"/>
      <c r="B250" s="69"/>
      <c r="C250" s="69"/>
      <c r="D250" s="73"/>
      <c r="E250" s="73"/>
      <c r="F250" s="78" t="str">
        <f t="shared" si="6"/>
        <v/>
      </c>
      <c r="G250" s="69"/>
      <c r="H250" s="73"/>
      <c r="I250" s="73"/>
      <c r="J250" s="78" t="str">
        <f t="shared" si="7"/>
        <v/>
      </c>
      <c r="K250" s="69"/>
    </row>
    <row r="251" spans="1:11" x14ac:dyDescent="0.3">
      <c r="A251" s="76"/>
      <c r="B251" s="69"/>
      <c r="C251" s="69"/>
      <c r="D251" s="73"/>
      <c r="E251" s="73"/>
      <c r="F251" s="78" t="str">
        <f t="shared" si="6"/>
        <v/>
      </c>
      <c r="G251" s="69"/>
      <c r="H251" s="73"/>
      <c r="I251" s="73"/>
      <c r="J251" s="78" t="str">
        <f t="shared" si="7"/>
        <v/>
      </c>
      <c r="K251" s="69"/>
    </row>
    <row r="252" spans="1:11" x14ac:dyDescent="0.3">
      <c r="A252" s="76"/>
      <c r="B252" s="69"/>
      <c r="C252" s="69"/>
      <c r="D252" s="73"/>
      <c r="E252" s="73"/>
      <c r="F252" s="78" t="str">
        <f t="shared" si="6"/>
        <v/>
      </c>
      <c r="G252" s="69"/>
      <c r="H252" s="73"/>
      <c r="I252" s="73"/>
      <c r="J252" s="78" t="str">
        <f t="shared" si="7"/>
        <v/>
      </c>
      <c r="K252" s="69"/>
    </row>
    <row r="253" spans="1:11" x14ac:dyDescent="0.3">
      <c r="A253" s="76"/>
      <c r="B253" s="69"/>
      <c r="C253" s="69"/>
      <c r="D253" s="73"/>
      <c r="E253" s="73"/>
      <c r="F253" s="78" t="str">
        <f t="shared" si="6"/>
        <v/>
      </c>
      <c r="G253" s="69"/>
      <c r="H253" s="73"/>
      <c r="I253" s="73"/>
      <c r="J253" s="78" t="str">
        <f t="shared" si="7"/>
        <v/>
      </c>
      <c r="K253" s="69"/>
    </row>
    <row r="254" spans="1:11" x14ac:dyDescent="0.3">
      <c r="A254" s="76"/>
      <c r="B254" s="69"/>
      <c r="C254" s="69"/>
      <c r="D254" s="73"/>
      <c r="E254" s="73"/>
      <c r="F254" s="78" t="str">
        <f t="shared" si="6"/>
        <v/>
      </c>
      <c r="G254" s="69"/>
      <c r="H254" s="73"/>
      <c r="I254" s="73"/>
      <c r="J254" s="78" t="str">
        <f t="shared" si="7"/>
        <v/>
      </c>
      <c r="K254" s="69"/>
    </row>
    <row r="255" spans="1:11" x14ac:dyDescent="0.3">
      <c r="A255" s="76"/>
      <c r="B255" s="69"/>
      <c r="C255" s="69"/>
      <c r="D255" s="73"/>
      <c r="E255" s="73"/>
      <c r="F255" s="78" t="str">
        <f t="shared" si="6"/>
        <v/>
      </c>
      <c r="G255" s="69"/>
      <c r="H255" s="73"/>
      <c r="I255" s="73"/>
      <c r="J255" s="78" t="str">
        <f t="shared" si="7"/>
        <v/>
      </c>
      <c r="K255" s="69"/>
    </row>
    <row r="256" spans="1:11" x14ac:dyDescent="0.3">
      <c r="A256" s="76"/>
      <c r="B256" s="69"/>
      <c r="C256" s="69"/>
      <c r="D256" s="73"/>
      <c r="E256" s="73"/>
      <c r="F256" s="78" t="str">
        <f t="shared" si="6"/>
        <v/>
      </c>
      <c r="G256" s="69"/>
      <c r="H256" s="73"/>
      <c r="I256" s="73"/>
      <c r="J256" s="78" t="str">
        <f t="shared" si="7"/>
        <v/>
      </c>
      <c r="K256" s="69"/>
    </row>
    <row r="257" spans="1:11" x14ac:dyDescent="0.3">
      <c r="A257" s="76"/>
      <c r="B257" s="69"/>
      <c r="C257" s="69"/>
      <c r="D257" s="73"/>
      <c r="E257" s="73"/>
      <c r="F257" s="78" t="str">
        <f t="shared" si="6"/>
        <v/>
      </c>
      <c r="G257" s="69"/>
      <c r="H257" s="73"/>
      <c r="I257" s="73"/>
      <c r="J257" s="78" t="str">
        <f t="shared" si="7"/>
        <v/>
      </c>
      <c r="K257" s="69"/>
    </row>
    <row r="258" spans="1:11" x14ac:dyDescent="0.3">
      <c r="A258" s="76"/>
      <c r="B258" s="69"/>
      <c r="C258" s="69"/>
      <c r="D258" s="73"/>
      <c r="E258" s="73"/>
      <c r="F258" s="78" t="str">
        <f t="shared" si="6"/>
        <v/>
      </c>
      <c r="G258" s="69"/>
      <c r="H258" s="73"/>
      <c r="I258" s="73"/>
      <c r="J258" s="78" t="str">
        <f t="shared" si="7"/>
        <v/>
      </c>
      <c r="K258" s="69"/>
    </row>
    <row r="259" spans="1:11" x14ac:dyDescent="0.3">
      <c r="A259" s="76"/>
      <c r="B259" s="69"/>
      <c r="C259" s="69"/>
      <c r="D259" s="73"/>
      <c r="E259" s="73"/>
      <c r="F259" s="78" t="str">
        <f t="shared" si="6"/>
        <v/>
      </c>
      <c r="G259" s="69"/>
      <c r="H259" s="73"/>
      <c r="I259" s="73"/>
      <c r="J259" s="78" t="str">
        <f t="shared" si="7"/>
        <v/>
      </c>
      <c r="K259" s="69"/>
    </row>
    <row r="260" spans="1:11" x14ac:dyDescent="0.3">
      <c r="A260" s="76"/>
      <c r="B260" s="69"/>
      <c r="C260" s="69"/>
      <c r="D260" s="73"/>
      <c r="E260" s="73"/>
      <c r="F260" s="78" t="str">
        <f t="shared" si="6"/>
        <v/>
      </c>
      <c r="G260" s="69"/>
      <c r="H260" s="73"/>
      <c r="I260" s="73"/>
      <c r="J260" s="78" t="str">
        <f t="shared" si="7"/>
        <v/>
      </c>
      <c r="K260" s="69"/>
    </row>
    <row r="261" spans="1:11" x14ac:dyDescent="0.3">
      <c r="A261" s="76"/>
      <c r="B261" s="69"/>
      <c r="C261" s="69"/>
      <c r="D261" s="73"/>
      <c r="E261" s="73"/>
      <c r="F261" s="78" t="str">
        <f t="shared" ref="F261:F324" si="8">IF(OR(D261="",D261=0,E261=""),"",E261/D261)</f>
        <v/>
      </c>
      <c r="G261" s="69"/>
      <c r="H261" s="73"/>
      <c r="I261" s="73"/>
      <c r="J261" s="78" t="str">
        <f t="shared" ref="J261:J324" si="9">IF(OR(H261="",H261=0,I261=""),"",I261/H261)</f>
        <v/>
      </c>
      <c r="K261" s="69"/>
    </row>
    <row r="262" spans="1:11" x14ac:dyDescent="0.3">
      <c r="A262" s="76"/>
      <c r="B262" s="69"/>
      <c r="C262" s="69"/>
      <c r="D262" s="73"/>
      <c r="E262" s="73"/>
      <c r="F262" s="78" t="str">
        <f t="shared" si="8"/>
        <v/>
      </c>
      <c r="G262" s="69"/>
      <c r="H262" s="73"/>
      <c r="I262" s="73"/>
      <c r="J262" s="78" t="str">
        <f t="shared" si="9"/>
        <v/>
      </c>
      <c r="K262" s="69"/>
    </row>
    <row r="263" spans="1:11" x14ac:dyDescent="0.3">
      <c r="A263" s="76"/>
      <c r="B263" s="69"/>
      <c r="C263" s="69"/>
      <c r="D263" s="73"/>
      <c r="E263" s="73"/>
      <c r="F263" s="78" t="str">
        <f t="shared" si="8"/>
        <v/>
      </c>
      <c r="G263" s="69"/>
      <c r="H263" s="73"/>
      <c r="I263" s="73"/>
      <c r="J263" s="78" t="str">
        <f t="shared" si="9"/>
        <v/>
      </c>
      <c r="K263" s="69"/>
    </row>
    <row r="264" spans="1:11" x14ac:dyDescent="0.3">
      <c r="A264" s="76"/>
      <c r="B264" s="69"/>
      <c r="C264" s="69"/>
      <c r="D264" s="73"/>
      <c r="E264" s="73"/>
      <c r="F264" s="78" t="str">
        <f t="shared" si="8"/>
        <v/>
      </c>
      <c r="G264" s="69"/>
      <c r="H264" s="73"/>
      <c r="I264" s="73"/>
      <c r="J264" s="78" t="str">
        <f t="shared" si="9"/>
        <v/>
      </c>
      <c r="K264" s="69"/>
    </row>
    <row r="265" spans="1:11" x14ac:dyDescent="0.3">
      <c r="A265" s="76"/>
      <c r="B265" s="69"/>
      <c r="C265" s="69"/>
      <c r="D265" s="73"/>
      <c r="E265" s="73"/>
      <c r="F265" s="78" t="str">
        <f t="shared" si="8"/>
        <v/>
      </c>
      <c r="G265" s="69"/>
      <c r="H265" s="73"/>
      <c r="I265" s="73"/>
      <c r="J265" s="78" t="str">
        <f t="shared" si="9"/>
        <v/>
      </c>
      <c r="K265" s="69"/>
    </row>
    <row r="266" spans="1:11" x14ac:dyDescent="0.3">
      <c r="A266" s="76"/>
      <c r="B266" s="69"/>
      <c r="C266" s="69"/>
      <c r="D266" s="73"/>
      <c r="E266" s="73"/>
      <c r="F266" s="78" t="str">
        <f t="shared" si="8"/>
        <v/>
      </c>
      <c r="G266" s="69"/>
      <c r="H266" s="73"/>
      <c r="I266" s="73"/>
      <c r="J266" s="78" t="str">
        <f t="shared" si="9"/>
        <v/>
      </c>
      <c r="K266" s="69"/>
    </row>
    <row r="267" spans="1:11" x14ac:dyDescent="0.3">
      <c r="A267" s="76"/>
      <c r="B267" s="69"/>
      <c r="C267" s="69"/>
      <c r="D267" s="73"/>
      <c r="E267" s="73"/>
      <c r="F267" s="78" t="str">
        <f t="shared" si="8"/>
        <v/>
      </c>
      <c r="G267" s="69"/>
      <c r="H267" s="73"/>
      <c r="I267" s="73"/>
      <c r="J267" s="78" t="str">
        <f t="shared" si="9"/>
        <v/>
      </c>
      <c r="K267" s="69"/>
    </row>
    <row r="268" spans="1:11" x14ac:dyDescent="0.3">
      <c r="A268" s="76"/>
      <c r="B268" s="69"/>
      <c r="C268" s="69"/>
      <c r="D268" s="73"/>
      <c r="E268" s="73"/>
      <c r="F268" s="78" t="str">
        <f t="shared" si="8"/>
        <v/>
      </c>
      <c r="G268" s="69"/>
      <c r="H268" s="73"/>
      <c r="I268" s="73"/>
      <c r="J268" s="78" t="str">
        <f t="shared" si="9"/>
        <v/>
      </c>
      <c r="K268" s="69"/>
    </row>
    <row r="269" spans="1:11" x14ac:dyDescent="0.3">
      <c r="A269" s="76"/>
      <c r="B269" s="69"/>
      <c r="C269" s="69"/>
      <c r="D269" s="73"/>
      <c r="E269" s="73"/>
      <c r="F269" s="78" t="str">
        <f t="shared" si="8"/>
        <v/>
      </c>
      <c r="G269" s="69"/>
      <c r="H269" s="73"/>
      <c r="I269" s="73"/>
      <c r="J269" s="78" t="str">
        <f t="shared" si="9"/>
        <v/>
      </c>
      <c r="K269" s="69"/>
    </row>
    <row r="270" spans="1:11" x14ac:dyDescent="0.3">
      <c r="A270" s="76"/>
      <c r="B270" s="69"/>
      <c r="C270" s="69"/>
      <c r="D270" s="73"/>
      <c r="E270" s="73"/>
      <c r="F270" s="78" t="str">
        <f t="shared" si="8"/>
        <v/>
      </c>
      <c r="G270" s="69"/>
      <c r="H270" s="73"/>
      <c r="I270" s="73"/>
      <c r="J270" s="78" t="str">
        <f t="shared" si="9"/>
        <v/>
      </c>
      <c r="K270" s="69"/>
    </row>
    <row r="271" spans="1:11" x14ac:dyDescent="0.3">
      <c r="A271" s="76"/>
      <c r="B271" s="69"/>
      <c r="C271" s="69"/>
      <c r="D271" s="73"/>
      <c r="E271" s="73"/>
      <c r="F271" s="78" t="str">
        <f t="shared" si="8"/>
        <v/>
      </c>
      <c r="G271" s="69"/>
      <c r="H271" s="73"/>
      <c r="I271" s="73"/>
      <c r="J271" s="78" t="str">
        <f t="shared" si="9"/>
        <v/>
      </c>
      <c r="K271" s="69"/>
    </row>
    <row r="272" spans="1:11" x14ac:dyDescent="0.3">
      <c r="A272" s="76"/>
      <c r="B272" s="69"/>
      <c r="C272" s="69"/>
      <c r="D272" s="73"/>
      <c r="E272" s="73"/>
      <c r="F272" s="78" t="str">
        <f t="shared" si="8"/>
        <v/>
      </c>
      <c r="G272" s="69"/>
      <c r="H272" s="73"/>
      <c r="I272" s="73"/>
      <c r="J272" s="78" t="str">
        <f t="shared" si="9"/>
        <v/>
      </c>
      <c r="K272" s="69"/>
    </row>
    <row r="273" spans="1:11" x14ac:dyDescent="0.3">
      <c r="A273" s="76"/>
      <c r="B273" s="69"/>
      <c r="C273" s="69"/>
      <c r="D273" s="73"/>
      <c r="E273" s="73"/>
      <c r="F273" s="78" t="str">
        <f t="shared" si="8"/>
        <v/>
      </c>
      <c r="G273" s="69"/>
      <c r="H273" s="73"/>
      <c r="I273" s="73"/>
      <c r="J273" s="78" t="str">
        <f t="shared" si="9"/>
        <v/>
      </c>
      <c r="K273" s="69"/>
    </row>
    <row r="274" spans="1:11" x14ac:dyDescent="0.3">
      <c r="A274" s="76"/>
      <c r="B274" s="69"/>
      <c r="C274" s="69"/>
      <c r="D274" s="73"/>
      <c r="E274" s="73"/>
      <c r="F274" s="78" t="str">
        <f t="shared" si="8"/>
        <v/>
      </c>
      <c r="G274" s="69"/>
      <c r="H274" s="73"/>
      <c r="I274" s="73"/>
      <c r="J274" s="78" t="str">
        <f t="shared" si="9"/>
        <v/>
      </c>
      <c r="K274" s="69"/>
    </row>
    <row r="275" spans="1:11" x14ac:dyDescent="0.3">
      <c r="A275" s="76"/>
      <c r="B275" s="69"/>
      <c r="C275" s="69"/>
      <c r="D275" s="73"/>
      <c r="E275" s="73"/>
      <c r="F275" s="78" t="str">
        <f t="shared" si="8"/>
        <v/>
      </c>
      <c r="G275" s="69"/>
      <c r="H275" s="73"/>
      <c r="I275" s="73"/>
      <c r="J275" s="78" t="str">
        <f t="shared" si="9"/>
        <v/>
      </c>
      <c r="K275" s="69"/>
    </row>
    <row r="276" spans="1:11" x14ac:dyDescent="0.3">
      <c r="A276" s="76"/>
      <c r="B276" s="69"/>
      <c r="C276" s="69"/>
      <c r="D276" s="73"/>
      <c r="E276" s="73"/>
      <c r="F276" s="78" t="str">
        <f t="shared" si="8"/>
        <v/>
      </c>
      <c r="G276" s="69"/>
      <c r="H276" s="73"/>
      <c r="I276" s="73"/>
      <c r="J276" s="78" t="str">
        <f t="shared" si="9"/>
        <v/>
      </c>
      <c r="K276" s="69"/>
    </row>
    <row r="277" spans="1:11" x14ac:dyDescent="0.3">
      <c r="A277" s="76"/>
      <c r="B277" s="69"/>
      <c r="C277" s="69"/>
      <c r="D277" s="73"/>
      <c r="E277" s="73"/>
      <c r="F277" s="78" t="str">
        <f t="shared" si="8"/>
        <v/>
      </c>
      <c r="G277" s="69"/>
      <c r="H277" s="73"/>
      <c r="I277" s="73"/>
      <c r="J277" s="78" t="str">
        <f t="shared" si="9"/>
        <v/>
      </c>
      <c r="K277" s="69"/>
    </row>
    <row r="278" spans="1:11" x14ac:dyDescent="0.3">
      <c r="A278" s="76"/>
      <c r="B278" s="69"/>
      <c r="C278" s="69"/>
      <c r="D278" s="73"/>
      <c r="E278" s="73"/>
      <c r="F278" s="78" t="str">
        <f t="shared" si="8"/>
        <v/>
      </c>
      <c r="G278" s="69"/>
      <c r="H278" s="73"/>
      <c r="I278" s="73"/>
      <c r="J278" s="78" t="str">
        <f t="shared" si="9"/>
        <v/>
      </c>
      <c r="K278" s="69"/>
    </row>
    <row r="279" spans="1:11" x14ac:dyDescent="0.3">
      <c r="A279" s="76"/>
      <c r="B279" s="69"/>
      <c r="C279" s="69"/>
      <c r="D279" s="73"/>
      <c r="E279" s="73"/>
      <c r="F279" s="78" t="str">
        <f t="shared" si="8"/>
        <v/>
      </c>
      <c r="G279" s="69"/>
      <c r="H279" s="73"/>
      <c r="I279" s="73"/>
      <c r="J279" s="78" t="str">
        <f t="shared" si="9"/>
        <v/>
      </c>
      <c r="K279" s="69"/>
    </row>
    <row r="280" spans="1:11" x14ac:dyDescent="0.3">
      <c r="A280" s="76"/>
      <c r="B280" s="69"/>
      <c r="C280" s="69"/>
      <c r="D280" s="73"/>
      <c r="E280" s="73"/>
      <c r="F280" s="78" t="str">
        <f t="shared" si="8"/>
        <v/>
      </c>
      <c r="G280" s="69"/>
      <c r="H280" s="73"/>
      <c r="I280" s="73"/>
      <c r="J280" s="78" t="str">
        <f t="shared" si="9"/>
        <v/>
      </c>
      <c r="K280" s="69"/>
    </row>
    <row r="281" spans="1:11" x14ac:dyDescent="0.3">
      <c r="A281" s="76"/>
      <c r="B281" s="69"/>
      <c r="C281" s="69"/>
      <c r="D281" s="73"/>
      <c r="E281" s="73"/>
      <c r="F281" s="78" t="str">
        <f t="shared" si="8"/>
        <v/>
      </c>
      <c r="G281" s="69"/>
      <c r="H281" s="73"/>
      <c r="I281" s="73"/>
      <c r="J281" s="78" t="str">
        <f t="shared" si="9"/>
        <v/>
      </c>
      <c r="K281" s="69"/>
    </row>
    <row r="282" spans="1:11" x14ac:dyDescent="0.3">
      <c r="A282" s="76"/>
      <c r="B282" s="69"/>
      <c r="C282" s="69"/>
      <c r="D282" s="73"/>
      <c r="E282" s="73"/>
      <c r="F282" s="78" t="str">
        <f t="shared" si="8"/>
        <v/>
      </c>
      <c r="G282" s="69"/>
      <c r="H282" s="73"/>
      <c r="I282" s="73"/>
      <c r="J282" s="78" t="str">
        <f t="shared" si="9"/>
        <v/>
      </c>
      <c r="K282" s="69"/>
    </row>
    <row r="283" spans="1:11" x14ac:dyDescent="0.3">
      <c r="A283" s="76"/>
      <c r="B283" s="69"/>
      <c r="C283" s="69"/>
      <c r="D283" s="73"/>
      <c r="E283" s="73"/>
      <c r="F283" s="78" t="str">
        <f t="shared" si="8"/>
        <v/>
      </c>
      <c r="G283" s="69"/>
      <c r="H283" s="73"/>
      <c r="I283" s="73"/>
      <c r="J283" s="78" t="str">
        <f t="shared" si="9"/>
        <v/>
      </c>
      <c r="K283" s="69"/>
    </row>
    <row r="284" spans="1:11" x14ac:dyDescent="0.3">
      <c r="A284" s="76"/>
      <c r="B284" s="69"/>
      <c r="C284" s="69"/>
      <c r="D284" s="73"/>
      <c r="E284" s="73"/>
      <c r="F284" s="78" t="str">
        <f t="shared" si="8"/>
        <v/>
      </c>
      <c r="G284" s="69"/>
      <c r="H284" s="73"/>
      <c r="I284" s="73"/>
      <c r="J284" s="78" t="str">
        <f t="shared" si="9"/>
        <v/>
      </c>
      <c r="K284" s="69"/>
    </row>
    <row r="285" spans="1:11" x14ac:dyDescent="0.3">
      <c r="A285" s="76"/>
      <c r="B285" s="69"/>
      <c r="C285" s="69"/>
      <c r="D285" s="73"/>
      <c r="E285" s="73"/>
      <c r="F285" s="78" t="str">
        <f t="shared" si="8"/>
        <v/>
      </c>
      <c r="G285" s="69"/>
      <c r="H285" s="73"/>
      <c r="I285" s="73"/>
      <c r="J285" s="78" t="str">
        <f t="shared" si="9"/>
        <v/>
      </c>
      <c r="K285" s="69"/>
    </row>
    <row r="286" spans="1:11" x14ac:dyDescent="0.3">
      <c r="A286" s="76"/>
      <c r="B286" s="69"/>
      <c r="C286" s="69"/>
      <c r="D286" s="73"/>
      <c r="E286" s="73"/>
      <c r="F286" s="78" t="str">
        <f t="shared" si="8"/>
        <v/>
      </c>
      <c r="G286" s="69"/>
      <c r="H286" s="73"/>
      <c r="I286" s="73"/>
      <c r="J286" s="78" t="str">
        <f t="shared" si="9"/>
        <v/>
      </c>
      <c r="K286" s="69"/>
    </row>
    <row r="287" spans="1:11" x14ac:dyDescent="0.3">
      <c r="A287" s="76"/>
      <c r="B287" s="69"/>
      <c r="C287" s="69"/>
      <c r="D287" s="73"/>
      <c r="E287" s="73"/>
      <c r="F287" s="78" t="str">
        <f t="shared" si="8"/>
        <v/>
      </c>
      <c r="G287" s="69"/>
      <c r="H287" s="73"/>
      <c r="I287" s="73"/>
      <c r="J287" s="78" t="str">
        <f t="shared" si="9"/>
        <v/>
      </c>
      <c r="K287" s="69"/>
    </row>
    <row r="288" spans="1:11" x14ac:dyDescent="0.3">
      <c r="A288" s="76"/>
      <c r="B288" s="69"/>
      <c r="C288" s="69"/>
      <c r="D288" s="73"/>
      <c r="E288" s="73"/>
      <c r="F288" s="78" t="str">
        <f t="shared" si="8"/>
        <v/>
      </c>
      <c r="G288" s="69"/>
      <c r="H288" s="73"/>
      <c r="I288" s="73"/>
      <c r="J288" s="78" t="str">
        <f t="shared" si="9"/>
        <v/>
      </c>
      <c r="K288" s="69"/>
    </row>
    <row r="289" spans="1:11" x14ac:dyDescent="0.3">
      <c r="A289" s="76"/>
      <c r="B289" s="69"/>
      <c r="C289" s="69"/>
      <c r="D289" s="73"/>
      <c r="E289" s="73"/>
      <c r="F289" s="78" t="str">
        <f t="shared" si="8"/>
        <v/>
      </c>
      <c r="G289" s="69"/>
      <c r="H289" s="73"/>
      <c r="I289" s="73"/>
      <c r="J289" s="78" t="str">
        <f t="shared" si="9"/>
        <v/>
      </c>
      <c r="K289" s="69"/>
    </row>
    <row r="290" spans="1:11" x14ac:dyDescent="0.3">
      <c r="A290" s="76"/>
      <c r="B290" s="69"/>
      <c r="C290" s="69"/>
      <c r="D290" s="73"/>
      <c r="E290" s="73"/>
      <c r="F290" s="78" t="str">
        <f t="shared" si="8"/>
        <v/>
      </c>
      <c r="G290" s="69"/>
      <c r="H290" s="73"/>
      <c r="I290" s="73"/>
      <c r="J290" s="78" t="str">
        <f t="shared" si="9"/>
        <v/>
      </c>
      <c r="K290" s="69"/>
    </row>
    <row r="291" spans="1:11" x14ac:dyDescent="0.3">
      <c r="A291" s="76"/>
      <c r="B291" s="69"/>
      <c r="C291" s="69"/>
      <c r="D291" s="73"/>
      <c r="E291" s="73"/>
      <c r="F291" s="78" t="str">
        <f t="shared" si="8"/>
        <v/>
      </c>
      <c r="G291" s="69"/>
      <c r="H291" s="73"/>
      <c r="I291" s="73"/>
      <c r="J291" s="78" t="str">
        <f t="shared" si="9"/>
        <v/>
      </c>
      <c r="K291" s="69"/>
    </row>
    <row r="292" spans="1:11" x14ac:dyDescent="0.3">
      <c r="A292" s="76"/>
      <c r="B292" s="69"/>
      <c r="C292" s="69"/>
      <c r="D292" s="73"/>
      <c r="E292" s="73"/>
      <c r="F292" s="78" t="str">
        <f t="shared" si="8"/>
        <v/>
      </c>
      <c r="G292" s="69"/>
      <c r="H292" s="73"/>
      <c r="I292" s="73"/>
      <c r="J292" s="78" t="str">
        <f t="shared" si="9"/>
        <v/>
      </c>
      <c r="K292" s="69"/>
    </row>
    <row r="293" spans="1:11" x14ac:dyDescent="0.3">
      <c r="A293" s="76"/>
      <c r="B293" s="69"/>
      <c r="C293" s="69"/>
      <c r="D293" s="73"/>
      <c r="E293" s="73"/>
      <c r="F293" s="78" t="str">
        <f t="shared" si="8"/>
        <v/>
      </c>
      <c r="G293" s="69"/>
      <c r="H293" s="73"/>
      <c r="I293" s="73"/>
      <c r="J293" s="78" t="str">
        <f t="shared" si="9"/>
        <v/>
      </c>
      <c r="K293" s="69"/>
    </row>
    <row r="294" spans="1:11" x14ac:dyDescent="0.3">
      <c r="A294" s="76"/>
      <c r="B294" s="69"/>
      <c r="C294" s="69"/>
      <c r="D294" s="73"/>
      <c r="E294" s="73"/>
      <c r="F294" s="78" t="str">
        <f t="shared" si="8"/>
        <v/>
      </c>
      <c r="G294" s="69"/>
      <c r="H294" s="73"/>
      <c r="I294" s="73"/>
      <c r="J294" s="78" t="str">
        <f t="shared" si="9"/>
        <v/>
      </c>
      <c r="K294" s="69"/>
    </row>
    <row r="295" spans="1:11" x14ac:dyDescent="0.3">
      <c r="A295" s="76"/>
      <c r="B295" s="69"/>
      <c r="C295" s="69"/>
      <c r="D295" s="73"/>
      <c r="E295" s="73"/>
      <c r="F295" s="78" t="str">
        <f t="shared" si="8"/>
        <v/>
      </c>
      <c r="G295" s="69"/>
      <c r="H295" s="73"/>
      <c r="I295" s="73"/>
      <c r="J295" s="78" t="str">
        <f t="shared" si="9"/>
        <v/>
      </c>
      <c r="K295" s="69"/>
    </row>
    <row r="296" spans="1:11" x14ac:dyDescent="0.3">
      <c r="A296" s="76"/>
      <c r="B296" s="69"/>
      <c r="C296" s="69"/>
      <c r="D296" s="73"/>
      <c r="E296" s="73"/>
      <c r="F296" s="78" t="str">
        <f t="shared" si="8"/>
        <v/>
      </c>
      <c r="G296" s="69"/>
      <c r="H296" s="73"/>
      <c r="I296" s="73"/>
      <c r="J296" s="78" t="str">
        <f t="shared" si="9"/>
        <v/>
      </c>
      <c r="K296" s="69"/>
    </row>
    <row r="297" spans="1:11" x14ac:dyDescent="0.3">
      <c r="A297" s="76"/>
      <c r="B297" s="69"/>
      <c r="C297" s="69"/>
      <c r="D297" s="73"/>
      <c r="E297" s="73"/>
      <c r="F297" s="78" t="str">
        <f t="shared" si="8"/>
        <v/>
      </c>
      <c r="G297" s="69"/>
      <c r="H297" s="73"/>
      <c r="I297" s="73"/>
      <c r="J297" s="78" t="str">
        <f t="shared" si="9"/>
        <v/>
      </c>
      <c r="K297" s="69"/>
    </row>
    <row r="298" spans="1:11" x14ac:dyDescent="0.3">
      <c r="A298" s="76"/>
      <c r="B298" s="69"/>
      <c r="C298" s="69"/>
      <c r="D298" s="73"/>
      <c r="E298" s="73"/>
      <c r="F298" s="78" t="str">
        <f t="shared" si="8"/>
        <v/>
      </c>
      <c r="G298" s="69"/>
      <c r="H298" s="73"/>
      <c r="I298" s="73"/>
      <c r="J298" s="78" t="str">
        <f t="shared" si="9"/>
        <v/>
      </c>
      <c r="K298" s="69"/>
    </row>
    <row r="299" spans="1:11" x14ac:dyDescent="0.3">
      <c r="A299" s="76"/>
      <c r="B299" s="69"/>
      <c r="C299" s="69"/>
      <c r="D299" s="73"/>
      <c r="E299" s="73"/>
      <c r="F299" s="78" t="str">
        <f t="shared" si="8"/>
        <v/>
      </c>
      <c r="G299" s="69"/>
      <c r="H299" s="73"/>
      <c r="I299" s="73"/>
      <c r="J299" s="78" t="str">
        <f t="shared" si="9"/>
        <v/>
      </c>
      <c r="K299" s="69"/>
    </row>
    <row r="300" spans="1:11" x14ac:dyDescent="0.3">
      <c r="A300" s="76"/>
      <c r="B300" s="69"/>
      <c r="C300" s="69"/>
      <c r="D300" s="73"/>
      <c r="E300" s="73"/>
      <c r="F300" s="78" t="str">
        <f t="shared" si="8"/>
        <v/>
      </c>
      <c r="G300" s="69"/>
      <c r="H300" s="73"/>
      <c r="I300" s="73"/>
      <c r="J300" s="78" t="str">
        <f t="shared" si="9"/>
        <v/>
      </c>
      <c r="K300" s="69"/>
    </row>
    <row r="301" spans="1:11" x14ac:dyDescent="0.3">
      <c r="A301" s="76"/>
      <c r="B301" s="69"/>
      <c r="C301" s="69"/>
      <c r="D301" s="73"/>
      <c r="E301" s="73"/>
      <c r="F301" s="78" t="str">
        <f t="shared" si="8"/>
        <v/>
      </c>
      <c r="G301" s="69"/>
      <c r="H301" s="73"/>
      <c r="I301" s="73"/>
      <c r="J301" s="78" t="str">
        <f t="shared" si="9"/>
        <v/>
      </c>
      <c r="K301" s="69"/>
    </row>
    <row r="302" spans="1:11" x14ac:dyDescent="0.3">
      <c r="A302" s="76"/>
      <c r="B302" s="69"/>
      <c r="C302" s="69"/>
      <c r="D302" s="73"/>
      <c r="E302" s="73"/>
      <c r="F302" s="78" t="str">
        <f t="shared" si="8"/>
        <v/>
      </c>
      <c r="G302" s="69"/>
      <c r="H302" s="73"/>
      <c r="I302" s="73"/>
      <c r="J302" s="78" t="str">
        <f t="shared" si="9"/>
        <v/>
      </c>
      <c r="K302" s="69"/>
    </row>
    <row r="303" spans="1:11" x14ac:dyDescent="0.3">
      <c r="A303" s="76"/>
      <c r="B303" s="69"/>
      <c r="C303" s="69"/>
      <c r="D303" s="73"/>
      <c r="E303" s="73"/>
      <c r="F303" s="78" t="str">
        <f t="shared" si="8"/>
        <v/>
      </c>
      <c r="G303" s="69"/>
      <c r="H303" s="73"/>
      <c r="I303" s="73"/>
      <c r="J303" s="78" t="str">
        <f t="shared" si="9"/>
        <v/>
      </c>
      <c r="K303" s="69"/>
    </row>
    <row r="304" spans="1:11" x14ac:dyDescent="0.3">
      <c r="A304" s="76"/>
      <c r="B304" s="69"/>
      <c r="C304" s="69"/>
      <c r="D304" s="73"/>
      <c r="E304" s="73"/>
      <c r="F304" s="78" t="str">
        <f t="shared" si="8"/>
        <v/>
      </c>
      <c r="G304" s="69"/>
      <c r="H304" s="73"/>
      <c r="I304" s="73"/>
      <c r="J304" s="78" t="str">
        <f t="shared" si="9"/>
        <v/>
      </c>
      <c r="K304" s="69"/>
    </row>
    <row r="305" spans="1:11" x14ac:dyDescent="0.3">
      <c r="A305" s="76"/>
      <c r="B305" s="69"/>
      <c r="C305" s="69"/>
      <c r="D305" s="73"/>
      <c r="E305" s="73"/>
      <c r="F305" s="78" t="str">
        <f t="shared" si="8"/>
        <v/>
      </c>
      <c r="G305" s="69"/>
      <c r="H305" s="73"/>
      <c r="I305" s="73"/>
      <c r="J305" s="78" t="str">
        <f t="shared" si="9"/>
        <v/>
      </c>
      <c r="K305" s="69"/>
    </row>
    <row r="306" spans="1:11" x14ac:dyDescent="0.3">
      <c r="A306" s="76"/>
      <c r="B306" s="69"/>
      <c r="C306" s="69"/>
      <c r="D306" s="73"/>
      <c r="E306" s="73"/>
      <c r="F306" s="78" t="str">
        <f t="shared" si="8"/>
        <v/>
      </c>
      <c r="G306" s="69"/>
      <c r="H306" s="73"/>
      <c r="I306" s="73"/>
      <c r="J306" s="78" t="str">
        <f t="shared" si="9"/>
        <v/>
      </c>
      <c r="K306" s="69"/>
    </row>
    <row r="307" spans="1:11" x14ac:dyDescent="0.3">
      <c r="A307" s="76"/>
      <c r="B307" s="69"/>
      <c r="C307" s="69"/>
      <c r="D307" s="73"/>
      <c r="E307" s="73"/>
      <c r="F307" s="78" t="str">
        <f t="shared" si="8"/>
        <v/>
      </c>
      <c r="G307" s="69"/>
      <c r="H307" s="73"/>
      <c r="I307" s="73"/>
      <c r="J307" s="78" t="str">
        <f t="shared" si="9"/>
        <v/>
      </c>
      <c r="K307" s="69"/>
    </row>
    <row r="308" spans="1:11" x14ac:dyDescent="0.3">
      <c r="A308" s="76"/>
      <c r="B308" s="69"/>
      <c r="C308" s="69"/>
      <c r="D308" s="73"/>
      <c r="E308" s="73"/>
      <c r="F308" s="78" t="str">
        <f t="shared" si="8"/>
        <v/>
      </c>
      <c r="G308" s="69"/>
      <c r="H308" s="73"/>
      <c r="I308" s="73"/>
      <c r="J308" s="78" t="str">
        <f t="shared" si="9"/>
        <v/>
      </c>
      <c r="K308" s="69"/>
    </row>
    <row r="309" spans="1:11" x14ac:dyDescent="0.3">
      <c r="A309" s="76"/>
      <c r="B309" s="69"/>
      <c r="C309" s="69"/>
      <c r="D309" s="73"/>
      <c r="E309" s="73"/>
      <c r="F309" s="78" t="str">
        <f t="shared" si="8"/>
        <v/>
      </c>
      <c r="G309" s="69"/>
      <c r="H309" s="73"/>
      <c r="I309" s="73"/>
      <c r="J309" s="78" t="str">
        <f t="shared" si="9"/>
        <v/>
      </c>
      <c r="K309" s="69"/>
    </row>
    <row r="310" spans="1:11" x14ac:dyDescent="0.3">
      <c r="A310" s="76"/>
      <c r="B310" s="69"/>
      <c r="C310" s="69"/>
      <c r="D310" s="73"/>
      <c r="E310" s="73"/>
      <c r="F310" s="78" t="str">
        <f t="shared" si="8"/>
        <v/>
      </c>
      <c r="G310" s="69"/>
      <c r="H310" s="73"/>
      <c r="I310" s="73"/>
      <c r="J310" s="78" t="str">
        <f t="shared" si="9"/>
        <v/>
      </c>
      <c r="K310" s="69"/>
    </row>
    <row r="311" spans="1:11" x14ac:dyDescent="0.3">
      <c r="A311" s="76"/>
      <c r="B311" s="69"/>
      <c r="C311" s="69"/>
      <c r="D311" s="73"/>
      <c r="E311" s="73"/>
      <c r="F311" s="78" t="str">
        <f t="shared" si="8"/>
        <v/>
      </c>
      <c r="G311" s="69"/>
      <c r="H311" s="73"/>
      <c r="I311" s="73"/>
      <c r="J311" s="78" t="str">
        <f t="shared" si="9"/>
        <v/>
      </c>
      <c r="K311" s="69"/>
    </row>
    <row r="312" spans="1:11" x14ac:dyDescent="0.3">
      <c r="A312" s="76"/>
      <c r="B312" s="69"/>
      <c r="C312" s="69"/>
      <c r="D312" s="73"/>
      <c r="E312" s="73"/>
      <c r="F312" s="78" t="str">
        <f t="shared" si="8"/>
        <v/>
      </c>
      <c r="G312" s="69"/>
      <c r="H312" s="73"/>
      <c r="I312" s="73"/>
      <c r="J312" s="78" t="str">
        <f t="shared" si="9"/>
        <v/>
      </c>
      <c r="K312" s="69"/>
    </row>
    <row r="313" spans="1:11" x14ac:dyDescent="0.3">
      <c r="A313" s="76"/>
      <c r="B313" s="69"/>
      <c r="C313" s="69"/>
      <c r="D313" s="73"/>
      <c r="E313" s="73"/>
      <c r="F313" s="78" t="str">
        <f t="shared" si="8"/>
        <v/>
      </c>
      <c r="G313" s="69"/>
      <c r="H313" s="73"/>
      <c r="I313" s="73"/>
      <c r="J313" s="78" t="str">
        <f t="shared" si="9"/>
        <v/>
      </c>
      <c r="K313" s="69"/>
    </row>
    <row r="314" spans="1:11" x14ac:dyDescent="0.3">
      <c r="A314" s="76"/>
      <c r="B314" s="69"/>
      <c r="C314" s="69"/>
      <c r="D314" s="73"/>
      <c r="E314" s="73"/>
      <c r="F314" s="78" t="str">
        <f t="shared" si="8"/>
        <v/>
      </c>
      <c r="G314" s="69"/>
      <c r="H314" s="73"/>
      <c r="I314" s="73"/>
      <c r="J314" s="78" t="str">
        <f t="shared" si="9"/>
        <v/>
      </c>
      <c r="K314" s="69"/>
    </row>
    <row r="315" spans="1:11" x14ac:dyDescent="0.3">
      <c r="A315" s="76"/>
      <c r="B315" s="69"/>
      <c r="C315" s="69"/>
      <c r="D315" s="73"/>
      <c r="E315" s="73"/>
      <c r="F315" s="78" t="str">
        <f t="shared" si="8"/>
        <v/>
      </c>
      <c r="G315" s="69"/>
      <c r="H315" s="73"/>
      <c r="I315" s="73"/>
      <c r="J315" s="78" t="str">
        <f t="shared" si="9"/>
        <v/>
      </c>
      <c r="K315" s="69"/>
    </row>
    <row r="316" spans="1:11" x14ac:dyDescent="0.3">
      <c r="A316" s="76"/>
      <c r="B316" s="69"/>
      <c r="C316" s="69"/>
      <c r="D316" s="73"/>
      <c r="E316" s="73"/>
      <c r="F316" s="78" t="str">
        <f t="shared" si="8"/>
        <v/>
      </c>
      <c r="G316" s="69"/>
      <c r="H316" s="73"/>
      <c r="I316" s="73"/>
      <c r="J316" s="78" t="str">
        <f t="shared" si="9"/>
        <v/>
      </c>
      <c r="K316" s="69"/>
    </row>
    <row r="317" spans="1:11" x14ac:dyDescent="0.3">
      <c r="A317" s="76"/>
      <c r="B317" s="69"/>
      <c r="C317" s="69"/>
      <c r="D317" s="73"/>
      <c r="E317" s="73"/>
      <c r="F317" s="78" t="str">
        <f t="shared" si="8"/>
        <v/>
      </c>
      <c r="G317" s="69"/>
      <c r="H317" s="73"/>
      <c r="I317" s="73"/>
      <c r="J317" s="78" t="str">
        <f t="shared" si="9"/>
        <v/>
      </c>
      <c r="K317" s="69"/>
    </row>
    <row r="318" spans="1:11" x14ac:dyDescent="0.3">
      <c r="A318" s="76"/>
      <c r="B318" s="69"/>
      <c r="C318" s="69"/>
      <c r="D318" s="73"/>
      <c r="E318" s="73"/>
      <c r="F318" s="78" t="str">
        <f t="shared" si="8"/>
        <v/>
      </c>
      <c r="G318" s="69"/>
      <c r="H318" s="73"/>
      <c r="I318" s="73"/>
      <c r="J318" s="78" t="str">
        <f t="shared" si="9"/>
        <v/>
      </c>
      <c r="K318" s="69"/>
    </row>
    <row r="319" spans="1:11" x14ac:dyDescent="0.3">
      <c r="A319" s="76"/>
      <c r="B319" s="69"/>
      <c r="C319" s="69"/>
      <c r="D319" s="73"/>
      <c r="E319" s="73"/>
      <c r="F319" s="78" t="str">
        <f t="shared" si="8"/>
        <v/>
      </c>
      <c r="G319" s="69"/>
      <c r="H319" s="73"/>
      <c r="I319" s="73"/>
      <c r="J319" s="78" t="str">
        <f t="shared" si="9"/>
        <v/>
      </c>
      <c r="K319" s="69"/>
    </row>
    <row r="320" spans="1:11" x14ac:dyDescent="0.3">
      <c r="A320" s="76"/>
      <c r="B320" s="69"/>
      <c r="C320" s="69"/>
      <c r="D320" s="73"/>
      <c r="E320" s="73"/>
      <c r="F320" s="78" t="str">
        <f t="shared" si="8"/>
        <v/>
      </c>
      <c r="G320" s="69"/>
      <c r="H320" s="73"/>
      <c r="I320" s="73"/>
      <c r="J320" s="78" t="str">
        <f t="shared" si="9"/>
        <v/>
      </c>
      <c r="K320" s="69"/>
    </row>
    <row r="321" spans="1:11" x14ac:dyDescent="0.3">
      <c r="A321" s="76"/>
      <c r="B321" s="69"/>
      <c r="C321" s="69"/>
      <c r="D321" s="73"/>
      <c r="E321" s="73"/>
      <c r="F321" s="78" t="str">
        <f t="shared" si="8"/>
        <v/>
      </c>
      <c r="G321" s="69"/>
      <c r="H321" s="73"/>
      <c r="I321" s="73"/>
      <c r="J321" s="78" t="str">
        <f t="shared" si="9"/>
        <v/>
      </c>
      <c r="K321" s="69"/>
    </row>
    <row r="322" spans="1:11" x14ac:dyDescent="0.3">
      <c r="A322" s="76"/>
      <c r="B322" s="69"/>
      <c r="C322" s="69"/>
      <c r="D322" s="73"/>
      <c r="E322" s="73"/>
      <c r="F322" s="78" t="str">
        <f t="shared" si="8"/>
        <v/>
      </c>
      <c r="G322" s="69"/>
      <c r="H322" s="73"/>
      <c r="I322" s="73"/>
      <c r="J322" s="78" t="str">
        <f t="shared" si="9"/>
        <v/>
      </c>
      <c r="K322" s="69"/>
    </row>
    <row r="323" spans="1:11" x14ac:dyDescent="0.3">
      <c r="A323" s="76"/>
      <c r="B323" s="69"/>
      <c r="C323" s="69"/>
      <c r="D323" s="73"/>
      <c r="E323" s="73"/>
      <c r="F323" s="78" t="str">
        <f t="shared" si="8"/>
        <v/>
      </c>
      <c r="G323" s="69"/>
      <c r="H323" s="73"/>
      <c r="I323" s="73"/>
      <c r="J323" s="78" t="str">
        <f t="shared" si="9"/>
        <v/>
      </c>
      <c r="K323" s="69"/>
    </row>
    <row r="324" spans="1:11" x14ac:dyDescent="0.3">
      <c r="A324" s="76"/>
      <c r="B324" s="69"/>
      <c r="C324" s="69"/>
      <c r="D324" s="73"/>
      <c r="E324" s="73"/>
      <c r="F324" s="78" t="str">
        <f t="shared" si="8"/>
        <v/>
      </c>
      <c r="G324" s="69"/>
      <c r="H324" s="73"/>
      <c r="I324" s="73"/>
      <c r="J324" s="78" t="str">
        <f t="shared" si="9"/>
        <v/>
      </c>
      <c r="K324" s="69"/>
    </row>
    <row r="325" spans="1:11" x14ac:dyDescent="0.3">
      <c r="A325" s="76"/>
      <c r="B325" s="69"/>
      <c r="C325" s="69"/>
      <c r="D325" s="73"/>
      <c r="E325" s="73"/>
      <c r="F325" s="78" t="str">
        <f t="shared" ref="F325:F388" si="10">IF(OR(D325="",D325=0,E325=""),"",E325/D325)</f>
        <v/>
      </c>
      <c r="G325" s="69"/>
      <c r="H325" s="73"/>
      <c r="I325" s="73"/>
      <c r="J325" s="78" t="str">
        <f t="shared" ref="J325:J388" si="11">IF(OR(H325="",H325=0,I325=""),"",I325/H325)</f>
        <v/>
      </c>
      <c r="K325" s="69"/>
    </row>
    <row r="326" spans="1:11" x14ac:dyDescent="0.3">
      <c r="A326" s="76"/>
      <c r="B326" s="69"/>
      <c r="C326" s="69"/>
      <c r="D326" s="73"/>
      <c r="E326" s="73"/>
      <c r="F326" s="78" t="str">
        <f t="shared" si="10"/>
        <v/>
      </c>
      <c r="G326" s="69"/>
      <c r="H326" s="73"/>
      <c r="I326" s="73"/>
      <c r="J326" s="78" t="str">
        <f t="shared" si="11"/>
        <v/>
      </c>
      <c r="K326" s="69"/>
    </row>
    <row r="327" spans="1:11" x14ac:dyDescent="0.3">
      <c r="A327" s="76"/>
      <c r="B327" s="69"/>
      <c r="C327" s="69"/>
      <c r="D327" s="73"/>
      <c r="E327" s="73"/>
      <c r="F327" s="78" t="str">
        <f t="shared" si="10"/>
        <v/>
      </c>
      <c r="G327" s="69"/>
      <c r="H327" s="73"/>
      <c r="I327" s="73"/>
      <c r="J327" s="78" t="str">
        <f t="shared" si="11"/>
        <v/>
      </c>
      <c r="K327" s="69"/>
    </row>
    <row r="328" spans="1:11" x14ac:dyDescent="0.3">
      <c r="A328" s="76"/>
      <c r="B328" s="69"/>
      <c r="C328" s="69"/>
      <c r="D328" s="73"/>
      <c r="E328" s="73"/>
      <c r="F328" s="78" t="str">
        <f t="shared" si="10"/>
        <v/>
      </c>
      <c r="G328" s="69"/>
      <c r="H328" s="73"/>
      <c r="I328" s="73"/>
      <c r="J328" s="78" t="str">
        <f t="shared" si="11"/>
        <v/>
      </c>
      <c r="K328" s="69"/>
    </row>
    <row r="329" spans="1:11" x14ac:dyDescent="0.3">
      <c r="A329" s="76"/>
      <c r="B329" s="69"/>
      <c r="C329" s="69"/>
      <c r="D329" s="73"/>
      <c r="E329" s="73"/>
      <c r="F329" s="78" t="str">
        <f t="shared" si="10"/>
        <v/>
      </c>
      <c r="G329" s="69"/>
      <c r="H329" s="73"/>
      <c r="I329" s="73"/>
      <c r="J329" s="78" t="str">
        <f t="shared" si="11"/>
        <v/>
      </c>
      <c r="K329" s="69"/>
    </row>
    <row r="330" spans="1:11" x14ac:dyDescent="0.3">
      <c r="A330" s="76"/>
      <c r="B330" s="69"/>
      <c r="C330" s="69"/>
      <c r="D330" s="73"/>
      <c r="E330" s="73"/>
      <c r="F330" s="78" t="str">
        <f t="shared" si="10"/>
        <v/>
      </c>
      <c r="G330" s="69"/>
      <c r="H330" s="73"/>
      <c r="I330" s="73"/>
      <c r="J330" s="78" t="str">
        <f t="shared" si="11"/>
        <v/>
      </c>
      <c r="K330" s="69"/>
    </row>
    <row r="331" spans="1:11" x14ac:dyDescent="0.3">
      <c r="A331" s="76"/>
      <c r="B331" s="69"/>
      <c r="C331" s="69"/>
      <c r="D331" s="73"/>
      <c r="E331" s="73"/>
      <c r="F331" s="78" t="str">
        <f t="shared" si="10"/>
        <v/>
      </c>
      <c r="G331" s="69"/>
      <c r="H331" s="73"/>
      <c r="I331" s="73"/>
      <c r="J331" s="78" t="str">
        <f t="shared" si="11"/>
        <v/>
      </c>
      <c r="K331" s="69"/>
    </row>
    <row r="332" spans="1:11" x14ac:dyDescent="0.3">
      <c r="A332" s="76"/>
      <c r="B332" s="69"/>
      <c r="C332" s="69"/>
      <c r="D332" s="73"/>
      <c r="E332" s="73"/>
      <c r="F332" s="78" t="str">
        <f t="shared" si="10"/>
        <v/>
      </c>
      <c r="G332" s="69"/>
      <c r="H332" s="73"/>
      <c r="I332" s="73"/>
      <c r="J332" s="78" t="str">
        <f t="shared" si="11"/>
        <v/>
      </c>
      <c r="K332" s="69"/>
    </row>
    <row r="333" spans="1:11" x14ac:dyDescent="0.3">
      <c r="A333" s="76"/>
      <c r="B333" s="69"/>
      <c r="C333" s="69"/>
      <c r="D333" s="73"/>
      <c r="E333" s="73"/>
      <c r="F333" s="78" t="str">
        <f t="shared" si="10"/>
        <v/>
      </c>
      <c r="G333" s="69"/>
      <c r="H333" s="73"/>
      <c r="I333" s="73"/>
      <c r="J333" s="78" t="str">
        <f t="shared" si="11"/>
        <v/>
      </c>
      <c r="K333" s="69"/>
    </row>
    <row r="334" spans="1:11" x14ac:dyDescent="0.3">
      <c r="A334" s="76"/>
      <c r="B334" s="69"/>
      <c r="C334" s="69"/>
      <c r="D334" s="73"/>
      <c r="E334" s="73"/>
      <c r="F334" s="78" t="str">
        <f t="shared" si="10"/>
        <v/>
      </c>
      <c r="G334" s="69"/>
      <c r="H334" s="73"/>
      <c r="I334" s="73"/>
      <c r="J334" s="78" t="str">
        <f t="shared" si="11"/>
        <v/>
      </c>
      <c r="K334" s="69"/>
    </row>
    <row r="335" spans="1:11" x14ac:dyDescent="0.3">
      <c r="A335" s="76"/>
      <c r="B335" s="69"/>
      <c r="C335" s="69"/>
      <c r="D335" s="73"/>
      <c r="E335" s="73"/>
      <c r="F335" s="78" t="str">
        <f t="shared" si="10"/>
        <v/>
      </c>
      <c r="G335" s="69"/>
      <c r="H335" s="73"/>
      <c r="I335" s="73"/>
      <c r="J335" s="78" t="str">
        <f t="shared" si="11"/>
        <v/>
      </c>
      <c r="K335" s="69"/>
    </row>
    <row r="336" spans="1:11" x14ac:dyDescent="0.3">
      <c r="A336" s="76"/>
      <c r="B336" s="69"/>
      <c r="C336" s="69"/>
      <c r="D336" s="73"/>
      <c r="E336" s="73"/>
      <c r="F336" s="78" t="str">
        <f t="shared" si="10"/>
        <v/>
      </c>
      <c r="G336" s="69"/>
      <c r="H336" s="73"/>
      <c r="I336" s="73"/>
      <c r="J336" s="78" t="str">
        <f t="shared" si="11"/>
        <v/>
      </c>
      <c r="K336" s="69"/>
    </row>
    <row r="337" spans="1:11" x14ac:dyDescent="0.3">
      <c r="A337" s="76"/>
      <c r="B337" s="69"/>
      <c r="C337" s="69"/>
      <c r="D337" s="73"/>
      <c r="E337" s="73"/>
      <c r="F337" s="78" t="str">
        <f t="shared" si="10"/>
        <v/>
      </c>
      <c r="G337" s="69"/>
      <c r="H337" s="73"/>
      <c r="I337" s="73"/>
      <c r="J337" s="78" t="str">
        <f t="shared" si="11"/>
        <v/>
      </c>
      <c r="K337" s="69"/>
    </row>
    <row r="338" spans="1:11" x14ac:dyDescent="0.3">
      <c r="A338" s="76"/>
      <c r="B338" s="69"/>
      <c r="C338" s="69"/>
      <c r="D338" s="73"/>
      <c r="E338" s="73"/>
      <c r="F338" s="78" t="str">
        <f t="shared" si="10"/>
        <v/>
      </c>
      <c r="G338" s="69"/>
      <c r="H338" s="73"/>
      <c r="I338" s="73"/>
      <c r="J338" s="78" t="str">
        <f t="shared" si="11"/>
        <v/>
      </c>
      <c r="K338" s="69"/>
    </row>
    <row r="339" spans="1:11" x14ac:dyDescent="0.3">
      <c r="A339" s="76"/>
      <c r="B339" s="69"/>
      <c r="C339" s="69"/>
      <c r="D339" s="73"/>
      <c r="E339" s="73"/>
      <c r="F339" s="78" t="str">
        <f t="shared" si="10"/>
        <v/>
      </c>
      <c r="G339" s="69"/>
      <c r="H339" s="73"/>
      <c r="I339" s="73"/>
      <c r="J339" s="78" t="str">
        <f t="shared" si="11"/>
        <v/>
      </c>
      <c r="K339" s="69"/>
    </row>
    <row r="340" spans="1:11" x14ac:dyDescent="0.3">
      <c r="A340" s="76"/>
      <c r="B340" s="69"/>
      <c r="C340" s="69"/>
      <c r="D340" s="73"/>
      <c r="E340" s="73"/>
      <c r="F340" s="78" t="str">
        <f t="shared" si="10"/>
        <v/>
      </c>
      <c r="G340" s="69"/>
      <c r="H340" s="73"/>
      <c r="I340" s="73"/>
      <c r="J340" s="78" t="str">
        <f t="shared" si="11"/>
        <v/>
      </c>
      <c r="K340" s="69"/>
    </row>
    <row r="341" spans="1:11" x14ac:dyDescent="0.3">
      <c r="A341" s="76"/>
      <c r="B341" s="69"/>
      <c r="C341" s="69"/>
      <c r="D341" s="73"/>
      <c r="E341" s="73"/>
      <c r="F341" s="78" t="str">
        <f t="shared" si="10"/>
        <v/>
      </c>
      <c r="G341" s="69"/>
      <c r="H341" s="73"/>
      <c r="I341" s="73"/>
      <c r="J341" s="78" t="str">
        <f t="shared" si="11"/>
        <v/>
      </c>
      <c r="K341" s="69"/>
    </row>
    <row r="342" spans="1:11" x14ac:dyDescent="0.3">
      <c r="A342" s="76"/>
      <c r="B342" s="69"/>
      <c r="C342" s="69"/>
      <c r="D342" s="73"/>
      <c r="E342" s="73"/>
      <c r="F342" s="78" t="str">
        <f t="shared" si="10"/>
        <v/>
      </c>
      <c r="G342" s="69"/>
      <c r="H342" s="73"/>
      <c r="I342" s="73"/>
      <c r="J342" s="78" t="str">
        <f t="shared" si="11"/>
        <v/>
      </c>
      <c r="K342" s="69"/>
    </row>
    <row r="343" spans="1:11" x14ac:dyDescent="0.3">
      <c r="A343" s="76"/>
      <c r="B343" s="69"/>
      <c r="C343" s="69"/>
      <c r="D343" s="73"/>
      <c r="E343" s="73"/>
      <c r="F343" s="78" t="str">
        <f t="shared" si="10"/>
        <v/>
      </c>
      <c r="G343" s="69"/>
      <c r="H343" s="73"/>
      <c r="I343" s="73"/>
      <c r="J343" s="78" t="str">
        <f t="shared" si="11"/>
        <v/>
      </c>
      <c r="K343" s="69"/>
    </row>
    <row r="344" spans="1:11" x14ac:dyDescent="0.3">
      <c r="A344" s="76"/>
      <c r="B344" s="69"/>
      <c r="C344" s="69"/>
      <c r="D344" s="73"/>
      <c r="E344" s="73"/>
      <c r="F344" s="78" t="str">
        <f t="shared" si="10"/>
        <v/>
      </c>
      <c r="G344" s="69"/>
      <c r="H344" s="73"/>
      <c r="I344" s="73"/>
      <c r="J344" s="78" t="str">
        <f t="shared" si="11"/>
        <v/>
      </c>
      <c r="K344" s="69"/>
    </row>
    <row r="345" spans="1:11" x14ac:dyDescent="0.3">
      <c r="A345" s="76"/>
      <c r="B345" s="69"/>
      <c r="C345" s="69"/>
      <c r="D345" s="73"/>
      <c r="E345" s="73"/>
      <c r="F345" s="78" t="str">
        <f t="shared" si="10"/>
        <v/>
      </c>
      <c r="G345" s="69"/>
      <c r="H345" s="73"/>
      <c r="I345" s="73"/>
      <c r="J345" s="78" t="str">
        <f t="shared" si="11"/>
        <v/>
      </c>
      <c r="K345" s="69"/>
    </row>
    <row r="346" spans="1:11" x14ac:dyDescent="0.3">
      <c r="A346" s="76"/>
      <c r="B346" s="69"/>
      <c r="C346" s="69"/>
      <c r="D346" s="73"/>
      <c r="E346" s="73"/>
      <c r="F346" s="78" t="str">
        <f t="shared" si="10"/>
        <v/>
      </c>
      <c r="G346" s="69"/>
      <c r="H346" s="73"/>
      <c r="I346" s="73"/>
      <c r="J346" s="78" t="str">
        <f t="shared" si="11"/>
        <v/>
      </c>
      <c r="K346" s="69"/>
    </row>
    <row r="347" spans="1:11" x14ac:dyDescent="0.3">
      <c r="A347" s="76"/>
      <c r="B347" s="69"/>
      <c r="C347" s="69"/>
      <c r="D347" s="73"/>
      <c r="E347" s="73"/>
      <c r="F347" s="78" t="str">
        <f t="shared" si="10"/>
        <v/>
      </c>
      <c r="G347" s="69"/>
      <c r="H347" s="73"/>
      <c r="I347" s="73"/>
      <c r="J347" s="78" t="str">
        <f t="shared" si="11"/>
        <v/>
      </c>
      <c r="K347" s="69"/>
    </row>
    <row r="348" spans="1:11" x14ac:dyDescent="0.3">
      <c r="A348" s="76"/>
      <c r="B348" s="69"/>
      <c r="C348" s="69"/>
      <c r="D348" s="73"/>
      <c r="E348" s="73"/>
      <c r="F348" s="78" t="str">
        <f t="shared" si="10"/>
        <v/>
      </c>
      <c r="G348" s="69"/>
      <c r="H348" s="73"/>
      <c r="I348" s="73"/>
      <c r="J348" s="78" t="str">
        <f t="shared" si="11"/>
        <v/>
      </c>
      <c r="K348" s="69"/>
    </row>
    <row r="349" spans="1:11" x14ac:dyDescent="0.3">
      <c r="A349" s="76"/>
      <c r="B349" s="69"/>
      <c r="C349" s="69"/>
      <c r="D349" s="73"/>
      <c r="E349" s="73"/>
      <c r="F349" s="78" t="str">
        <f t="shared" si="10"/>
        <v/>
      </c>
      <c r="G349" s="69"/>
      <c r="H349" s="73"/>
      <c r="I349" s="73"/>
      <c r="J349" s="78" t="str">
        <f t="shared" si="11"/>
        <v/>
      </c>
      <c r="K349" s="69"/>
    </row>
    <row r="350" spans="1:11" x14ac:dyDescent="0.3">
      <c r="A350" s="76"/>
      <c r="B350" s="69"/>
      <c r="C350" s="69"/>
      <c r="D350" s="73"/>
      <c r="E350" s="73"/>
      <c r="F350" s="78" t="str">
        <f t="shared" si="10"/>
        <v/>
      </c>
      <c r="G350" s="69"/>
      <c r="H350" s="73"/>
      <c r="I350" s="73"/>
      <c r="J350" s="78" t="str">
        <f t="shared" si="11"/>
        <v/>
      </c>
      <c r="K350" s="69"/>
    </row>
    <row r="351" spans="1:11" x14ac:dyDescent="0.3">
      <c r="A351" s="76"/>
      <c r="B351" s="69"/>
      <c r="C351" s="69"/>
      <c r="D351" s="73"/>
      <c r="E351" s="73"/>
      <c r="F351" s="78" t="str">
        <f t="shared" si="10"/>
        <v/>
      </c>
      <c r="G351" s="69"/>
      <c r="H351" s="73"/>
      <c r="I351" s="73"/>
      <c r="J351" s="78" t="str">
        <f t="shared" si="11"/>
        <v/>
      </c>
      <c r="K351" s="69"/>
    </row>
    <row r="352" spans="1:11" x14ac:dyDescent="0.3">
      <c r="A352" s="76"/>
      <c r="B352" s="69"/>
      <c r="C352" s="69"/>
      <c r="D352" s="73"/>
      <c r="E352" s="73"/>
      <c r="F352" s="78" t="str">
        <f t="shared" si="10"/>
        <v/>
      </c>
      <c r="G352" s="69"/>
      <c r="H352" s="73"/>
      <c r="I352" s="73"/>
      <c r="J352" s="78" t="str">
        <f t="shared" si="11"/>
        <v/>
      </c>
      <c r="K352" s="69"/>
    </row>
    <row r="353" spans="1:11" x14ac:dyDescent="0.3">
      <c r="A353" s="76"/>
      <c r="B353" s="69"/>
      <c r="C353" s="69"/>
      <c r="D353" s="73"/>
      <c r="E353" s="73"/>
      <c r="F353" s="78" t="str">
        <f t="shared" si="10"/>
        <v/>
      </c>
      <c r="G353" s="69"/>
      <c r="H353" s="73"/>
      <c r="I353" s="73"/>
      <c r="J353" s="78" t="str">
        <f t="shared" si="11"/>
        <v/>
      </c>
      <c r="K353" s="69"/>
    </row>
    <row r="354" spans="1:11" x14ac:dyDescent="0.3">
      <c r="A354" s="76"/>
      <c r="B354" s="69"/>
      <c r="C354" s="69"/>
      <c r="D354" s="73"/>
      <c r="E354" s="73"/>
      <c r="F354" s="78" t="str">
        <f t="shared" si="10"/>
        <v/>
      </c>
      <c r="G354" s="69"/>
      <c r="H354" s="73"/>
      <c r="I354" s="73"/>
      <c r="J354" s="78" t="str">
        <f t="shared" si="11"/>
        <v/>
      </c>
      <c r="K354" s="69"/>
    </row>
    <row r="355" spans="1:11" x14ac:dyDescent="0.3">
      <c r="A355" s="76"/>
      <c r="B355" s="69"/>
      <c r="C355" s="69"/>
      <c r="D355" s="73"/>
      <c r="E355" s="73"/>
      <c r="F355" s="78" t="str">
        <f t="shared" si="10"/>
        <v/>
      </c>
      <c r="G355" s="69"/>
      <c r="H355" s="73"/>
      <c r="I355" s="73"/>
      <c r="J355" s="78" t="str">
        <f t="shared" si="11"/>
        <v/>
      </c>
      <c r="K355" s="69"/>
    </row>
    <row r="356" spans="1:11" x14ac:dyDescent="0.3">
      <c r="A356" s="76"/>
      <c r="B356" s="69"/>
      <c r="C356" s="69"/>
      <c r="D356" s="73"/>
      <c r="E356" s="73"/>
      <c r="F356" s="78" t="str">
        <f t="shared" si="10"/>
        <v/>
      </c>
      <c r="G356" s="69"/>
      <c r="H356" s="73"/>
      <c r="I356" s="73"/>
      <c r="J356" s="78" t="str">
        <f t="shared" si="11"/>
        <v/>
      </c>
      <c r="K356" s="69"/>
    </row>
    <row r="357" spans="1:11" x14ac:dyDescent="0.3">
      <c r="A357" s="76"/>
      <c r="B357" s="69"/>
      <c r="C357" s="69"/>
      <c r="D357" s="73"/>
      <c r="E357" s="73"/>
      <c r="F357" s="78" t="str">
        <f t="shared" si="10"/>
        <v/>
      </c>
      <c r="G357" s="69"/>
      <c r="H357" s="73"/>
      <c r="I357" s="73"/>
      <c r="J357" s="78" t="str">
        <f t="shared" si="11"/>
        <v/>
      </c>
      <c r="K357" s="69"/>
    </row>
    <row r="358" spans="1:11" x14ac:dyDescent="0.3">
      <c r="A358" s="76"/>
      <c r="B358" s="69"/>
      <c r="C358" s="69"/>
      <c r="D358" s="73"/>
      <c r="E358" s="73"/>
      <c r="F358" s="78" t="str">
        <f t="shared" si="10"/>
        <v/>
      </c>
      <c r="G358" s="69"/>
      <c r="H358" s="73"/>
      <c r="I358" s="73"/>
      <c r="J358" s="78" t="str">
        <f t="shared" si="11"/>
        <v/>
      </c>
      <c r="K358" s="69"/>
    </row>
    <row r="359" spans="1:11" x14ac:dyDescent="0.3">
      <c r="A359" s="76"/>
      <c r="B359" s="69"/>
      <c r="C359" s="69"/>
      <c r="D359" s="73"/>
      <c r="E359" s="73"/>
      <c r="F359" s="78" t="str">
        <f t="shared" si="10"/>
        <v/>
      </c>
      <c r="G359" s="69"/>
      <c r="H359" s="73"/>
      <c r="I359" s="73"/>
      <c r="J359" s="78" t="str">
        <f t="shared" si="11"/>
        <v/>
      </c>
      <c r="K359" s="69"/>
    </row>
    <row r="360" spans="1:11" x14ac:dyDescent="0.3">
      <c r="A360" s="76"/>
      <c r="B360" s="69"/>
      <c r="C360" s="69"/>
      <c r="D360" s="73"/>
      <c r="E360" s="73"/>
      <c r="F360" s="78" t="str">
        <f t="shared" si="10"/>
        <v/>
      </c>
      <c r="G360" s="69"/>
      <c r="H360" s="73"/>
      <c r="I360" s="73"/>
      <c r="J360" s="78" t="str">
        <f t="shared" si="11"/>
        <v/>
      </c>
      <c r="K360" s="69"/>
    </row>
    <row r="361" spans="1:11" x14ac:dyDescent="0.3">
      <c r="A361" s="76"/>
      <c r="B361" s="69"/>
      <c r="C361" s="69"/>
      <c r="D361" s="73"/>
      <c r="E361" s="73"/>
      <c r="F361" s="78" t="str">
        <f t="shared" si="10"/>
        <v/>
      </c>
      <c r="G361" s="69"/>
      <c r="H361" s="73"/>
      <c r="I361" s="73"/>
      <c r="J361" s="78" t="str">
        <f t="shared" si="11"/>
        <v/>
      </c>
      <c r="K361" s="69"/>
    </row>
    <row r="362" spans="1:11" x14ac:dyDescent="0.3">
      <c r="A362" s="76"/>
      <c r="B362" s="69"/>
      <c r="C362" s="69"/>
      <c r="D362" s="73"/>
      <c r="E362" s="73"/>
      <c r="F362" s="78" t="str">
        <f t="shared" si="10"/>
        <v/>
      </c>
      <c r="G362" s="69"/>
      <c r="H362" s="73"/>
      <c r="I362" s="73"/>
      <c r="J362" s="78" t="str">
        <f t="shared" si="11"/>
        <v/>
      </c>
      <c r="K362" s="69"/>
    </row>
    <row r="363" spans="1:11" x14ac:dyDescent="0.3">
      <c r="A363" s="76"/>
      <c r="B363" s="69"/>
      <c r="C363" s="69"/>
      <c r="D363" s="73"/>
      <c r="E363" s="73"/>
      <c r="F363" s="78" t="str">
        <f t="shared" si="10"/>
        <v/>
      </c>
      <c r="G363" s="69"/>
      <c r="H363" s="73"/>
      <c r="I363" s="73"/>
      <c r="J363" s="78" t="str">
        <f t="shared" si="11"/>
        <v/>
      </c>
      <c r="K363" s="69"/>
    </row>
    <row r="364" spans="1:11" x14ac:dyDescent="0.3">
      <c r="A364" s="76"/>
      <c r="B364" s="69"/>
      <c r="C364" s="69"/>
      <c r="D364" s="73"/>
      <c r="E364" s="73"/>
      <c r="F364" s="78" t="str">
        <f t="shared" si="10"/>
        <v/>
      </c>
      <c r="G364" s="69"/>
      <c r="H364" s="73"/>
      <c r="I364" s="73"/>
      <c r="J364" s="78" t="str">
        <f t="shared" si="11"/>
        <v/>
      </c>
      <c r="K364" s="69"/>
    </row>
    <row r="365" spans="1:11" x14ac:dyDescent="0.3">
      <c r="A365" s="76"/>
      <c r="B365" s="69"/>
      <c r="C365" s="69"/>
      <c r="D365" s="73"/>
      <c r="E365" s="73"/>
      <c r="F365" s="78" t="str">
        <f t="shared" si="10"/>
        <v/>
      </c>
      <c r="G365" s="69"/>
      <c r="H365" s="73"/>
      <c r="I365" s="73"/>
      <c r="J365" s="78" t="str">
        <f t="shared" si="11"/>
        <v/>
      </c>
      <c r="K365" s="69"/>
    </row>
    <row r="366" spans="1:11" x14ac:dyDescent="0.3">
      <c r="A366" s="76"/>
      <c r="B366" s="69"/>
      <c r="C366" s="69"/>
      <c r="D366" s="73"/>
      <c r="E366" s="73"/>
      <c r="F366" s="78" t="str">
        <f t="shared" si="10"/>
        <v/>
      </c>
      <c r="G366" s="69"/>
      <c r="H366" s="73"/>
      <c r="I366" s="73"/>
      <c r="J366" s="78" t="str">
        <f t="shared" si="11"/>
        <v/>
      </c>
      <c r="K366" s="69"/>
    </row>
    <row r="367" spans="1:11" x14ac:dyDescent="0.3">
      <c r="A367" s="76"/>
      <c r="B367" s="69"/>
      <c r="C367" s="69"/>
      <c r="D367" s="73"/>
      <c r="E367" s="73"/>
      <c r="F367" s="78" t="str">
        <f t="shared" si="10"/>
        <v/>
      </c>
      <c r="G367" s="69"/>
      <c r="H367" s="73"/>
      <c r="I367" s="73"/>
      <c r="J367" s="78" t="str">
        <f t="shared" si="11"/>
        <v/>
      </c>
      <c r="K367" s="69"/>
    </row>
    <row r="368" spans="1:11" x14ac:dyDescent="0.3">
      <c r="A368" s="76"/>
      <c r="B368" s="69"/>
      <c r="C368" s="69"/>
      <c r="D368" s="73"/>
      <c r="E368" s="73"/>
      <c r="F368" s="78" t="str">
        <f t="shared" si="10"/>
        <v/>
      </c>
      <c r="G368" s="69"/>
      <c r="H368" s="73"/>
      <c r="I368" s="73"/>
      <c r="J368" s="78" t="str">
        <f t="shared" si="11"/>
        <v/>
      </c>
      <c r="K368" s="69"/>
    </row>
    <row r="369" spans="1:11" x14ac:dyDescent="0.3">
      <c r="A369" s="76"/>
      <c r="B369" s="69"/>
      <c r="C369" s="69"/>
      <c r="D369" s="73"/>
      <c r="E369" s="73"/>
      <c r="F369" s="78" t="str">
        <f t="shared" si="10"/>
        <v/>
      </c>
      <c r="G369" s="69"/>
      <c r="H369" s="73"/>
      <c r="I369" s="73"/>
      <c r="J369" s="78" t="str">
        <f t="shared" si="11"/>
        <v/>
      </c>
      <c r="K369" s="69"/>
    </row>
    <row r="370" spans="1:11" x14ac:dyDescent="0.3">
      <c r="A370" s="76"/>
      <c r="B370" s="69"/>
      <c r="C370" s="69"/>
      <c r="D370" s="73"/>
      <c r="E370" s="73"/>
      <c r="F370" s="78" t="str">
        <f t="shared" si="10"/>
        <v/>
      </c>
      <c r="G370" s="69"/>
      <c r="H370" s="73"/>
      <c r="I370" s="73"/>
      <c r="J370" s="78" t="str">
        <f t="shared" si="11"/>
        <v/>
      </c>
      <c r="K370" s="69"/>
    </row>
    <row r="371" spans="1:11" x14ac:dyDescent="0.3">
      <c r="A371" s="76"/>
      <c r="B371" s="69"/>
      <c r="C371" s="69"/>
      <c r="D371" s="73"/>
      <c r="E371" s="73"/>
      <c r="F371" s="78" t="str">
        <f t="shared" si="10"/>
        <v/>
      </c>
      <c r="G371" s="69"/>
      <c r="H371" s="73"/>
      <c r="I371" s="73"/>
      <c r="J371" s="78" t="str">
        <f t="shared" si="11"/>
        <v/>
      </c>
      <c r="K371" s="69"/>
    </row>
    <row r="372" spans="1:11" x14ac:dyDescent="0.3">
      <c r="A372" s="76"/>
      <c r="B372" s="69"/>
      <c r="C372" s="69"/>
      <c r="D372" s="73"/>
      <c r="E372" s="73"/>
      <c r="F372" s="78" t="str">
        <f t="shared" si="10"/>
        <v/>
      </c>
      <c r="G372" s="69"/>
      <c r="H372" s="73"/>
      <c r="I372" s="73"/>
      <c r="J372" s="78" t="str">
        <f t="shared" si="11"/>
        <v/>
      </c>
      <c r="K372" s="69"/>
    </row>
    <row r="373" spans="1:11" x14ac:dyDescent="0.3">
      <c r="A373" s="76"/>
      <c r="B373" s="69"/>
      <c r="C373" s="69"/>
      <c r="D373" s="73"/>
      <c r="E373" s="73"/>
      <c r="F373" s="78" t="str">
        <f t="shared" si="10"/>
        <v/>
      </c>
      <c r="G373" s="69"/>
      <c r="H373" s="73"/>
      <c r="I373" s="73"/>
      <c r="J373" s="78" t="str">
        <f t="shared" si="11"/>
        <v/>
      </c>
      <c r="K373" s="69"/>
    </row>
    <row r="374" spans="1:11" x14ac:dyDescent="0.3">
      <c r="A374" s="76"/>
      <c r="B374" s="69"/>
      <c r="C374" s="69"/>
      <c r="D374" s="73"/>
      <c r="E374" s="73"/>
      <c r="F374" s="78" t="str">
        <f t="shared" si="10"/>
        <v/>
      </c>
      <c r="G374" s="69"/>
      <c r="H374" s="73"/>
      <c r="I374" s="73"/>
      <c r="J374" s="78" t="str">
        <f t="shared" si="11"/>
        <v/>
      </c>
      <c r="K374" s="69"/>
    </row>
    <row r="375" spans="1:11" x14ac:dyDescent="0.3">
      <c r="A375" s="76"/>
      <c r="B375" s="69"/>
      <c r="C375" s="69"/>
      <c r="D375" s="73"/>
      <c r="E375" s="73"/>
      <c r="F375" s="78" t="str">
        <f t="shared" si="10"/>
        <v/>
      </c>
      <c r="G375" s="69"/>
      <c r="H375" s="73"/>
      <c r="I375" s="73"/>
      <c r="J375" s="78" t="str">
        <f t="shared" si="11"/>
        <v/>
      </c>
      <c r="K375" s="69"/>
    </row>
    <row r="376" spans="1:11" x14ac:dyDescent="0.3">
      <c r="A376" s="76"/>
      <c r="B376" s="69"/>
      <c r="C376" s="69"/>
      <c r="D376" s="73"/>
      <c r="E376" s="73"/>
      <c r="F376" s="78" t="str">
        <f t="shared" si="10"/>
        <v/>
      </c>
      <c r="G376" s="69"/>
      <c r="H376" s="73"/>
      <c r="I376" s="73"/>
      <c r="J376" s="78" t="str">
        <f t="shared" si="11"/>
        <v/>
      </c>
      <c r="K376" s="69"/>
    </row>
    <row r="377" spans="1:11" x14ac:dyDescent="0.3">
      <c r="A377" s="76"/>
      <c r="B377" s="69"/>
      <c r="C377" s="69"/>
      <c r="D377" s="73"/>
      <c r="E377" s="73"/>
      <c r="F377" s="78" t="str">
        <f t="shared" si="10"/>
        <v/>
      </c>
      <c r="G377" s="69"/>
      <c r="H377" s="73"/>
      <c r="I377" s="73"/>
      <c r="J377" s="78" t="str">
        <f t="shared" si="11"/>
        <v/>
      </c>
      <c r="K377" s="69"/>
    </row>
    <row r="378" spans="1:11" x14ac:dyDescent="0.3">
      <c r="A378" s="76"/>
      <c r="B378" s="69"/>
      <c r="C378" s="69"/>
      <c r="D378" s="73"/>
      <c r="E378" s="73"/>
      <c r="F378" s="78" t="str">
        <f t="shared" si="10"/>
        <v/>
      </c>
      <c r="G378" s="69"/>
      <c r="H378" s="73"/>
      <c r="I378" s="73"/>
      <c r="J378" s="78" t="str">
        <f t="shared" si="11"/>
        <v/>
      </c>
      <c r="K378" s="69"/>
    </row>
    <row r="379" spans="1:11" x14ac:dyDescent="0.3">
      <c r="A379" s="76"/>
      <c r="B379" s="69"/>
      <c r="C379" s="69"/>
      <c r="D379" s="73"/>
      <c r="E379" s="73"/>
      <c r="F379" s="78" t="str">
        <f t="shared" si="10"/>
        <v/>
      </c>
      <c r="G379" s="69"/>
      <c r="H379" s="73"/>
      <c r="I379" s="73"/>
      <c r="J379" s="78" t="str">
        <f t="shared" si="11"/>
        <v/>
      </c>
      <c r="K379" s="69"/>
    </row>
    <row r="380" spans="1:11" x14ac:dyDescent="0.3">
      <c r="A380" s="76"/>
      <c r="B380" s="69"/>
      <c r="C380" s="69"/>
      <c r="D380" s="73"/>
      <c r="E380" s="73"/>
      <c r="F380" s="78" t="str">
        <f t="shared" si="10"/>
        <v/>
      </c>
      <c r="G380" s="69"/>
      <c r="H380" s="73"/>
      <c r="I380" s="73"/>
      <c r="J380" s="78" t="str">
        <f t="shared" si="11"/>
        <v/>
      </c>
      <c r="K380" s="69"/>
    </row>
    <row r="381" spans="1:11" x14ac:dyDescent="0.3">
      <c r="A381" s="76"/>
      <c r="B381" s="69"/>
      <c r="C381" s="69"/>
      <c r="D381" s="73"/>
      <c r="E381" s="73"/>
      <c r="F381" s="78" t="str">
        <f t="shared" si="10"/>
        <v/>
      </c>
      <c r="G381" s="69"/>
      <c r="H381" s="73"/>
      <c r="I381" s="73"/>
      <c r="J381" s="78" t="str">
        <f t="shared" si="11"/>
        <v/>
      </c>
      <c r="K381" s="69"/>
    </row>
    <row r="382" spans="1:11" x14ac:dyDescent="0.3">
      <c r="A382" s="76"/>
      <c r="B382" s="69"/>
      <c r="C382" s="69"/>
      <c r="D382" s="73"/>
      <c r="E382" s="73"/>
      <c r="F382" s="78" t="str">
        <f t="shared" si="10"/>
        <v/>
      </c>
      <c r="G382" s="69"/>
      <c r="H382" s="73"/>
      <c r="I382" s="73"/>
      <c r="J382" s="78" t="str">
        <f t="shared" si="11"/>
        <v/>
      </c>
      <c r="K382" s="69"/>
    </row>
    <row r="383" spans="1:11" x14ac:dyDescent="0.3">
      <c r="A383" s="76"/>
      <c r="B383" s="69"/>
      <c r="C383" s="69"/>
      <c r="D383" s="73"/>
      <c r="E383" s="73"/>
      <c r="F383" s="78" t="str">
        <f t="shared" si="10"/>
        <v/>
      </c>
      <c r="G383" s="69"/>
      <c r="H383" s="73"/>
      <c r="I383" s="73"/>
      <c r="J383" s="78" t="str">
        <f t="shared" si="11"/>
        <v/>
      </c>
      <c r="K383" s="69"/>
    </row>
    <row r="384" spans="1:11" x14ac:dyDescent="0.3">
      <c r="A384" s="76"/>
      <c r="B384" s="69"/>
      <c r="C384" s="69"/>
      <c r="D384" s="73"/>
      <c r="E384" s="73"/>
      <c r="F384" s="78" t="str">
        <f t="shared" si="10"/>
        <v/>
      </c>
      <c r="G384" s="69"/>
      <c r="H384" s="73"/>
      <c r="I384" s="73"/>
      <c r="J384" s="78" t="str">
        <f t="shared" si="11"/>
        <v/>
      </c>
      <c r="K384" s="69"/>
    </row>
    <row r="385" spans="1:11" x14ac:dyDescent="0.3">
      <c r="A385" s="76"/>
      <c r="B385" s="69"/>
      <c r="C385" s="69"/>
      <c r="D385" s="73"/>
      <c r="E385" s="73"/>
      <c r="F385" s="78" t="str">
        <f t="shared" si="10"/>
        <v/>
      </c>
      <c r="G385" s="69"/>
      <c r="H385" s="73"/>
      <c r="I385" s="73"/>
      <c r="J385" s="78" t="str">
        <f t="shared" si="11"/>
        <v/>
      </c>
      <c r="K385" s="69"/>
    </row>
    <row r="386" spans="1:11" x14ac:dyDescent="0.3">
      <c r="A386" s="76"/>
      <c r="B386" s="69"/>
      <c r="C386" s="69"/>
      <c r="D386" s="73"/>
      <c r="E386" s="73"/>
      <c r="F386" s="78" t="str">
        <f t="shared" si="10"/>
        <v/>
      </c>
      <c r="G386" s="69"/>
      <c r="H386" s="73"/>
      <c r="I386" s="73"/>
      <c r="J386" s="78" t="str">
        <f t="shared" si="11"/>
        <v/>
      </c>
      <c r="K386" s="69"/>
    </row>
    <row r="387" spans="1:11" x14ac:dyDescent="0.3">
      <c r="A387" s="76"/>
      <c r="B387" s="69"/>
      <c r="C387" s="69"/>
      <c r="D387" s="73"/>
      <c r="E387" s="73"/>
      <c r="F387" s="78" t="str">
        <f t="shared" si="10"/>
        <v/>
      </c>
      <c r="G387" s="69"/>
      <c r="H387" s="73"/>
      <c r="I387" s="73"/>
      <c r="J387" s="78" t="str">
        <f t="shared" si="11"/>
        <v/>
      </c>
      <c r="K387" s="69"/>
    </row>
    <row r="388" spans="1:11" x14ac:dyDescent="0.3">
      <c r="A388" s="76"/>
      <c r="B388" s="69"/>
      <c r="C388" s="69"/>
      <c r="D388" s="73"/>
      <c r="E388" s="73"/>
      <c r="F388" s="78" t="str">
        <f t="shared" si="10"/>
        <v/>
      </c>
      <c r="G388" s="69"/>
      <c r="H388" s="73"/>
      <c r="I388" s="73"/>
      <c r="J388" s="78" t="str">
        <f t="shared" si="11"/>
        <v/>
      </c>
      <c r="K388" s="69"/>
    </row>
    <row r="389" spans="1:11" x14ac:dyDescent="0.3">
      <c r="A389" s="76"/>
      <c r="B389" s="69"/>
      <c r="C389" s="69"/>
      <c r="D389" s="73"/>
      <c r="E389" s="73"/>
      <c r="F389" s="78" t="str">
        <f t="shared" ref="F389:F452" si="12">IF(OR(D389="",D389=0,E389=""),"",E389/D389)</f>
        <v/>
      </c>
      <c r="G389" s="69"/>
      <c r="H389" s="73"/>
      <c r="I389" s="73"/>
      <c r="J389" s="78" t="str">
        <f t="shared" ref="J389:J452" si="13">IF(OR(H389="",H389=0,I389=""),"",I389/H389)</f>
        <v/>
      </c>
      <c r="K389" s="69"/>
    </row>
    <row r="390" spans="1:11" x14ac:dyDescent="0.3">
      <c r="A390" s="76"/>
      <c r="B390" s="69"/>
      <c r="C390" s="69"/>
      <c r="D390" s="73"/>
      <c r="E390" s="73"/>
      <c r="F390" s="78" t="str">
        <f t="shared" si="12"/>
        <v/>
      </c>
      <c r="G390" s="69"/>
      <c r="H390" s="73"/>
      <c r="I390" s="73"/>
      <c r="J390" s="78" t="str">
        <f t="shared" si="13"/>
        <v/>
      </c>
      <c r="K390" s="69"/>
    </row>
    <row r="391" spans="1:11" x14ac:dyDescent="0.3">
      <c r="A391" s="76"/>
      <c r="B391" s="69"/>
      <c r="C391" s="69"/>
      <c r="D391" s="73"/>
      <c r="E391" s="73"/>
      <c r="F391" s="78" t="str">
        <f t="shared" si="12"/>
        <v/>
      </c>
      <c r="G391" s="69"/>
      <c r="H391" s="73"/>
      <c r="I391" s="73"/>
      <c r="J391" s="78" t="str">
        <f t="shared" si="13"/>
        <v/>
      </c>
      <c r="K391" s="69"/>
    </row>
    <row r="392" spans="1:11" x14ac:dyDescent="0.3">
      <c r="A392" s="76"/>
      <c r="B392" s="69"/>
      <c r="C392" s="69"/>
      <c r="D392" s="73"/>
      <c r="E392" s="73"/>
      <c r="F392" s="78" t="str">
        <f t="shared" si="12"/>
        <v/>
      </c>
      <c r="G392" s="69"/>
      <c r="H392" s="73"/>
      <c r="I392" s="73"/>
      <c r="J392" s="78" t="str">
        <f t="shared" si="13"/>
        <v/>
      </c>
      <c r="K392" s="69"/>
    </row>
    <row r="393" spans="1:11" x14ac:dyDescent="0.3">
      <c r="A393" s="76"/>
      <c r="B393" s="69"/>
      <c r="C393" s="69"/>
      <c r="D393" s="73"/>
      <c r="E393" s="73"/>
      <c r="F393" s="78" t="str">
        <f t="shared" si="12"/>
        <v/>
      </c>
      <c r="G393" s="69"/>
      <c r="H393" s="73"/>
      <c r="I393" s="73"/>
      <c r="J393" s="78" t="str">
        <f t="shared" si="13"/>
        <v/>
      </c>
      <c r="K393" s="69"/>
    </row>
    <row r="394" spans="1:11" x14ac:dyDescent="0.3">
      <c r="A394" s="76"/>
      <c r="B394" s="69"/>
      <c r="C394" s="69"/>
      <c r="D394" s="73"/>
      <c r="E394" s="73"/>
      <c r="F394" s="78" t="str">
        <f t="shared" si="12"/>
        <v/>
      </c>
      <c r="G394" s="69"/>
      <c r="H394" s="73"/>
      <c r="I394" s="73"/>
      <c r="J394" s="78" t="str">
        <f t="shared" si="13"/>
        <v/>
      </c>
      <c r="K394" s="69"/>
    </row>
    <row r="395" spans="1:11" x14ac:dyDescent="0.3">
      <c r="A395" s="76"/>
      <c r="B395" s="69"/>
      <c r="C395" s="69"/>
      <c r="D395" s="73"/>
      <c r="E395" s="73"/>
      <c r="F395" s="78" t="str">
        <f t="shared" si="12"/>
        <v/>
      </c>
      <c r="G395" s="69"/>
      <c r="H395" s="73"/>
      <c r="I395" s="73"/>
      <c r="J395" s="78" t="str">
        <f t="shared" si="13"/>
        <v/>
      </c>
      <c r="K395" s="69"/>
    </row>
    <row r="396" spans="1:11" x14ac:dyDescent="0.3">
      <c r="A396" s="76"/>
      <c r="B396" s="69"/>
      <c r="C396" s="69"/>
      <c r="D396" s="73"/>
      <c r="E396" s="73"/>
      <c r="F396" s="78" t="str">
        <f t="shared" si="12"/>
        <v/>
      </c>
      <c r="G396" s="69"/>
      <c r="H396" s="73"/>
      <c r="I396" s="73"/>
      <c r="J396" s="78" t="str">
        <f t="shared" si="13"/>
        <v/>
      </c>
      <c r="K396" s="69"/>
    </row>
    <row r="397" spans="1:11" x14ac:dyDescent="0.3">
      <c r="A397" s="76"/>
      <c r="B397" s="69"/>
      <c r="C397" s="69"/>
      <c r="D397" s="73"/>
      <c r="E397" s="73"/>
      <c r="F397" s="78" t="str">
        <f t="shared" si="12"/>
        <v/>
      </c>
      <c r="G397" s="69"/>
      <c r="H397" s="73"/>
      <c r="I397" s="73"/>
      <c r="J397" s="78" t="str">
        <f t="shared" si="13"/>
        <v/>
      </c>
      <c r="K397" s="69"/>
    </row>
    <row r="398" spans="1:11" x14ac:dyDescent="0.3">
      <c r="A398" s="76"/>
      <c r="B398" s="69"/>
      <c r="C398" s="69"/>
      <c r="D398" s="73"/>
      <c r="E398" s="73"/>
      <c r="F398" s="78" t="str">
        <f t="shared" si="12"/>
        <v/>
      </c>
      <c r="G398" s="69"/>
      <c r="H398" s="73"/>
      <c r="I398" s="73"/>
      <c r="J398" s="78" t="str">
        <f t="shared" si="13"/>
        <v/>
      </c>
      <c r="K398" s="69"/>
    </row>
    <row r="399" spans="1:11" x14ac:dyDescent="0.3">
      <c r="A399" s="76"/>
      <c r="B399" s="69"/>
      <c r="C399" s="69"/>
      <c r="D399" s="73"/>
      <c r="E399" s="73"/>
      <c r="F399" s="78" t="str">
        <f t="shared" si="12"/>
        <v/>
      </c>
      <c r="G399" s="69"/>
      <c r="H399" s="73"/>
      <c r="I399" s="73"/>
      <c r="J399" s="78" t="str">
        <f t="shared" si="13"/>
        <v/>
      </c>
      <c r="K399" s="69"/>
    </row>
    <row r="400" spans="1:11" x14ac:dyDescent="0.3">
      <c r="A400" s="76"/>
      <c r="B400" s="69"/>
      <c r="C400" s="69"/>
      <c r="D400" s="73"/>
      <c r="E400" s="73"/>
      <c r="F400" s="78" t="str">
        <f t="shared" si="12"/>
        <v/>
      </c>
      <c r="G400" s="69"/>
      <c r="H400" s="73"/>
      <c r="I400" s="73"/>
      <c r="J400" s="78" t="str">
        <f t="shared" si="13"/>
        <v/>
      </c>
      <c r="K400" s="69"/>
    </row>
    <row r="401" spans="1:11" x14ac:dyDescent="0.3">
      <c r="A401" s="76"/>
      <c r="B401" s="69"/>
      <c r="C401" s="69"/>
      <c r="D401" s="73"/>
      <c r="E401" s="73"/>
      <c r="F401" s="78" t="str">
        <f t="shared" si="12"/>
        <v/>
      </c>
      <c r="G401" s="69"/>
      <c r="H401" s="73"/>
      <c r="I401" s="73"/>
      <c r="J401" s="78" t="str">
        <f t="shared" si="13"/>
        <v/>
      </c>
      <c r="K401" s="69"/>
    </row>
    <row r="402" spans="1:11" x14ac:dyDescent="0.3">
      <c r="A402" s="76"/>
      <c r="B402" s="69"/>
      <c r="C402" s="69"/>
      <c r="D402" s="73"/>
      <c r="E402" s="73"/>
      <c r="F402" s="78" t="str">
        <f t="shared" si="12"/>
        <v/>
      </c>
      <c r="G402" s="69"/>
      <c r="H402" s="73"/>
      <c r="I402" s="73"/>
      <c r="J402" s="78" t="str">
        <f t="shared" si="13"/>
        <v/>
      </c>
      <c r="K402" s="69"/>
    </row>
    <row r="403" spans="1:11" x14ac:dyDescent="0.3">
      <c r="A403" s="76"/>
      <c r="B403" s="69"/>
      <c r="C403" s="69"/>
      <c r="D403" s="73"/>
      <c r="E403" s="73"/>
      <c r="F403" s="78" t="str">
        <f t="shared" si="12"/>
        <v/>
      </c>
      <c r="G403" s="69"/>
      <c r="H403" s="73"/>
      <c r="I403" s="73"/>
      <c r="J403" s="78" t="str">
        <f t="shared" si="13"/>
        <v/>
      </c>
      <c r="K403" s="69"/>
    </row>
    <row r="404" spans="1:11" x14ac:dyDescent="0.3">
      <c r="A404" s="76"/>
      <c r="B404" s="69"/>
      <c r="C404" s="69"/>
      <c r="D404" s="73"/>
      <c r="E404" s="73"/>
      <c r="F404" s="78" t="str">
        <f t="shared" si="12"/>
        <v/>
      </c>
      <c r="G404" s="69"/>
      <c r="H404" s="73"/>
      <c r="I404" s="73"/>
      <c r="J404" s="78" t="str">
        <f t="shared" si="13"/>
        <v/>
      </c>
      <c r="K404" s="69"/>
    </row>
    <row r="405" spans="1:11" x14ac:dyDescent="0.3">
      <c r="A405" s="76"/>
      <c r="B405" s="69"/>
      <c r="C405" s="69"/>
      <c r="D405" s="73"/>
      <c r="E405" s="73"/>
      <c r="F405" s="78" t="str">
        <f t="shared" si="12"/>
        <v/>
      </c>
      <c r="G405" s="69"/>
      <c r="H405" s="73"/>
      <c r="I405" s="73"/>
      <c r="J405" s="78" t="str">
        <f t="shared" si="13"/>
        <v/>
      </c>
      <c r="K405" s="69"/>
    </row>
    <row r="406" spans="1:11" x14ac:dyDescent="0.3">
      <c r="A406" s="76"/>
      <c r="B406" s="69"/>
      <c r="C406" s="69"/>
      <c r="D406" s="73"/>
      <c r="E406" s="73"/>
      <c r="F406" s="78" t="str">
        <f t="shared" si="12"/>
        <v/>
      </c>
      <c r="G406" s="69"/>
      <c r="H406" s="73"/>
      <c r="I406" s="73"/>
      <c r="J406" s="78" t="str">
        <f t="shared" si="13"/>
        <v/>
      </c>
      <c r="K406" s="69"/>
    </row>
    <row r="407" spans="1:11" x14ac:dyDescent="0.3">
      <c r="A407" s="76"/>
      <c r="B407" s="69"/>
      <c r="C407" s="69"/>
      <c r="D407" s="73"/>
      <c r="E407" s="73"/>
      <c r="F407" s="78" t="str">
        <f t="shared" si="12"/>
        <v/>
      </c>
      <c r="G407" s="69"/>
      <c r="H407" s="73"/>
      <c r="I407" s="73"/>
      <c r="J407" s="78" t="str">
        <f t="shared" si="13"/>
        <v/>
      </c>
      <c r="K407" s="69"/>
    </row>
    <row r="408" spans="1:11" x14ac:dyDescent="0.3">
      <c r="A408" s="76"/>
      <c r="B408" s="69"/>
      <c r="C408" s="69"/>
      <c r="D408" s="73"/>
      <c r="E408" s="73"/>
      <c r="F408" s="78" t="str">
        <f t="shared" si="12"/>
        <v/>
      </c>
      <c r="G408" s="69"/>
      <c r="H408" s="73"/>
      <c r="I408" s="73"/>
      <c r="J408" s="78" t="str">
        <f t="shared" si="13"/>
        <v/>
      </c>
      <c r="K408" s="69"/>
    </row>
    <row r="409" spans="1:11" x14ac:dyDescent="0.3">
      <c r="A409" s="76"/>
      <c r="B409" s="69"/>
      <c r="C409" s="69"/>
      <c r="D409" s="73"/>
      <c r="E409" s="73"/>
      <c r="F409" s="78" t="str">
        <f t="shared" si="12"/>
        <v/>
      </c>
      <c r="G409" s="69"/>
      <c r="H409" s="73"/>
      <c r="I409" s="73"/>
      <c r="J409" s="78" t="str">
        <f t="shared" si="13"/>
        <v/>
      </c>
      <c r="K409" s="69"/>
    </row>
    <row r="410" spans="1:11" x14ac:dyDescent="0.3">
      <c r="A410" s="76"/>
      <c r="B410" s="69"/>
      <c r="C410" s="69"/>
      <c r="D410" s="73"/>
      <c r="E410" s="73"/>
      <c r="F410" s="78" t="str">
        <f t="shared" si="12"/>
        <v/>
      </c>
      <c r="G410" s="69"/>
      <c r="H410" s="73"/>
      <c r="I410" s="73"/>
      <c r="J410" s="78" t="str">
        <f t="shared" si="13"/>
        <v/>
      </c>
      <c r="K410" s="69"/>
    </row>
    <row r="411" spans="1:11" x14ac:dyDescent="0.3">
      <c r="A411" s="76"/>
      <c r="B411" s="69"/>
      <c r="C411" s="69"/>
      <c r="D411" s="73"/>
      <c r="E411" s="73"/>
      <c r="F411" s="78" t="str">
        <f t="shared" si="12"/>
        <v/>
      </c>
      <c r="G411" s="69"/>
      <c r="H411" s="73"/>
      <c r="I411" s="73"/>
      <c r="J411" s="78" t="str">
        <f t="shared" si="13"/>
        <v/>
      </c>
      <c r="K411" s="69"/>
    </row>
    <row r="412" spans="1:11" x14ac:dyDescent="0.3">
      <c r="A412" s="76"/>
      <c r="B412" s="69"/>
      <c r="C412" s="69"/>
      <c r="D412" s="73"/>
      <c r="E412" s="73"/>
      <c r="F412" s="78" t="str">
        <f t="shared" si="12"/>
        <v/>
      </c>
      <c r="G412" s="69"/>
      <c r="H412" s="73"/>
      <c r="I412" s="73"/>
      <c r="J412" s="78" t="str">
        <f t="shared" si="13"/>
        <v/>
      </c>
      <c r="K412" s="69"/>
    </row>
    <row r="413" spans="1:11" x14ac:dyDescent="0.3">
      <c r="A413" s="76"/>
      <c r="B413" s="69"/>
      <c r="C413" s="69"/>
      <c r="D413" s="73"/>
      <c r="E413" s="73"/>
      <c r="F413" s="78" t="str">
        <f t="shared" si="12"/>
        <v/>
      </c>
      <c r="G413" s="69"/>
      <c r="H413" s="73"/>
      <c r="I413" s="73"/>
      <c r="J413" s="78" t="str">
        <f t="shared" si="13"/>
        <v/>
      </c>
      <c r="K413" s="69"/>
    </row>
    <row r="414" spans="1:11" x14ac:dyDescent="0.3">
      <c r="A414" s="76"/>
      <c r="B414" s="69"/>
      <c r="C414" s="69"/>
      <c r="D414" s="73"/>
      <c r="E414" s="73"/>
      <c r="F414" s="78" t="str">
        <f t="shared" si="12"/>
        <v/>
      </c>
      <c r="G414" s="69"/>
      <c r="H414" s="73"/>
      <c r="I414" s="73"/>
      <c r="J414" s="78" t="str">
        <f t="shared" si="13"/>
        <v/>
      </c>
      <c r="K414" s="69"/>
    </row>
    <row r="415" spans="1:11" x14ac:dyDescent="0.3">
      <c r="A415" s="76"/>
      <c r="B415" s="69"/>
      <c r="C415" s="69"/>
      <c r="D415" s="73"/>
      <c r="E415" s="73"/>
      <c r="F415" s="78" t="str">
        <f t="shared" si="12"/>
        <v/>
      </c>
      <c r="G415" s="69"/>
      <c r="H415" s="73"/>
      <c r="I415" s="73"/>
      <c r="J415" s="78" t="str">
        <f t="shared" si="13"/>
        <v/>
      </c>
      <c r="K415" s="69"/>
    </row>
    <row r="416" spans="1:11" x14ac:dyDescent="0.3">
      <c r="A416" s="76"/>
      <c r="B416" s="69"/>
      <c r="C416" s="69"/>
      <c r="D416" s="73"/>
      <c r="E416" s="73"/>
      <c r="F416" s="78" t="str">
        <f t="shared" si="12"/>
        <v/>
      </c>
      <c r="G416" s="69"/>
      <c r="H416" s="73"/>
      <c r="I416" s="73"/>
      <c r="J416" s="78" t="str">
        <f t="shared" si="13"/>
        <v/>
      </c>
      <c r="K416" s="69"/>
    </row>
    <row r="417" spans="1:11" x14ac:dyDescent="0.3">
      <c r="A417" s="76"/>
      <c r="B417" s="69"/>
      <c r="C417" s="69"/>
      <c r="D417" s="73"/>
      <c r="E417" s="73"/>
      <c r="F417" s="78" t="str">
        <f t="shared" si="12"/>
        <v/>
      </c>
      <c r="G417" s="69"/>
      <c r="H417" s="73"/>
      <c r="I417" s="73"/>
      <c r="J417" s="78" t="str">
        <f t="shared" si="13"/>
        <v/>
      </c>
      <c r="K417" s="69"/>
    </row>
    <row r="418" spans="1:11" x14ac:dyDescent="0.3">
      <c r="A418" s="76"/>
      <c r="B418" s="69"/>
      <c r="C418" s="69"/>
      <c r="D418" s="73"/>
      <c r="E418" s="73"/>
      <c r="F418" s="78" t="str">
        <f t="shared" si="12"/>
        <v/>
      </c>
      <c r="G418" s="69"/>
      <c r="H418" s="73"/>
      <c r="I418" s="73"/>
      <c r="J418" s="78" t="str">
        <f t="shared" si="13"/>
        <v/>
      </c>
      <c r="K418" s="69"/>
    </row>
    <row r="419" spans="1:11" x14ac:dyDescent="0.3">
      <c r="A419" s="76"/>
      <c r="B419" s="69"/>
      <c r="C419" s="69"/>
      <c r="D419" s="73"/>
      <c r="E419" s="73"/>
      <c r="F419" s="78" t="str">
        <f t="shared" si="12"/>
        <v/>
      </c>
      <c r="G419" s="69"/>
      <c r="H419" s="73"/>
      <c r="I419" s="73"/>
      <c r="J419" s="78" t="str">
        <f t="shared" si="13"/>
        <v/>
      </c>
      <c r="K419" s="69"/>
    </row>
    <row r="420" spans="1:11" x14ac:dyDescent="0.3">
      <c r="A420" s="76"/>
      <c r="B420" s="69"/>
      <c r="C420" s="69"/>
      <c r="D420" s="73"/>
      <c r="E420" s="73"/>
      <c r="F420" s="78" t="str">
        <f t="shared" si="12"/>
        <v/>
      </c>
      <c r="G420" s="69"/>
      <c r="H420" s="73"/>
      <c r="I420" s="73"/>
      <c r="J420" s="78" t="str">
        <f t="shared" si="13"/>
        <v/>
      </c>
      <c r="K420" s="69"/>
    </row>
    <row r="421" spans="1:11" x14ac:dyDescent="0.3">
      <c r="A421" s="76"/>
      <c r="B421" s="69"/>
      <c r="C421" s="69"/>
      <c r="D421" s="73"/>
      <c r="E421" s="73"/>
      <c r="F421" s="78" t="str">
        <f t="shared" si="12"/>
        <v/>
      </c>
      <c r="G421" s="69"/>
      <c r="H421" s="73"/>
      <c r="I421" s="73"/>
      <c r="J421" s="78" t="str">
        <f t="shared" si="13"/>
        <v/>
      </c>
      <c r="K421" s="69"/>
    </row>
    <row r="422" spans="1:11" x14ac:dyDescent="0.3">
      <c r="A422" s="76"/>
      <c r="B422" s="69"/>
      <c r="C422" s="69"/>
      <c r="D422" s="73"/>
      <c r="E422" s="73"/>
      <c r="F422" s="78" t="str">
        <f t="shared" si="12"/>
        <v/>
      </c>
      <c r="G422" s="69"/>
      <c r="H422" s="73"/>
      <c r="I422" s="73"/>
      <c r="J422" s="78" t="str">
        <f t="shared" si="13"/>
        <v/>
      </c>
      <c r="K422" s="69"/>
    </row>
    <row r="423" spans="1:11" x14ac:dyDescent="0.3">
      <c r="A423" s="76"/>
      <c r="B423" s="69"/>
      <c r="C423" s="69"/>
      <c r="D423" s="73"/>
      <c r="E423" s="73"/>
      <c r="F423" s="78" t="str">
        <f t="shared" si="12"/>
        <v/>
      </c>
      <c r="G423" s="69"/>
      <c r="H423" s="73"/>
      <c r="I423" s="73"/>
      <c r="J423" s="78" t="str">
        <f t="shared" si="13"/>
        <v/>
      </c>
      <c r="K423" s="69"/>
    </row>
    <row r="424" spans="1:11" x14ac:dyDescent="0.3">
      <c r="A424" s="76"/>
      <c r="B424" s="69"/>
      <c r="C424" s="69"/>
      <c r="D424" s="73"/>
      <c r="E424" s="73"/>
      <c r="F424" s="78" t="str">
        <f t="shared" si="12"/>
        <v/>
      </c>
      <c r="G424" s="69"/>
      <c r="H424" s="73"/>
      <c r="I424" s="73"/>
      <c r="J424" s="78" t="str">
        <f t="shared" si="13"/>
        <v/>
      </c>
      <c r="K424" s="69"/>
    </row>
    <row r="425" spans="1:11" x14ac:dyDescent="0.3">
      <c r="A425" s="76"/>
      <c r="B425" s="69"/>
      <c r="C425" s="69"/>
      <c r="D425" s="73"/>
      <c r="E425" s="73"/>
      <c r="F425" s="78" t="str">
        <f t="shared" si="12"/>
        <v/>
      </c>
      <c r="G425" s="69"/>
      <c r="H425" s="73"/>
      <c r="I425" s="73"/>
      <c r="J425" s="78" t="str">
        <f t="shared" si="13"/>
        <v/>
      </c>
      <c r="K425" s="69"/>
    </row>
    <row r="426" spans="1:11" x14ac:dyDescent="0.3">
      <c r="A426" s="76"/>
      <c r="B426" s="69"/>
      <c r="C426" s="69"/>
      <c r="D426" s="73"/>
      <c r="E426" s="73"/>
      <c r="F426" s="78" t="str">
        <f t="shared" si="12"/>
        <v/>
      </c>
      <c r="G426" s="69"/>
      <c r="H426" s="73"/>
      <c r="I426" s="73"/>
      <c r="J426" s="78" t="str">
        <f t="shared" si="13"/>
        <v/>
      </c>
      <c r="K426" s="69"/>
    </row>
    <row r="427" spans="1:11" x14ac:dyDescent="0.3">
      <c r="A427" s="76"/>
      <c r="B427" s="69"/>
      <c r="C427" s="69"/>
      <c r="D427" s="73"/>
      <c r="E427" s="73"/>
      <c r="F427" s="78" t="str">
        <f t="shared" si="12"/>
        <v/>
      </c>
      <c r="G427" s="69"/>
      <c r="H427" s="73"/>
      <c r="I427" s="73"/>
      <c r="J427" s="78" t="str">
        <f t="shared" si="13"/>
        <v/>
      </c>
      <c r="K427" s="69"/>
    </row>
    <row r="428" spans="1:11" x14ac:dyDescent="0.3">
      <c r="A428" s="76"/>
      <c r="B428" s="69"/>
      <c r="C428" s="69"/>
      <c r="D428" s="73"/>
      <c r="E428" s="73"/>
      <c r="F428" s="78" t="str">
        <f t="shared" si="12"/>
        <v/>
      </c>
      <c r="G428" s="69"/>
      <c r="H428" s="73"/>
      <c r="I428" s="73"/>
      <c r="J428" s="78" t="str">
        <f t="shared" si="13"/>
        <v/>
      </c>
      <c r="K428" s="69"/>
    </row>
    <row r="429" spans="1:11" x14ac:dyDescent="0.3">
      <c r="A429" s="76"/>
      <c r="B429" s="69"/>
      <c r="C429" s="69"/>
      <c r="D429" s="73"/>
      <c r="E429" s="73"/>
      <c r="F429" s="78" t="str">
        <f t="shared" si="12"/>
        <v/>
      </c>
      <c r="G429" s="69"/>
      <c r="H429" s="73"/>
      <c r="I429" s="73"/>
      <c r="J429" s="78" t="str">
        <f t="shared" si="13"/>
        <v/>
      </c>
      <c r="K429" s="69"/>
    </row>
    <row r="430" spans="1:11" x14ac:dyDescent="0.3">
      <c r="A430" s="76"/>
      <c r="B430" s="69"/>
      <c r="C430" s="69"/>
      <c r="D430" s="73"/>
      <c r="E430" s="73"/>
      <c r="F430" s="78" t="str">
        <f t="shared" si="12"/>
        <v/>
      </c>
      <c r="G430" s="69"/>
      <c r="H430" s="73"/>
      <c r="I430" s="73"/>
      <c r="J430" s="78" t="str">
        <f t="shared" si="13"/>
        <v/>
      </c>
      <c r="K430" s="69"/>
    </row>
    <row r="431" spans="1:11" x14ac:dyDescent="0.3">
      <c r="A431" s="76"/>
      <c r="B431" s="69"/>
      <c r="C431" s="69"/>
      <c r="D431" s="73"/>
      <c r="E431" s="73"/>
      <c r="F431" s="78" t="str">
        <f t="shared" si="12"/>
        <v/>
      </c>
      <c r="G431" s="69"/>
      <c r="H431" s="73"/>
      <c r="I431" s="73"/>
      <c r="J431" s="78" t="str">
        <f t="shared" si="13"/>
        <v/>
      </c>
      <c r="K431" s="69"/>
    </row>
    <row r="432" spans="1:11" x14ac:dyDescent="0.3">
      <c r="A432" s="76"/>
      <c r="B432" s="69"/>
      <c r="C432" s="69"/>
      <c r="D432" s="73"/>
      <c r="E432" s="73"/>
      <c r="F432" s="78" t="str">
        <f t="shared" si="12"/>
        <v/>
      </c>
      <c r="G432" s="69"/>
      <c r="H432" s="73"/>
      <c r="I432" s="73"/>
      <c r="J432" s="78" t="str">
        <f t="shared" si="13"/>
        <v/>
      </c>
      <c r="K432" s="69"/>
    </row>
    <row r="433" spans="1:11" x14ac:dyDescent="0.3">
      <c r="A433" s="76"/>
      <c r="B433" s="69"/>
      <c r="C433" s="69"/>
      <c r="D433" s="73"/>
      <c r="E433" s="73"/>
      <c r="F433" s="78" t="str">
        <f t="shared" si="12"/>
        <v/>
      </c>
      <c r="G433" s="69"/>
      <c r="H433" s="73"/>
      <c r="I433" s="73"/>
      <c r="J433" s="78" t="str">
        <f t="shared" si="13"/>
        <v/>
      </c>
      <c r="K433" s="69"/>
    </row>
    <row r="434" spans="1:11" x14ac:dyDescent="0.3">
      <c r="A434" s="76"/>
      <c r="B434" s="69"/>
      <c r="C434" s="69"/>
      <c r="D434" s="73"/>
      <c r="E434" s="73"/>
      <c r="F434" s="78" t="str">
        <f t="shared" si="12"/>
        <v/>
      </c>
      <c r="G434" s="69"/>
      <c r="H434" s="73"/>
      <c r="I434" s="73"/>
      <c r="J434" s="78" t="str">
        <f t="shared" si="13"/>
        <v/>
      </c>
      <c r="K434" s="69"/>
    </row>
    <row r="435" spans="1:11" x14ac:dyDescent="0.3">
      <c r="A435" s="76"/>
      <c r="B435" s="69"/>
      <c r="C435" s="69"/>
      <c r="D435" s="73"/>
      <c r="E435" s="73"/>
      <c r="F435" s="78" t="str">
        <f t="shared" si="12"/>
        <v/>
      </c>
      <c r="G435" s="69"/>
      <c r="H435" s="73"/>
      <c r="I435" s="73"/>
      <c r="J435" s="78" t="str">
        <f t="shared" si="13"/>
        <v/>
      </c>
      <c r="K435" s="69"/>
    </row>
    <row r="436" spans="1:11" x14ac:dyDescent="0.3">
      <c r="A436" s="76"/>
      <c r="B436" s="69"/>
      <c r="C436" s="69"/>
      <c r="D436" s="73"/>
      <c r="E436" s="73"/>
      <c r="F436" s="78" t="str">
        <f t="shared" si="12"/>
        <v/>
      </c>
      <c r="G436" s="69"/>
      <c r="H436" s="73"/>
      <c r="I436" s="73"/>
      <c r="J436" s="78" t="str">
        <f t="shared" si="13"/>
        <v/>
      </c>
      <c r="K436" s="69"/>
    </row>
    <row r="437" spans="1:11" x14ac:dyDescent="0.3">
      <c r="A437" s="76"/>
      <c r="B437" s="69"/>
      <c r="C437" s="69"/>
      <c r="D437" s="73"/>
      <c r="E437" s="73"/>
      <c r="F437" s="78" t="str">
        <f t="shared" si="12"/>
        <v/>
      </c>
      <c r="G437" s="69"/>
      <c r="H437" s="73"/>
      <c r="I437" s="73"/>
      <c r="J437" s="78" t="str">
        <f t="shared" si="13"/>
        <v/>
      </c>
      <c r="K437" s="69"/>
    </row>
    <row r="438" spans="1:11" x14ac:dyDescent="0.3">
      <c r="A438" s="76"/>
      <c r="B438" s="69"/>
      <c r="C438" s="69"/>
      <c r="D438" s="73"/>
      <c r="E438" s="73"/>
      <c r="F438" s="78" t="str">
        <f t="shared" si="12"/>
        <v/>
      </c>
      <c r="G438" s="69"/>
      <c r="H438" s="73"/>
      <c r="I438" s="73"/>
      <c r="J438" s="78" t="str">
        <f t="shared" si="13"/>
        <v/>
      </c>
      <c r="K438" s="69"/>
    </row>
    <row r="439" spans="1:11" x14ac:dyDescent="0.3">
      <c r="A439" s="76"/>
      <c r="B439" s="69"/>
      <c r="C439" s="69"/>
      <c r="D439" s="73"/>
      <c r="E439" s="73"/>
      <c r="F439" s="78" t="str">
        <f t="shared" si="12"/>
        <v/>
      </c>
      <c r="G439" s="69"/>
      <c r="H439" s="73"/>
      <c r="I439" s="73"/>
      <c r="J439" s="78" t="str">
        <f t="shared" si="13"/>
        <v/>
      </c>
      <c r="K439" s="69"/>
    </row>
    <row r="440" spans="1:11" x14ac:dyDescent="0.3">
      <c r="A440" s="76"/>
      <c r="B440" s="69"/>
      <c r="C440" s="69"/>
      <c r="D440" s="73"/>
      <c r="E440" s="73"/>
      <c r="F440" s="78" t="str">
        <f t="shared" si="12"/>
        <v/>
      </c>
      <c r="G440" s="69"/>
      <c r="H440" s="73"/>
      <c r="I440" s="73"/>
      <c r="J440" s="78" t="str">
        <f t="shared" si="13"/>
        <v/>
      </c>
      <c r="K440" s="69"/>
    </row>
    <row r="441" spans="1:11" x14ac:dyDescent="0.3">
      <c r="A441" s="76"/>
      <c r="B441" s="69"/>
      <c r="C441" s="69"/>
      <c r="D441" s="73"/>
      <c r="E441" s="73"/>
      <c r="F441" s="78" t="str">
        <f t="shared" si="12"/>
        <v/>
      </c>
      <c r="G441" s="69"/>
      <c r="H441" s="73"/>
      <c r="I441" s="73"/>
      <c r="J441" s="78" t="str">
        <f t="shared" si="13"/>
        <v/>
      </c>
      <c r="K441" s="69"/>
    </row>
    <row r="442" spans="1:11" x14ac:dyDescent="0.3">
      <c r="A442" s="76"/>
      <c r="B442" s="69"/>
      <c r="C442" s="69"/>
      <c r="D442" s="73"/>
      <c r="E442" s="73"/>
      <c r="F442" s="78" t="str">
        <f t="shared" si="12"/>
        <v/>
      </c>
      <c r="G442" s="69"/>
      <c r="H442" s="73"/>
      <c r="I442" s="73"/>
      <c r="J442" s="78" t="str">
        <f t="shared" si="13"/>
        <v/>
      </c>
      <c r="K442" s="69"/>
    </row>
    <row r="443" spans="1:11" x14ac:dyDescent="0.3">
      <c r="A443" s="76"/>
      <c r="B443" s="69"/>
      <c r="C443" s="69"/>
      <c r="D443" s="73"/>
      <c r="E443" s="73"/>
      <c r="F443" s="78" t="str">
        <f t="shared" si="12"/>
        <v/>
      </c>
      <c r="G443" s="69"/>
      <c r="H443" s="73"/>
      <c r="I443" s="73"/>
      <c r="J443" s="78" t="str">
        <f t="shared" si="13"/>
        <v/>
      </c>
      <c r="K443" s="69"/>
    </row>
    <row r="444" spans="1:11" x14ac:dyDescent="0.3">
      <c r="A444" s="76"/>
      <c r="B444" s="69"/>
      <c r="C444" s="69"/>
      <c r="D444" s="73"/>
      <c r="E444" s="73"/>
      <c r="F444" s="78" t="str">
        <f t="shared" si="12"/>
        <v/>
      </c>
      <c r="G444" s="69"/>
      <c r="H444" s="73"/>
      <c r="I444" s="73"/>
      <c r="J444" s="78" t="str">
        <f t="shared" si="13"/>
        <v/>
      </c>
      <c r="K444" s="69"/>
    </row>
    <row r="445" spans="1:11" x14ac:dyDescent="0.3">
      <c r="A445" s="76"/>
      <c r="B445" s="69"/>
      <c r="C445" s="69"/>
      <c r="D445" s="73"/>
      <c r="E445" s="73"/>
      <c r="F445" s="78" t="str">
        <f t="shared" si="12"/>
        <v/>
      </c>
      <c r="G445" s="69"/>
      <c r="H445" s="73"/>
      <c r="I445" s="73"/>
      <c r="J445" s="78" t="str">
        <f t="shared" si="13"/>
        <v/>
      </c>
      <c r="K445" s="69"/>
    </row>
    <row r="446" spans="1:11" x14ac:dyDescent="0.3">
      <c r="A446" s="76"/>
      <c r="B446" s="69"/>
      <c r="C446" s="69"/>
      <c r="D446" s="73"/>
      <c r="E446" s="73"/>
      <c r="F446" s="78" t="str">
        <f t="shared" si="12"/>
        <v/>
      </c>
      <c r="G446" s="69"/>
      <c r="H446" s="73"/>
      <c r="I446" s="73"/>
      <c r="J446" s="78" t="str">
        <f t="shared" si="13"/>
        <v/>
      </c>
      <c r="K446" s="69"/>
    </row>
    <row r="447" spans="1:11" x14ac:dyDescent="0.3">
      <c r="A447" s="76"/>
      <c r="B447" s="69"/>
      <c r="C447" s="69"/>
      <c r="D447" s="73"/>
      <c r="E447" s="73"/>
      <c r="F447" s="78" t="str">
        <f t="shared" si="12"/>
        <v/>
      </c>
      <c r="G447" s="69"/>
      <c r="H447" s="73"/>
      <c r="I447" s="73"/>
      <c r="J447" s="78" t="str">
        <f t="shared" si="13"/>
        <v/>
      </c>
      <c r="K447" s="69"/>
    </row>
    <row r="448" spans="1:11" x14ac:dyDescent="0.3">
      <c r="A448" s="76"/>
      <c r="B448" s="69"/>
      <c r="C448" s="69"/>
      <c r="D448" s="73"/>
      <c r="E448" s="73"/>
      <c r="F448" s="78" t="str">
        <f t="shared" si="12"/>
        <v/>
      </c>
      <c r="G448" s="69"/>
      <c r="H448" s="73"/>
      <c r="I448" s="73"/>
      <c r="J448" s="78" t="str">
        <f t="shared" si="13"/>
        <v/>
      </c>
      <c r="K448" s="69"/>
    </row>
    <row r="449" spans="1:11" x14ac:dyDescent="0.3">
      <c r="A449" s="76"/>
      <c r="B449" s="69"/>
      <c r="C449" s="69"/>
      <c r="D449" s="73"/>
      <c r="E449" s="73"/>
      <c r="F449" s="78" t="str">
        <f t="shared" si="12"/>
        <v/>
      </c>
      <c r="G449" s="69"/>
      <c r="H449" s="73"/>
      <c r="I449" s="73"/>
      <c r="J449" s="78" t="str">
        <f t="shared" si="13"/>
        <v/>
      </c>
      <c r="K449" s="69"/>
    </row>
    <row r="450" spans="1:11" x14ac:dyDescent="0.3">
      <c r="A450" s="76"/>
      <c r="B450" s="69"/>
      <c r="C450" s="69"/>
      <c r="D450" s="73"/>
      <c r="E450" s="73"/>
      <c r="F450" s="78" t="str">
        <f t="shared" si="12"/>
        <v/>
      </c>
      <c r="G450" s="69"/>
      <c r="H450" s="73"/>
      <c r="I450" s="73"/>
      <c r="J450" s="78" t="str">
        <f t="shared" si="13"/>
        <v/>
      </c>
      <c r="K450" s="69"/>
    </row>
    <row r="451" spans="1:11" x14ac:dyDescent="0.3">
      <c r="A451" s="76"/>
      <c r="B451" s="69"/>
      <c r="C451" s="69"/>
      <c r="D451" s="73"/>
      <c r="E451" s="73"/>
      <c r="F451" s="78" t="str">
        <f t="shared" si="12"/>
        <v/>
      </c>
      <c r="G451" s="69"/>
      <c r="H451" s="73"/>
      <c r="I451" s="73"/>
      <c r="J451" s="78" t="str">
        <f t="shared" si="13"/>
        <v/>
      </c>
      <c r="K451" s="69"/>
    </row>
    <row r="452" spans="1:11" x14ac:dyDescent="0.3">
      <c r="A452" s="76"/>
      <c r="B452" s="69"/>
      <c r="C452" s="69"/>
      <c r="D452" s="73"/>
      <c r="E452" s="73"/>
      <c r="F452" s="78" t="str">
        <f t="shared" si="12"/>
        <v/>
      </c>
      <c r="G452" s="69"/>
      <c r="H452" s="73"/>
      <c r="I452" s="73"/>
      <c r="J452" s="78" t="str">
        <f t="shared" si="13"/>
        <v/>
      </c>
      <c r="K452" s="69"/>
    </row>
    <row r="453" spans="1:11" x14ac:dyDescent="0.3">
      <c r="A453" s="76"/>
      <c r="B453" s="69"/>
      <c r="C453" s="69"/>
      <c r="D453" s="73"/>
      <c r="E453" s="73"/>
      <c r="F453" s="78" t="str">
        <f t="shared" ref="F453:F516" si="14">IF(OR(D453="",D453=0,E453=""),"",E453/D453)</f>
        <v/>
      </c>
      <c r="G453" s="69"/>
      <c r="H453" s="73"/>
      <c r="I453" s="73"/>
      <c r="J453" s="78" t="str">
        <f t="shared" ref="J453:J516" si="15">IF(OR(H453="",H453=0,I453=""),"",I453/H453)</f>
        <v/>
      </c>
      <c r="K453" s="69"/>
    </row>
    <row r="454" spans="1:11" x14ac:dyDescent="0.3">
      <c r="A454" s="76"/>
      <c r="B454" s="69"/>
      <c r="C454" s="69"/>
      <c r="D454" s="73"/>
      <c r="E454" s="73"/>
      <c r="F454" s="78" t="str">
        <f t="shared" si="14"/>
        <v/>
      </c>
      <c r="G454" s="69"/>
      <c r="H454" s="73"/>
      <c r="I454" s="73"/>
      <c r="J454" s="78" t="str">
        <f t="shared" si="15"/>
        <v/>
      </c>
      <c r="K454" s="69"/>
    </row>
    <row r="455" spans="1:11" x14ac:dyDescent="0.3">
      <c r="A455" s="76"/>
      <c r="B455" s="69"/>
      <c r="C455" s="69"/>
      <c r="D455" s="73"/>
      <c r="E455" s="73"/>
      <c r="F455" s="78" t="str">
        <f t="shared" si="14"/>
        <v/>
      </c>
      <c r="G455" s="69"/>
      <c r="H455" s="73"/>
      <c r="I455" s="73"/>
      <c r="J455" s="78" t="str">
        <f t="shared" si="15"/>
        <v/>
      </c>
      <c r="K455" s="69"/>
    </row>
    <row r="456" spans="1:11" x14ac:dyDescent="0.3">
      <c r="A456" s="76"/>
      <c r="B456" s="69"/>
      <c r="C456" s="69"/>
      <c r="D456" s="73"/>
      <c r="E456" s="73"/>
      <c r="F456" s="78" t="str">
        <f t="shared" si="14"/>
        <v/>
      </c>
      <c r="G456" s="69"/>
      <c r="H456" s="73"/>
      <c r="I456" s="73"/>
      <c r="J456" s="78" t="str">
        <f t="shared" si="15"/>
        <v/>
      </c>
      <c r="K456" s="69"/>
    </row>
    <row r="457" spans="1:11" x14ac:dyDescent="0.3">
      <c r="A457" s="76"/>
      <c r="B457" s="69"/>
      <c r="C457" s="69"/>
      <c r="D457" s="73"/>
      <c r="E457" s="73"/>
      <c r="F457" s="78" t="str">
        <f t="shared" si="14"/>
        <v/>
      </c>
      <c r="G457" s="69"/>
      <c r="H457" s="73"/>
      <c r="I457" s="73"/>
      <c r="J457" s="78" t="str">
        <f t="shared" si="15"/>
        <v/>
      </c>
      <c r="K457" s="69"/>
    </row>
    <row r="458" spans="1:11" x14ac:dyDescent="0.3">
      <c r="A458" s="76"/>
      <c r="B458" s="69"/>
      <c r="C458" s="69"/>
      <c r="D458" s="73"/>
      <c r="E458" s="73"/>
      <c r="F458" s="78" t="str">
        <f t="shared" si="14"/>
        <v/>
      </c>
      <c r="G458" s="69"/>
      <c r="H458" s="73"/>
      <c r="I458" s="73"/>
      <c r="J458" s="78" t="str">
        <f t="shared" si="15"/>
        <v/>
      </c>
      <c r="K458" s="69"/>
    </row>
    <row r="459" spans="1:11" x14ac:dyDescent="0.3">
      <c r="A459" s="76"/>
      <c r="B459" s="69"/>
      <c r="C459" s="69"/>
      <c r="D459" s="73"/>
      <c r="E459" s="73"/>
      <c r="F459" s="78" t="str">
        <f t="shared" si="14"/>
        <v/>
      </c>
      <c r="G459" s="69"/>
      <c r="H459" s="73"/>
      <c r="I459" s="73"/>
      <c r="J459" s="78" t="str">
        <f t="shared" si="15"/>
        <v/>
      </c>
      <c r="K459" s="69"/>
    </row>
    <row r="460" spans="1:11" x14ac:dyDescent="0.3">
      <c r="A460" s="76"/>
      <c r="B460" s="69"/>
      <c r="C460" s="69"/>
      <c r="D460" s="73"/>
      <c r="E460" s="73"/>
      <c r="F460" s="78" t="str">
        <f t="shared" si="14"/>
        <v/>
      </c>
      <c r="G460" s="69"/>
      <c r="H460" s="73"/>
      <c r="I460" s="73"/>
      <c r="J460" s="78" t="str">
        <f t="shared" si="15"/>
        <v/>
      </c>
      <c r="K460" s="69"/>
    </row>
    <row r="461" spans="1:11" x14ac:dyDescent="0.3">
      <c r="A461" s="76"/>
      <c r="B461" s="69"/>
      <c r="C461" s="69"/>
      <c r="D461" s="73"/>
      <c r="E461" s="73"/>
      <c r="F461" s="78" t="str">
        <f t="shared" si="14"/>
        <v/>
      </c>
      <c r="G461" s="69"/>
      <c r="H461" s="73"/>
      <c r="I461" s="73"/>
      <c r="J461" s="78" t="str">
        <f t="shared" si="15"/>
        <v/>
      </c>
      <c r="K461" s="69"/>
    </row>
    <row r="462" spans="1:11" x14ac:dyDescent="0.3">
      <c r="A462" s="76"/>
      <c r="B462" s="69"/>
      <c r="C462" s="69"/>
      <c r="D462" s="73"/>
      <c r="E462" s="73"/>
      <c r="F462" s="78" t="str">
        <f t="shared" si="14"/>
        <v/>
      </c>
      <c r="G462" s="69"/>
      <c r="H462" s="73"/>
      <c r="I462" s="73"/>
      <c r="J462" s="78" t="str">
        <f t="shared" si="15"/>
        <v/>
      </c>
      <c r="K462" s="69"/>
    </row>
    <row r="463" spans="1:11" x14ac:dyDescent="0.3">
      <c r="A463" s="76"/>
      <c r="B463" s="69"/>
      <c r="C463" s="69"/>
      <c r="D463" s="73"/>
      <c r="E463" s="73"/>
      <c r="F463" s="78" t="str">
        <f t="shared" si="14"/>
        <v/>
      </c>
      <c r="G463" s="69"/>
      <c r="H463" s="73"/>
      <c r="I463" s="73"/>
      <c r="J463" s="78" t="str">
        <f t="shared" si="15"/>
        <v/>
      </c>
      <c r="K463" s="69"/>
    </row>
    <row r="464" spans="1:11" x14ac:dyDescent="0.3">
      <c r="A464" s="76"/>
      <c r="B464" s="69"/>
      <c r="C464" s="69"/>
      <c r="D464" s="73"/>
      <c r="E464" s="73"/>
      <c r="F464" s="78" t="str">
        <f t="shared" si="14"/>
        <v/>
      </c>
      <c r="G464" s="69"/>
      <c r="H464" s="73"/>
      <c r="I464" s="73"/>
      <c r="J464" s="78" t="str">
        <f t="shared" si="15"/>
        <v/>
      </c>
      <c r="K464" s="69"/>
    </row>
    <row r="465" spans="1:11" x14ac:dyDescent="0.3">
      <c r="A465" s="76"/>
      <c r="B465" s="69"/>
      <c r="C465" s="69"/>
      <c r="D465" s="73"/>
      <c r="E465" s="73"/>
      <c r="F465" s="78" t="str">
        <f t="shared" si="14"/>
        <v/>
      </c>
      <c r="G465" s="69"/>
      <c r="H465" s="73"/>
      <c r="I465" s="73"/>
      <c r="J465" s="78" t="str">
        <f t="shared" si="15"/>
        <v/>
      </c>
      <c r="K465" s="69"/>
    </row>
    <row r="466" spans="1:11" x14ac:dyDescent="0.3">
      <c r="A466" s="76"/>
      <c r="B466" s="69"/>
      <c r="C466" s="69"/>
      <c r="D466" s="73"/>
      <c r="E466" s="73"/>
      <c r="F466" s="78" t="str">
        <f t="shared" si="14"/>
        <v/>
      </c>
      <c r="G466" s="69"/>
      <c r="H466" s="73"/>
      <c r="I466" s="73"/>
      <c r="J466" s="78" t="str">
        <f t="shared" si="15"/>
        <v/>
      </c>
      <c r="K466" s="69"/>
    </row>
    <row r="467" spans="1:11" x14ac:dyDescent="0.3">
      <c r="A467" s="76"/>
      <c r="B467" s="69"/>
      <c r="C467" s="69"/>
      <c r="D467" s="73"/>
      <c r="E467" s="73"/>
      <c r="F467" s="78" t="str">
        <f t="shared" si="14"/>
        <v/>
      </c>
      <c r="G467" s="69"/>
      <c r="H467" s="73"/>
      <c r="I467" s="73"/>
      <c r="J467" s="78" t="str">
        <f t="shared" si="15"/>
        <v/>
      </c>
      <c r="K467" s="69"/>
    </row>
    <row r="468" spans="1:11" x14ac:dyDescent="0.3">
      <c r="A468" s="76"/>
      <c r="B468" s="69"/>
      <c r="C468" s="69"/>
      <c r="D468" s="73"/>
      <c r="E468" s="73"/>
      <c r="F468" s="78" t="str">
        <f t="shared" si="14"/>
        <v/>
      </c>
      <c r="G468" s="69"/>
      <c r="H468" s="73"/>
      <c r="I468" s="73"/>
      <c r="J468" s="78" t="str">
        <f t="shared" si="15"/>
        <v/>
      </c>
      <c r="K468" s="69"/>
    </row>
    <row r="469" spans="1:11" x14ac:dyDescent="0.3">
      <c r="A469" s="76"/>
      <c r="B469" s="69"/>
      <c r="C469" s="69"/>
      <c r="D469" s="73"/>
      <c r="E469" s="73"/>
      <c r="F469" s="78" t="str">
        <f t="shared" si="14"/>
        <v/>
      </c>
      <c r="G469" s="69"/>
      <c r="H469" s="73"/>
      <c r="I469" s="73"/>
      <c r="J469" s="78" t="str">
        <f t="shared" si="15"/>
        <v/>
      </c>
      <c r="K469" s="69"/>
    </row>
    <row r="470" spans="1:11" x14ac:dyDescent="0.3">
      <c r="A470" s="76"/>
      <c r="B470" s="69"/>
      <c r="C470" s="69"/>
      <c r="D470" s="73"/>
      <c r="E470" s="73"/>
      <c r="F470" s="78" t="str">
        <f t="shared" si="14"/>
        <v/>
      </c>
      <c r="G470" s="69"/>
      <c r="H470" s="73"/>
      <c r="I470" s="73"/>
      <c r="J470" s="78" t="str">
        <f t="shared" si="15"/>
        <v/>
      </c>
      <c r="K470" s="69"/>
    </row>
    <row r="471" spans="1:11" x14ac:dyDescent="0.3">
      <c r="A471" s="76"/>
      <c r="B471" s="69"/>
      <c r="C471" s="69"/>
      <c r="D471" s="73"/>
      <c r="E471" s="73"/>
      <c r="F471" s="78" t="str">
        <f t="shared" si="14"/>
        <v/>
      </c>
      <c r="G471" s="69"/>
      <c r="H471" s="73"/>
      <c r="I471" s="73"/>
      <c r="J471" s="78" t="str">
        <f t="shared" si="15"/>
        <v/>
      </c>
      <c r="K471" s="69"/>
    </row>
    <row r="472" spans="1:11" x14ac:dyDescent="0.3">
      <c r="A472" s="76"/>
      <c r="B472" s="69"/>
      <c r="C472" s="69"/>
      <c r="D472" s="73"/>
      <c r="E472" s="73"/>
      <c r="F472" s="78" t="str">
        <f t="shared" si="14"/>
        <v/>
      </c>
      <c r="G472" s="69"/>
      <c r="H472" s="73"/>
      <c r="I472" s="73"/>
      <c r="J472" s="78" t="str">
        <f t="shared" si="15"/>
        <v/>
      </c>
      <c r="K472" s="69"/>
    </row>
    <row r="473" spans="1:11" x14ac:dyDescent="0.3">
      <c r="A473" s="76"/>
      <c r="B473" s="69"/>
      <c r="C473" s="69"/>
      <c r="D473" s="73"/>
      <c r="E473" s="73"/>
      <c r="F473" s="78" t="str">
        <f t="shared" si="14"/>
        <v/>
      </c>
      <c r="G473" s="69"/>
      <c r="H473" s="73"/>
      <c r="I473" s="73"/>
      <c r="J473" s="78" t="str">
        <f t="shared" si="15"/>
        <v/>
      </c>
      <c r="K473" s="69"/>
    </row>
    <row r="474" spans="1:11" x14ac:dyDescent="0.3">
      <c r="A474" s="76"/>
      <c r="B474" s="69"/>
      <c r="C474" s="69"/>
      <c r="D474" s="73"/>
      <c r="E474" s="73"/>
      <c r="F474" s="78" t="str">
        <f t="shared" si="14"/>
        <v/>
      </c>
      <c r="G474" s="69"/>
      <c r="H474" s="73"/>
      <c r="I474" s="73"/>
      <c r="J474" s="78" t="str">
        <f t="shared" si="15"/>
        <v/>
      </c>
      <c r="K474" s="69"/>
    </row>
    <row r="475" spans="1:11" x14ac:dyDescent="0.3">
      <c r="A475" s="76"/>
      <c r="B475" s="69"/>
      <c r="C475" s="69"/>
      <c r="D475" s="73"/>
      <c r="E475" s="73"/>
      <c r="F475" s="78" t="str">
        <f t="shared" si="14"/>
        <v/>
      </c>
      <c r="G475" s="69"/>
      <c r="H475" s="73"/>
      <c r="I475" s="73"/>
      <c r="J475" s="78" t="str">
        <f t="shared" si="15"/>
        <v/>
      </c>
      <c r="K475" s="69"/>
    </row>
    <row r="476" spans="1:11" x14ac:dyDescent="0.3">
      <c r="A476" s="76"/>
      <c r="B476" s="69"/>
      <c r="C476" s="69"/>
      <c r="D476" s="73"/>
      <c r="E476" s="73"/>
      <c r="F476" s="78" t="str">
        <f t="shared" si="14"/>
        <v/>
      </c>
      <c r="G476" s="69"/>
      <c r="H476" s="73"/>
      <c r="I476" s="73"/>
      <c r="J476" s="78" t="str">
        <f t="shared" si="15"/>
        <v/>
      </c>
      <c r="K476" s="69"/>
    </row>
    <row r="477" spans="1:11" x14ac:dyDescent="0.3">
      <c r="A477" s="76"/>
      <c r="B477" s="69"/>
      <c r="C477" s="69"/>
      <c r="D477" s="73"/>
      <c r="E477" s="73"/>
      <c r="F477" s="78" t="str">
        <f t="shared" si="14"/>
        <v/>
      </c>
      <c r="G477" s="69"/>
      <c r="H477" s="73"/>
      <c r="I477" s="73"/>
      <c r="J477" s="78" t="str">
        <f t="shared" si="15"/>
        <v/>
      </c>
      <c r="K477" s="69"/>
    </row>
    <row r="478" spans="1:11" x14ac:dyDescent="0.3">
      <c r="A478" s="76"/>
      <c r="B478" s="69"/>
      <c r="C478" s="69"/>
      <c r="D478" s="73"/>
      <c r="E478" s="73"/>
      <c r="F478" s="78" t="str">
        <f t="shared" si="14"/>
        <v/>
      </c>
      <c r="G478" s="69"/>
      <c r="H478" s="73"/>
      <c r="I478" s="73"/>
      <c r="J478" s="78" t="str">
        <f t="shared" si="15"/>
        <v/>
      </c>
      <c r="K478" s="69"/>
    </row>
    <row r="479" spans="1:11" x14ac:dyDescent="0.3">
      <c r="A479" s="76"/>
      <c r="B479" s="69"/>
      <c r="C479" s="69"/>
      <c r="D479" s="73"/>
      <c r="E479" s="73"/>
      <c r="F479" s="78" t="str">
        <f t="shared" si="14"/>
        <v/>
      </c>
      <c r="G479" s="69"/>
      <c r="H479" s="73"/>
      <c r="I479" s="73"/>
      <c r="J479" s="78" t="str">
        <f t="shared" si="15"/>
        <v/>
      </c>
      <c r="K479" s="69"/>
    </row>
    <row r="480" spans="1:11" x14ac:dyDescent="0.3">
      <c r="A480" s="76"/>
      <c r="B480" s="69"/>
      <c r="C480" s="69"/>
      <c r="D480" s="73"/>
      <c r="E480" s="73"/>
      <c r="F480" s="78" t="str">
        <f t="shared" si="14"/>
        <v/>
      </c>
      <c r="G480" s="69"/>
      <c r="H480" s="73"/>
      <c r="I480" s="73"/>
      <c r="J480" s="78" t="str">
        <f t="shared" si="15"/>
        <v/>
      </c>
      <c r="K480" s="69"/>
    </row>
    <row r="481" spans="1:11" x14ac:dyDescent="0.3">
      <c r="A481" s="76"/>
      <c r="B481" s="69"/>
      <c r="C481" s="69"/>
      <c r="D481" s="73"/>
      <c r="E481" s="73"/>
      <c r="F481" s="78" t="str">
        <f t="shared" si="14"/>
        <v/>
      </c>
      <c r="G481" s="69"/>
      <c r="H481" s="73"/>
      <c r="I481" s="73"/>
      <c r="J481" s="78" t="str">
        <f t="shared" si="15"/>
        <v/>
      </c>
      <c r="K481" s="69"/>
    </row>
    <row r="482" spans="1:11" x14ac:dyDescent="0.3">
      <c r="A482" s="76"/>
      <c r="B482" s="69"/>
      <c r="C482" s="69"/>
      <c r="D482" s="73"/>
      <c r="E482" s="73"/>
      <c r="F482" s="78" t="str">
        <f t="shared" si="14"/>
        <v/>
      </c>
      <c r="G482" s="69"/>
      <c r="H482" s="73"/>
      <c r="I482" s="73"/>
      <c r="J482" s="78" t="str">
        <f t="shared" si="15"/>
        <v/>
      </c>
      <c r="K482" s="69"/>
    </row>
    <row r="483" spans="1:11" x14ac:dyDescent="0.3">
      <c r="A483" s="76"/>
      <c r="B483" s="69"/>
      <c r="C483" s="69"/>
      <c r="D483" s="73"/>
      <c r="E483" s="73"/>
      <c r="F483" s="78" t="str">
        <f t="shared" si="14"/>
        <v/>
      </c>
      <c r="G483" s="69"/>
      <c r="H483" s="73"/>
      <c r="I483" s="73"/>
      <c r="J483" s="78" t="str">
        <f t="shared" si="15"/>
        <v/>
      </c>
      <c r="K483" s="69"/>
    </row>
    <row r="484" spans="1:11" x14ac:dyDescent="0.3">
      <c r="A484" s="76"/>
      <c r="B484" s="69"/>
      <c r="C484" s="69"/>
      <c r="D484" s="73"/>
      <c r="E484" s="73"/>
      <c r="F484" s="78" t="str">
        <f t="shared" si="14"/>
        <v/>
      </c>
      <c r="G484" s="69"/>
      <c r="H484" s="73"/>
      <c r="I484" s="73"/>
      <c r="J484" s="78" t="str">
        <f t="shared" si="15"/>
        <v/>
      </c>
      <c r="K484" s="69"/>
    </row>
    <row r="485" spans="1:11" x14ac:dyDescent="0.3">
      <c r="A485" s="76"/>
      <c r="B485" s="69"/>
      <c r="C485" s="69"/>
      <c r="D485" s="73"/>
      <c r="E485" s="73"/>
      <c r="F485" s="78" t="str">
        <f t="shared" si="14"/>
        <v/>
      </c>
      <c r="G485" s="69"/>
      <c r="H485" s="73"/>
      <c r="I485" s="73"/>
      <c r="J485" s="78" t="str">
        <f t="shared" si="15"/>
        <v/>
      </c>
      <c r="K485" s="69"/>
    </row>
    <row r="486" spans="1:11" x14ac:dyDescent="0.3">
      <c r="A486" s="76"/>
      <c r="B486" s="69"/>
      <c r="C486" s="69"/>
      <c r="D486" s="73"/>
      <c r="E486" s="73"/>
      <c r="F486" s="78" t="str">
        <f t="shared" si="14"/>
        <v/>
      </c>
      <c r="G486" s="69"/>
      <c r="H486" s="73"/>
      <c r="I486" s="73"/>
      <c r="J486" s="78" t="str">
        <f t="shared" si="15"/>
        <v/>
      </c>
      <c r="K486" s="69"/>
    </row>
    <row r="487" spans="1:11" x14ac:dyDescent="0.3">
      <c r="A487" s="76"/>
      <c r="B487" s="69"/>
      <c r="C487" s="69"/>
      <c r="D487" s="73"/>
      <c r="E487" s="73"/>
      <c r="F487" s="78" t="str">
        <f t="shared" si="14"/>
        <v/>
      </c>
      <c r="G487" s="69"/>
      <c r="H487" s="73"/>
      <c r="I487" s="73"/>
      <c r="J487" s="78" t="str">
        <f t="shared" si="15"/>
        <v/>
      </c>
      <c r="K487" s="69"/>
    </row>
    <row r="488" spans="1:11" x14ac:dyDescent="0.3">
      <c r="A488" s="76"/>
      <c r="B488" s="69"/>
      <c r="C488" s="69"/>
      <c r="D488" s="73"/>
      <c r="E488" s="73"/>
      <c r="F488" s="78" t="str">
        <f t="shared" si="14"/>
        <v/>
      </c>
      <c r="G488" s="69"/>
      <c r="H488" s="73"/>
      <c r="I488" s="73"/>
      <c r="J488" s="78" t="str">
        <f t="shared" si="15"/>
        <v/>
      </c>
      <c r="K488" s="69"/>
    </row>
    <row r="489" spans="1:11" x14ac:dyDescent="0.3">
      <c r="A489" s="76"/>
      <c r="B489" s="69"/>
      <c r="C489" s="69"/>
      <c r="D489" s="73"/>
      <c r="E489" s="73"/>
      <c r="F489" s="78" t="str">
        <f t="shared" si="14"/>
        <v/>
      </c>
      <c r="G489" s="69"/>
      <c r="H489" s="73"/>
      <c r="I489" s="73"/>
      <c r="J489" s="78" t="str">
        <f t="shared" si="15"/>
        <v/>
      </c>
      <c r="K489" s="69"/>
    </row>
    <row r="490" spans="1:11" x14ac:dyDescent="0.3">
      <c r="A490" s="76"/>
      <c r="B490" s="69"/>
      <c r="C490" s="69"/>
      <c r="D490" s="73"/>
      <c r="E490" s="73"/>
      <c r="F490" s="78" t="str">
        <f t="shared" si="14"/>
        <v/>
      </c>
      <c r="G490" s="69"/>
      <c r="H490" s="73"/>
      <c r="I490" s="73"/>
      <c r="J490" s="78" t="str">
        <f t="shared" si="15"/>
        <v/>
      </c>
      <c r="K490" s="69"/>
    </row>
    <row r="491" spans="1:11" x14ac:dyDescent="0.3">
      <c r="A491" s="76"/>
      <c r="B491" s="69"/>
      <c r="C491" s="69"/>
      <c r="D491" s="73"/>
      <c r="E491" s="73"/>
      <c r="F491" s="78" t="str">
        <f t="shared" si="14"/>
        <v/>
      </c>
      <c r="G491" s="69"/>
      <c r="H491" s="73"/>
      <c r="I491" s="73"/>
      <c r="J491" s="78" t="str">
        <f t="shared" si="15"/>
        <v/>
      </c>
      <c r="K491" s="69"/>
    </row>
    <row r="492" spans="1:11" x14ac:dyDescent="0.3">
      <c r="A492" s="76"/>
      <c r="B492" s="69"/>
      <c r="C492" s="69"/>
      <c r="D492" s="73"/>
      <c r="E492" s="73"/>
      <c r="F492" s="78" t="str">
        <f t="shared" si="14"/>
        <v/>
      </c>
      <c r="G492" s="69"/>
      <c r="H492" s="73"/>
      <c r="I492" s="73"/>
      <c r="J492" s="78" t="str">
        <f t="shared" si="15"/>
        <v/>
      </c>
      <c r="K492" s="69"/>
    </row>
    <row r="493" spans="1:11" x14ac:dyDescent="0.3">
      <c r="A493" s="76"/>
      <c r="B493" s="69"/>
      <c r="C493" s="69"/>
      <c r="D493" s="73"/>
      <c r="E493" s="73"/>
      <c r="F493" s="78" t="str">
        <f t="shared" si="14"/>
        <v/>
      </c>
      <c r="G493" s="69"/>
      <c r="H493" s="73"/>
      <c r="I493" s="73"/>
      <c r="J493" s="78" t="str">
        <f t="shared" si="15"/>
        <v/>
      </c>
      <c r="K493" s="69"/>
    </row>
    <row r="494" spans="1:11" x14ac:dyDescent="0.3">
      <c r="A494" s="76"/>
      <c r="B494" s="69"/>
      <c r="C494" s="69"/>
      <c r="D494" s="73"/>
      <c r="E494" s="73"/>
      <c r="F494" s="78" t="str">
        <f t="shared" si="14"/>
        <v/>
      </c>
      <c r="G494" s="69"/>
      <c r="H494" s="73"/>
      <c r="I494" s="73"/>
      <c r="J494" s="78" t="str">
        <f t="shared" si="15"/>
        <v/>
      </c>
      <c r="K494" s="69"/>
    </row>
    <row r="495" spans="1:11" x14ac:dyDescent="0.3">
      <c r="A495" s="76"/>
      <c r="B495" s="69"/>
      <c r="C495" s="69"/>
      <c r="D495" s="73"/>
      <c r="E495" s="73"/>
      <c r="F495" s="78" t="str">
        <f t="shared" si="14"/>
        <v/>
      </c>
      <c r="G495" s="69"/>
      <c r="H495" s="73"/>
      <c r="I495" s="73"/>
      <c r="J495" s="78" t="str">
        <f t="shared" si="15"/>
        <v/>
      </c>
      <c r="K495" s="69"/>
    </row>
    <row r="496" spans="1:11" x14ac:dyDescent="0.3">
      <c r="A496" s="76"/>
      <c r="B496" s="69"/>
      <c r="C496" s="69"/>
      <c r="D496" s="73"/>
      <c r="E496" s="73"/>
      <c r="F496" s="78" t="str">
        <f t="shared" si="14"/>
        <v/>
      </c>
      <c r="G496" s="69"/>
      <c r="H496" s="73"/>
      <c r="I496" s="73"/>
      <c r="J496" s="78" t="str">
        <f t="shared" si="15"/>
        <v/>
      </c>
      <c r="K496" s="69"/>
    </row>
    <row r="497" spans="1:11" x14ac:dyDescent="0.3">
      <c r="A497" s="76"/>
      <c r="B497" s="69"/>
      <c r="C497" s="69"/>
      <c r="D497" s="73"/>
      <c r="E497" s="73"/>
      <c r="F497" s="78" t="str">
        <f t="shared" si="14"/>
        <v/>
      </c>
      <c r="G497" s="69"/>
      <c r="H497" s="73"/>
      <c r="I497" s="73"/>
      <c r="J497" s="78" t="str">
        <f t="shared" si="15"/>
        <v/>
      </c>
      <c r="K497" s="69"/>
    </row>
    <row r="498" spans="1:11" x14ac:dyDescent="0.3">
      <c r="A498" s="76"/>
      <c r="B498" s="69"/>
      <c r="C498" s="69"/>
      <c r="D498" s="73"/>
      <c r="E498" s="73"/>
      <c r="F498" s="78" t="str">
        <f t="shared" si="14"/>
        <v/>
      </c>
      <c r="G498" s="69"/>
      <c r="H498" s="73"/>
      <c r="I498" s="73"/>
      <c r="J498" s="78" t="str">
        <f t="shared" si="15"/>
        <v/>
      </c>
      <c r="K498" s="69"/>
    </row>
    <row r="499" spans="1:11" x14ac:dyDescent="0.3">
      <c r="A499" s="76"/>
      <c r="B499" s="69"/>
      <c r="C499" s="69"/>
      <c r="D499" s="73"/>
      <c r="E499" s="73"/>
      <c r="F499" s="78" t="str">
        <f t="shared" si="14"/>
        <v/>
      </c>
      <c r="G499" s="69"/>
      <c r="H499" s="73"/>
      <c r="I499" s="73"/>
      <c r="J499" s="78" t="str">
        <f t="shared" si="15"/>
        <v/>
      </c>
      <c r="K499" s="69"/>
    </row>
    <row r="500" spans="1:11" x14ac:dyDescent="0.3">
      <c r="A500" s="76"/>
      <c r="B500" s="69"/>
      <c r="C500" s="69"/>
      <c r="D500" s="73"/>
      <c r="E500" s="73"/>
      <c r="F500" s="78" t="str">
        <f t="shared" si="14"/>
        <v/>
      </c>
      <c r="G500" s="69"/>
      <c r="H500" s="73"/>
      <c r="I500" s="73"/>
      <c r="J500" s="78" t="str">
        <f t="shared" si="15"/>
        <v/>
      </c>
      <c r="K500" s="69"/>
    </row>
    <row r="501" spans="1:11" x14ac:dyDescent="0.3">
      <c r="A501" s="76"/>
      <c r="B501" s="69"/>
      <c r="C501" s="69"/>
      <c r="D501" s="73"/>
      <c r="E501" s="73"/>
      <c r="F501" s="78" t="str">
        <f t="shared" si="14"/>
        <v/>
      </c>
      <c r="G501" s="69"/>
      <c r="H501" s="73"/>
      <c r="I501" s="73"/>
      <c r="J501" s="78" t="str">
        <f t="shared" si="15"/>
        <v/>
      </c>
      <c r="K501" s="69"/>
    </row>
    <row r="502" spans="1:11" x14ac:dyDescent="0.3">
      <c r="A502" s="76"/>
      <c r="B502" s="69"/>
      <c r="C502" s="69"/>
      <c r="D502" s="73"/>
      <c r="E502" s="73"/>
      <c r="F502" s="78" t="str">
        <f t="shared" si="14"/>
        <v/>
      </c>
      <c r="G502" s="69"/>
      <c r="H502" s="73"/>
      <c r="I502" s="73"/>
      <c r="J502" s="78" t="str">
        <f t="shared" si="15"/>
        <v/>
      </c>
      <c r="K502" s="69"/>
    </row>
    <row r="503" spans="1:11" x14ac:dyDescent="0.3">
      <c r="A503" s="76"/>
      <c r="B503" s="69"/>
      <c r="C503" s="69"/>
      <c r="D503" s="73"/>
      <c r="E503" s="73"/>
      <c r="F503" s="78" t="str">
        <f t="shared" si="14"/>
        <v/>
      </c>
      <c r="G503" s="69"/>
      <c r="H503" s="73"/>
      <c r="I503" s="73"/>
      <c r="J503" s="78" t="str">
        <f t="shared" si="15"/>
        <v/>
      </c>
      <c r="K503" s="69"/>
    </row>
    <row r="504" spans="1:11" x14ac:dyDescent="0.3">
      <c r="A504" s="76"/>
      <c r="B504" s="69"/>
      <c r="C504" s="69"/>
      <c r="D504" s="73"/>
      <c r="E504" s="73"/>
      <c r="F504" s="78" t="str">
        <f t="shared" si="14"/>
        <v/>
      </c>
      <c r="G504" s="69"/>
      <c r="H504" s="73"/>
      <c r="I504" s="73"/>
      <c r="J504" s="78" t="str">
        <f t="shared" si="15"/>
        <v/>
      </c>
      <c r="K504" s="6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48235"/>
  </sheetPr>
  <dimension ref="A1:J5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1" customWidth="1"/>
    <col min="2" max="2" width="10" customWidth="1"/>
    <col min="3" max="3" width="36" customWidth="1"/>
    <col min="4" max="4" width="12" customWidth="1"/>
    <col min="5" max="5" width="13" customWidth="1"/>
    <col min="6" max="6" width="14" customWidth="1"/>
    <col min="7" max="8" width="12" customWidth="1"/>
    <col min="9" max="9" width="11" customWidth="1"/>
    <col min="10" max="10" width="30" customWidth="1"/>
  </cols>
  <sheetData>
    <row r="1" spans="1:10" ht="21" x14ac:dyDescent="0.4">
      <c r="A1" s="40" t="s">
        <v>628</v>
      </c>
    </row>
    <row r="2" spans="1:10" x14ac:dyDescent="0.3">
      <c r="A2" s="41" t="s">
        <v>629</v>
      </c>
    </row>
    <row r="4" spans="1:10" ht="31.5" customHeight="1" x14ac:dyDescent="0.3">
      <c r="A4" s="42" t="s">
        <v>630</v>
      </c>
      <c r="B4" s="42" t="s">
        <v>308</v>
      </c>
      <c r="C4" s="42" t="s">
        <v>631</v>
      </c>
      <c r="D4" s="42" t="s">
        <v>150</v>
      </c>
      <c r="E4" s="42" t="s">
        <v>632</v>
      </c>
      <c r="F4" s="42" t="s">
        <v>633</v>
      </c>
      <c r="G4" s="42" t="s">
        <v>99</v>
      </c>
      <c r="H4" s="42" t="s">
        <v>320</v>
      </c>
      <c r="I4" s="42" t="s">
        <v>323</v>
      </c>
      <c r="J4" s="42" t="s">
        <v>269</v>
      </c>
    </row>
    <row r="5" spans="1:10" x14ac:dyDescent="0.3">
      <c r="A5" s="69" t="s">
        <v>634</v>
      </c>
      <c r="B5" s="69" t="s">
        <v>332</v>
      </c>
      <c r="C5" s="69" t="s">
        <v>635</v>
      </c>
      <c r="D5" s="69" t="s">
        <v>201</v>
      </c>
      <c r="E5" s="68">
        <v>46042</v>
      </c>
      <c r="F5" s="68">
        <v>46045</v>
      </c>
      <c r="G5" s="69" t="s">
        <v>327</v>
      </c>
      <c r="H5" s="67" t="str">
        <f t="shared" ref="H5:H68" ca="1" si="0">IF(E5="","",IF(G5&lt;&gt;"Completed",IF(E5&lt;TODAY(),"Overdue",""),IF(F5&lt;=E5,"Yes","No")))</f>
        <v>No</v>
      </c>
      <c r="I5" s="74">
        <f t="shared" ref="I5:I68" si="1">IF(OR(E5="",F5=""),"",F5-E5)</f>
        <v>3</v>
      </c>
      <c r="J5" s="69"/>
    </row>
    <row r="6" spans="1:10" x14ac:dyDescent="0.3">
      <c r="A6" s="69" t="s">
        <v>636</v>
      </c>
      <c r="B6" s="69" t="s">
        <v>335</v>
      </c>
      <c r="C6" s="69" t="s">
        <v>637</v>
      </c>
      <c r="D6" s="69" t="s">
        <v>188</v>
      </c>
      <c r="E6" s="68">
        <v>46078</v>
      </c>
      <c r="F6" s="68">
        <v>46079</v>
      </c>
      <c r="G6" s="69" t="s">
        <v>327</v>
      </c>
      <c r="H6" s="67" t="str">
        <f t="shared" ca="1" si="0"/>
        <v>No</v>
      </c>
      <c r="I6" s="74">
        <f t="shared" si="1"/>
        <v>1</v>
      </c>
      <c r="J6" s="69"/>
    </row>
    <row r="7" spans="1:10" x14ac:dyDescent="0.3">
      <c r="A7" s="69" t="s">
        <v>638</v>
      </c>
      <c r="B7" s="69" t="s">
        <v>335</v>
      </c>
      <c r="C7" s="69" t="s">
        <v>639</v>
      </c>
      <c r="D7" s="69" t="s">
        <v>183</v>
      </c>
      <c r="E7" s="68">
        <v>46098</v>
      </c>
      <c r="F7" s="68">
        <v>46098</v>
      </c>
      <c r="G7" s="69" t="s">
        <v>327</v>
      </c>
      <c r="H7" s="67" t="str">
        <f t="shared" ca="1" si="0"/>
        <v>Yes</v>
      </c>
      <c r="I7" s="74">
        <f t="shared" si="1"/>
        <v>0</v>
      </c>
      <c r="J7" s="69"/>
    </row>
    <row r="8" spans="1:10" x14ac:dyDescent="0.3">
      <c r="A8" s="69" t="s">
        <v>640</v>
      </c>
      <c r="B8" s="69" t="s">
        <v>332</v>
      </c>
      <c r="C8" s="69" t="s">
        <v>637</v>
      </c>
      <c r="D8" s="69" t="s">
        <v>176</v>
      </c>
      <c r="E8" s="68">
        <v>46139</v>
      </c>
      <c r="F8" s="68">
        <v>46139</v>
      </c>
      <c r="G8" s="69" t="s">
        <v>327</v>
      </c>
      <c r="H8" s="67" t="str">
        <f t="shared" ca="1" si="0"/>
        <v>Yes</v>
      </c>
      <c r="I8" s="74">
        <f t="shared" si="1"/>
        <v>0</v>
      </c>
      <c r="J8" s="69"/>
    </row>
    <row r="9" spans="1:10" x14ac:dyDescent="0.3">
      <c r="A9" s="69" t="s">
        <v>641</v>
      </c>
      <c r="B9" s="69" t="s">
        <v>341</v>
      </c>
      <c r="C9" s="69" t="s">
        <v>637</v>
      </c>
      <c r="D9" s="69" t="s">
        <v>176</v>
      </c>
      <c r="E9" s="68">
        <v>46168</v>
      </c>
      <c r="F9" s="68">
        <v>46171</v>
      </c>
      <c r="G9" s="69" t="s">
        <v>327</v>
      </c>
      <c r="H9" s="67" t="str">
        <f t="shared" ca="1" si="0"/>
        <v>No</v>
      </c>
      <c r="I9" s="74">
        <f t="shared" si="1"/>
        <v>3</v>
      </c>
      <c r="J9" s="69"/>
    </row>
    <row r="10" spans="1:10" x14ac:dyDescent="0.3">
      <c r="A10" s="69" t="s">
        <v>642</v>
      </c>
      <c r="B10" s="69" t="s">
        <v>282</v>
      </c>
      <c r="C10" s="69" t="s">
        <v>643</v>
      </c>
      <c r="D10" s="69" t="s">
        <v>170</v>
      </c>
      <c r="E10" s="68">
        <v>46186</v>
      </c>
      <c r="F10" s="68">
        <v>46186</v>
      </c>
      <c r="G10" s="69" t="s">
        <v>327</v>
      </c>
      <c r="H10" s="67" t="str">
        <f t="shared" ca="1" si="0"/>
        <v>Yes</v>
      </c>
      <c r="I10" s="74">
        <f t="shared" si="1"/>
        <v>0</v>
      </c>
      <c r="J10" s="69"/>
    </row>
    <row r="11" spans="1:10" x14ac:dyDescent="0.3">
      <c r="A11" s="69" t="s">
        <v>644</v>
      </c>
      <c r="B11" s="69" t="s">
        <v>335</v>
      </c>
      <c r="C11" s="69" t="s">
        <v>645</v>
      </c>
      <c r="D11" s="69" t="s">
        <v>170</v>
      </c>
      <c r="E11" s="68">
        <v>46227</v>
      </c>
      <c r="F11" s="68">
        <v>46225</v>
      </c>
      <c r="G11" s="69" t="s">
        <v>327</v>
      </c>
      <c r="H11" s="67" t="str">
        <f t="shared" ca="1" si="0"/>
        <v>Yes</v>
      </c>
      <c r="I11" s="74">
        <f t="shared" si="1"/>
        <v>-2</v>
      </c>
      <c r="J11" s="69"/>
    </row>
    <row r="12" spans="1:10" x14ac:dyDescent="0.3">
      <c r="A12" s="69" t="s">
        <v>646</v>
      </c>
      <c r="B12" s="69" t="s">
        <v>282</v>
      </c>
      <c r="C12" s="69" t="s">
        <v>645</v>
      </c>
      <c r="D12" s="69" t="s">
        <v>183</v>
      </c>
      <c r="E12" s="68">
        <v>46241</v>
      </c>
      <c r="F12" s="68">
        <v>46242</v>
      </c>
      <c r="G12" s="69" t="s">
        <v>327</v>
      </c>
      <c r="H12" s="67" t="str">
        <f t="shared" ca="1" si="0"/>
        <v>No</v>
      </c>
      <c r="I12" s="74">
        <f t="shared" si="1"/>
        <v>1</v>
      </c>
      <c r="J12" s="69"/>
    </row>
    <row r="13" spans="1:10" x14ac:dyDescent="0.3">
      <c r="A13" s="69" t="s">
        <v>647</v>
      </c>
      <c r="B13" s="69" t="s">
        <v>329</v>
      </c>
      <c r="C13" s="69" t="s">
        <v>639</v>
      </c>
      <c r="D13" s="69" t="s">
        <v>176</v>
      </c>
      <c r="E13" s="68">
        <v>46274</v>
      </c>
      <c r="F13" s="68">
        <v>46272</v>
      </c>
      <c r="G13" s="69" t="s">
        <v>327</v>
      </c>
      <c r="H13" s="67" t="str">
        <f t="shared" ca="1" si="0"/>
        <v>Yes</v>
      </c>
      <c r="I13" s="74">
        <f t="shared" si="1"/>
        <v>-2</v>
      </c>
      <c r="J13" s="69"/>
    </row>
    <row r="14" spans="1:10" x14ac:dyDescent="0.3">
      <c r="A14" s="69" t="s">
        <v>648</v>
      </c>
      <c r="B14" s="69" t="s">
        <v>292</v>
      </c>
      <c r="C14" s="69" t="s">
        <v>645</v>
      </c>
      <c r="D14" s="69" t="s">
        <v>176</v>
      </c>
      <c r="E14" s="68">
        <v>46310</v>
      </c>
      <c r="F14" s="68">
        <v>46305</v>
      </c>
      <c r="G14" s="69" t="s">
        <v>327</v>
      </c>
      <c r="H14" s="67" t="str">
        <f t="shared" ca="1" si="0"/>
        <v>Yes</v>
      </c>
      <c r="I14" s="74">
        <f t="shared" si="1"/>
        <v>-5</v>
      </c>
      <c r="J14" s="69"/>
    </row>
    <row r="15" spans="1:10" x14ac:dyDescent="0.3">
      <c r="A15" s="69" t="s">
        <v>649</v>
      </c>
      <c r="B15" s="69" t="s">
        <v>345</v>
      </c>
      <c r="C15" s="69" t="s">
        <v>650</v>
      </c>
      <c r="D15" s="69" t="s">
        <v>170</v>
      </c>
      <c r="E15" s="68">
        <v>46041</v>
      </c>
      <c r="F15" s="68">
        <v>46042</v>
      </c>
      <c r="G15" s="69" t="s">
        <v>327</v>
      </c>
      <c r="H15" s="67" t="str">
        <f t="shared" ca="1" si="0"/>
        <v>No</v>
      </c>
      <c r="I15" s="74">
        <f t="shared" si="1"/>
        <v>1</v>
      </c>
      <c r="J15" s="69"/>
    </row>
    <row r="16" spans="1:10" x14ac:dyDescent="0.3">
      <c r="A16" s="69" t="s">
        <v>651</v>
      </c>
      <c r="B16" s="69" t="s">
        <v>292</v>
      </c>
      <c r="C16" s="69" t="s">
        <v>650</v>
      </c>
      <c r="D16" s="69" t="s">
        <v>176</v>
      </c>
      <c r="E16" s="68">
        <v>46064</v>
      </c>
      <c r="F16" s="68">
        <v>46064</v>
      </c>
      <c r="G16" s="69" t="s">
        <v>327</v>
      </c>
      <c r="H16" s="67" t="str">
        <f t="shared" ca="1" si="0"/>
        <v>Yes</v>
      </c>
      <c r="I16" s="74">
        <f t="shared" si="1"/>
        <v>0</v>
      </c>
      <c r="J16" s="69"/>
    </row>
    <row r="17" spans="1:10" x14ac:dyDescent="0.3">
      <c r="A17" s="69" t="s">
        <v>652</v>
      </c>
      <c r="B17" s="69" t="s">
        <v>292</v>
      </c>
      <c r="C17" s="69" t="s">
        <v>653</v>
      </c>
      <c r="D17" s="69" t="s">
        <v>176</v>
      </c>
      <c r="E17" s="68">
        <v>46097</v>
      </c>
      <c r="F17" s="68">
        <v>46097</v>
      </c>
      <c r="G17" s="69" t="s">
        <v>327</v>
      </c>
      <c r="H17" s="67" t="str">
        <f t="shared" ca="1" si="0"/>
        <v>Yes</v>
      </c>
      <c r="I17" s="74">
        <f t="shared" si="1"/>
        <v>0</v>
      </c>
      <c r="J17" s="69"/>
    </row>
    <row r="18" spans="1:10" x14ac:dyDescent="0.3">
      <c r="A18" s="69" t="s">
        <v>654</v>
      </c>
      <c r="B18" s="69" t="s">
        <v>329</v>
      </c>
      <c r="C18" s="69" t="s">
        <v>635</v>
      </c>
      <c r="D18" s="69" t="s">
        <v>194</v>
      </c>
      <c r="E18" s="68">
        <v>46136</v>
      </c>
      <c r="F18" s="68">
        <v>46136</v>
      </c>
      <c r="G18" s="69" t="s">
        <v>327</v>
      </c>
      <c r="H18" s="67" t="str">
        <f t="shared" ca="1" si="0"/>
        <v>Yes</v>
      </c>
      <c r="I18" s="74">
        <f t="shared" si="1"/>
        <v>0</v>
      </c>
      <c r="J18" s="69"/>
    </row>
    <row r="19" spans="1:10" x14ac:dyDescent="0.3">
      <c r="A19" s="69" t="s">
        <v>655</v>
      </c>
      <c r="B19" s="69" t="s">
        <v>329</v>
      </c>
      <c r="C19" s="69" t="s">
        <v>645</v>
      </c>
      <c r="D19" s="69" t="s">
        <v>176</v>
      </c>
      <c r="E19" s="68">
        <v>46155</v>
      </c>
      <c r="F19" s="68">
        <v>46156</v>
      </c>
      <c r="G19" s="69" t="s">
        <v>327</v>
      </c>
      <c r="H19" s="67" t="str">
        <f t="shared" ca="1" si="0"/>
        <v>No</v>
      </c>
      <c r="I19" s="74">
        <f t="shared" si="1"/>
        <v>1</v>
      </c>
      <c r="J19" s="69"/>
    </row>
    <row r="20" spans="1:10" x14ac:dyDescent="0.3">
      <c r="A20" s="69" t="s">
        <v>656</v>
      </c>
      <c r="B20" s="69" t="s">
        <v>332</v>
      </c>
      <c r="C20" s="69" t="s">
        <v>639</v>
      </c>
      <c r="D20" s="69" t="s">
        <v>194</v>
      </c>
      <c r="E20" s="68">
        <v>46201</v>
      </c>
      <c r="F20" s="68">
        <v>46207</v>
      </c>
      <c r="G20" s="69" t="s">
        <v>327</v>
      </c>
      <c r="H20" s="67" t="str">
        <f t="shared" ca="1" si="0"/>
        <v>No</v>
      </c>
      <c r="I20" s="74">
        <f t="shared" si="1"/>
        <v>6</v>
      </c>
      <c r="J20" s="69"/>
    </row>
    <row r="21" spans="1:10" x14ac:dyDescent="0.3">
      <c r="A21" s="69" t="s">
        <v>657</v>
      </c>
      <c r="B21" s="69" t="s">
        <v>271</v>
      </c>
      <c r="C21" s="69" t="s">
        <v>645</v>
      </c>
      <c r="D21" s="69" t="s">
        <v>170</v>
      </c>
      <c r="E21" s="68">
        <v>46221</v>
      </c>
      <c r="F21" s="68">
        <v>46231</v>
      </c>
      <c r="G21" s="69" t="s">
        <v>327</v>
      </c>
      <c r="H21" s="67" t="str">
        <f t="shared" ca="1" si="0"/>
        <v>No</v>
      </c>
      <c r="I21" s="74">
        <f t="shared" si="1"/>
        <v>10</v>
      </c>
      <c r="J21" s="69"/>
    </row>
    <row r="22" spans="1:10" x14ac:dyDescent="0.3">
      <c r="A22" s="69" t="s">
        <v>658</v>
      </c>
      <c r="B22" s="69" t="s">
        <v>271</v>
      </c>
      <c r="C22" s="69" t="s">
        <v>645</v>
      </c>
      <c r="D22" s="69" t="s">
        <v>201</v>
      </c>
      <c r="E22" s="68">
        <v>46257</v>
      </c>
      <c r="F22" s="68">
        <v>46260</v>
      </c>
      <c r="G22" s="69" t="s">
        <v>327</v>
      </c>
      <c r="H22" s="67" t="str">
        <f t="shared" ca="1" si="0"/>
        <v>No</v>
      </c>
      <c r="I22" s="74">
        <f t="shared" si="1"/>
        <v>3</v>
      </c>
      <c r="J22" s="69"/>
    </row>
    <row r="23" spans="1:10" x14ac:dyDescent="0.3">
      <c r="A23" s="69" t="s">
        <v>659</v>
      </c>
      <c r="B23" s="69" t="s">
        <v>282</v>
      </c>
      <c r="C23" s="69" t="s">
        <v>653</v>
      </c>
      <c r="D23" s="69" t="s">
        <v>170</v>
      </c>
      <c r="E23" s="68">
        <v>46271</v>
      </c>
      <c r="F23" s="68">
        <v>46266</v>
      </c>
      <c r="G23" s="69" t="s">
        <v>327</v>
      </c>
      <c r="H23" s="67" t="str">
        <f t="shared" ca="1" si="0"/>
        <v>Yes</v>
      </c>
      <c r="I23" s="74">
        <f t="shared" si="1"/>
        <v>-5</v>
      </c>
      <c r="J23" s="69"/>
    </row>
    <row r="24" spans="1:10" x14ac:dyDescent="0.3">
      <c r="A24" s="69" t="s">
        <v>660</v>
      </c>
      <c r="B24" s="69" t="s">
        <v>335</v>
      </c>
      <c r="C24" s="69" t="s">
        <v>661</v>
      </c>
      <c r="D24" s="69" t="s">
        <v>164</v>
      </c>
      <c r="E24" s="68">
        <v>46320</v>
      </c>
      <c r="F24" s="68"/>
      <c r="G24" s="69" t="s">
        <v>298</v>
      </c>
      <c r="H24" s="67" t="str">
        <f t="shared" ca="1" si="0"/>
        <v>Overdue</v>
      </c>
      <c r="I24" s="74" t="str">
        <f t="shared" si="1"/>
        <v/>
      </c>
      <c r="J24" s="69"/>
    </row>
    <row r="25" spans="1:10" x14ac:dyDescent="0.3">
      <c r="A25" s="69" t="s">
        <v>662</v>
      </c>
      <c r="B25" s="69" t="s">
        <v>335</v>
      </c>
      <c r="C25" s="69" t="s">
        <v>635</v>
      </c>
      <c r="D25" s="69" t="s">
        <v>159</v>
      </c>
      <c r="E25" s="68">
        <v>46043</v>
      </c>
      <c r="F25" s="68">
        <v>46053</v>
      </c>
      <c r="G25" s="69" t="s">
        <v>327</v>
      </c>
      <c r="H25" s="67" t="str">
        <f t="shared" ca="1" si="0"/>
        <v>No</v>
      </c>
      <c r="I25" s="74">
        <f t="shared" si="1"/>
        <v>10</v>
      </c>
      <c r="J25" s="69"/>
    </row>
    <row r="26" spans="1:10" x14ac:dyDescent="0.3">
      <c r="A26" s="69" t="s">
        <v>663</v>
      </c>
      <c r="B26" s="69" t="s">
        <v>341</v>
      </c>
      <c r="C26" s="69" t="s">
        <v>645</v>
      </c>
      <c r="D26" s="69" t="s">
        <v>201</v>
      </c>
      <c r="E26" s="68">
        <v>46076</v>
      </c>
      <c r="F26" s="68">
        <v>46079</v>
      </c>
      <c r="G26" s="69" t="s">
        <v>327</v>
      </c>
      <c r="H26" s="67" t="str">
        <f t="shared" ca="1" si="0"/>
        <v>No</v>
      </c>
      <c r="I26" s="74">
        <f t="shared" si="1"/>
        <v>3</v>
      </c>
      <c r="J26" s="69"/>
    </row>
    <row r="27" spans="1:10" x14ac:dyDescent="0.3">
      <c r="A27" s="69" t="s">
        <v>664</v>
      </c>
      <c r="B27" s="69" t="s">
        <v>292</v>
      </c>
      <c r="C27" s="69" t="s">
        <v>643</v>
      </c>
      <c r="D27" s="69" t="s">
        <v>188</v>
      </c>
      <c r="E27" s="68">
        <v>46090</v>
      </c>
      <c r="F27" s="68">
        <v>46090</v>
      </c>
      <c r="G27" s="69" t="s">
        <v>327</v>
      </c>
      <c r="H27" s="67" t="str">
        <f t="shared" ca="1" si="0"/>
        <v>Yes</v>
      </c>
      <c r="I27" s="74">
        <f t="shared" si="1"/>
        <v>0</v>
      </c>
      <c r="J27" s="69"/>
    </row>
    <row r="28" spans="1:10" x14ac:dyDescent="0.3">
      <c r="A28" s="69" t="s">
        <v>665</v>
      </c>
      <c r="B28" s="69" t="s">
        <v>282</v>
      </c>
      <c r="C28" s="69" t="s">
        <v>639</v>
      </c>
      <c r="D28" s="69" t="s">
        <v>194</v>
      </c>
      <c r="E28" s="68">
        <v>46135</v>
      </c>
      <c r="F28" s="68">
        <v>46130</v>
      </c>
      <c r="G28" s="69" t="s">
        <v>327</v>
      </c>
      <c r="H28" s="67" t="str">
        <f t="shared" ca="1" si="0"/>
        <v>Yes</v>
      </c>
      <c r="I28" s="74">
        <f t="shared" si="1"/>
        <v>-5</v>
      </c>
      <c r="J28" s="69"/>
    </row>
    <row r="29" spans="1:10" x14ac:dyDescent="0.3">
      <c r="A29" s="69" t="s">
        <v>666</v>
      </c>
      <c r="B29" s="69" t="s">
        <v>271</v>
      </c>
      <c r="C29" s="69" t="s">
        <v>643</v>
      </c>
      <c r="D29" s="69" t="s">
        <v>194</v>
      </c>
      <c r="E29" s="68">
        <v>46157</v>
      </c>
      <c r="F29" s="68">
        <v>46152</v>
      </c>
      <c r="G29" s="69" t="s">
        <v>327</v>
      </c>
      <c r="H29" s="67" t="str">
        <f t="shared" ca="1" si="0"/>
        <v>Yes</v>
      </c>
      <c r="I29" s="74">
        <f t="shared" si="1"/>
        <v>-5</v>
      </c>
      <c r="J29" s="69"/>
    </row>
    <row r="30" spans="1:10" x14ac:dyDescent="0.3">
      <c r="A30" s="69" t="s">
        <v>667</v>
      </c>
      <c r="B30" s="69" t="s">
        <v>282</v>
      </c>
      <c r="C30" s="69" t="s">
        <v>643</v>
      </c>
      <c r="D30" s="69" t="s">
        <v>176</v>
      </c>
      <c r="E30" s="68">
        <v>46189</v>
      </c>
      <c r="F30" s="68">
        <v>46192</v>
      </c>
      <c r="G30" s="69" t="s">
        <v>327</v>
      </c>
      <c r="H30" s="67" t="str">
        <f t="shared" ca="1" si="0"/>
        <v>No</v>
      </c>
      <c r="I30" s="74">
        <f t="shared" si="1"/>
        <v>3</v>
      </c>
      <c r="J30" s="69"/>
    </row>
    <row r="31" spans="1:10" x14ac:dyDescent="0.3">
      <c r="A31" s="69" t="s">
        <v>668</v>
      </c>
      <c r="B31" s="69" t="s">
        <v>335</v>
      </c>
      <c r="C31" s="69" t="s">
        <v>645</v>
      </c>
      <c r="D31" s="69" t="s">
        <v>201</v>
      </c>
      <c r="E31" s="68">
        <v>46215</v>
      </c>
      <c r="F31" s="68">
        <v>46221</v>
      </c>
      <c r="G31" s="69" t="s">
        <v>327</v>
      </c>
      <c r="H31" s="67" t="str">
        <f t="shared" ca="1" si="0"/>
        <v>No</v>
      </c>
      <c r="I31" s="74">
        <f t="shared" si="1"/>
        <v>6</v>
      </c>
      <c r="J31" s="69"/>
    </row>
    <row r="32" spans="1:10" x14ac:dyDescent="0.3">
      <c r="A32" s="69" t="s">
        <v>669</v>
      </c>
      <c r="B32" s="69" t="s">
        <v>332</v>
      </c>
      <c r="C32" s="69" t="s">
        <v>643</v>
      </c>
      <c r="D32" s="69" t="s">
        <v>176</v>
      </c>
      <c r="E32" s="68">
        <v>46243</v>
      </c>
      <c r="F32" s="68">
        <v>46243</v>
      </c>
      <c r="G32" s="69" t="s">
        <v>327</v>
      </c>
      <c r="H32" s="67" t="str">
        <f t="shared" ca="1" si="0"/>
        <v>Yes</v>
      </c>
      <c r="I32" s="74">
        <f t="shared" si="1"/>
        <v>0</v>
      </c>
      <c r="J32" s="69"/>
    </row>
    <row r="33" spans="1:10" x14ac:dyDescent="0.3">
      <c r="A33" s="69" t="s">
        <v>670</v>
      </c>
      <c r="B33" s="69" t="s">
        <v>335</v>
      </c>
      <c r="C33" s="69" t="s">
        <v>637</v>
      </c>
      <c r="D33" s="69" t="s">
        <v>188</v>
      </c>
      <c r="E33" s="68">
        <v>46283</v>
      </c>
      <c r="F33" s="68">
        <v>46282</v>
      </c>
      <c r="G33" s="69" t="s">
        <v>327</v>
      </c>
      <c r="H33" s="67" t="str">
        <f t="shared" ca="1" si="0"/>
        <v>Yes</v>
      </c>
      <c r="I33" s="74">
        <f t="shared" si="1"/>
        <v>-1</v>
      </c>
      <c r="J33" s="69"/>
    </row>
    <row r="34" spans="1:10" x14ac:dyDescent="0.3">
      <c r="A34" s="69" t="s">
        <v>671</v>
      </c>
      <c r="B34" s="69" t="s">
        <v>292</v>
      </c>
      <c r="C34" s="69" t="s">
        <v>635</v>
      </c>
      <c r="D34" s="69" t="s">
        <v>183</v>
      </c>
      <c r="E34" s="68">
        <v>46319</v>
      </c>
      <c r="F34" s="68"/>
      <c r="G34" s="69" t="s">
        <v>298</v>
      </c>
      <c r="H34" s="67" t="str">
        <f t="shared" ca="1" si="0"/>
        <v>Overdue</v>
      </c>
      <c r="I34" s="74" t="str">
        <f t="shared" si="1"/>
        <v/>
      </c>
      <c r="J34" s="69"/>
    </row>
    <row r="35" spans="1:10" x14ac:dyDescent="0.3">
      <c r="A35" s="69" t="s">
        <v>672</v>
      </c>
      <c r="B35" s="69" t="s">
        <v>332</v>
      </c>
      <c r="C35" s="69" t="s">
        <v>635</v>
      </c>
      <c r="D35" s="69" t="s">
        <v>188</v>
      </c>
      <c r="E35" s="68">
        <v>46049</v>
      </c>
      <c r="F35" s="68">
        <v>46048</v>
      </c>
      <c r="G35" s="69" t="s">
        <v>327</v>
      </c>
      <c r="H35" s="67" t="str">
        <f t="shared" ca="1" si="0"/>
        <v>Yes</v>
      </c>
      <c r="I35" s="74">
        <f t="shared" si="1"/>
        <v>-1</v>
      </c>
      <c r="J35" s="69"/>
    </row>
    <row r="36" spans="1:10" x14ac:dyDescent="0.3">
      <c r="A36" s="69" t="s">
        <v>673</v>
      </c>
      <c r="B36" s="69" t="s">
        <v>282</v>
      </c>
      <c r="C36" s="69" t="s">
        <v>645</v>
      </c>
      <c r="D36" s="69" t="s">
        <v>183</v>
      </c>
      <c r="E36" s="68">
        <v>46081</v>
      </c>
      <c r="F36" s="68">
        <v>46081</v>
      </c>
      <c r="G36" s="69" t="s">
        <v>327</v>
      </c>
      <c r="H36" s="67" t="str">
        <f t="shared" ca="1" si="0"/>
        <v>Yes</v>
      </c>
      <c r="I36" s="74">
        <f t="shared" si="1"/>
        <v>0</v>
      </c>
      <c r="J36" s="69"/>
    </row>
    <row r="37" spans="1:10" x14ac:dyDescent="0.3">
      <c r="A37" s="69" t="s">
        <v>674</v>
      </c>
      <c r="B37" s="69" t="s">
        <v>345</v>
      </c>
      <c r="C37" s="69" t="s">
        <v>650</v>
      </c>
      <c r="D37" s="69" t="s">
        <v>183</v>
      </c>
      <c r="E37" s="68">
        <v>46097</v>
      </c>
      <c r="F37" s="68">
        <v>46097</v>
      </c>
      <c r="G37" s="69" t="s">
        <v>327</v>
      </c>
      <c r="H37" s="67" t="str">
        <f t="shared" ca="1" si="0"/>
        <v>Yes</v>
      </c>
      <c r="I37" s="74">
        <f t="shared" si="1"/>
        <v>0</v>
      </c>
      <c r="J37" s="69"/>
    </row>
    <row r="38" spans="1:10" x14ac:dyDescent="0.3">
      <c r="A38" s="69" t="s">
        <v>675</v>
      </c>
      <c r="B38" s="69" t="s">
        <v>282</v>
      </c>
      <c r="C38" s="69" t="s">
        <v>661</v>
      </c>
      <c r="D38" s="69" t="s">
        <v>201</v>
      </c>
      <c r="E38" s="68">
        <v>46126</v>
      </c>
      <c r="F38" s="68">
        <v>46126</v>
      </c>
      <c r="G38" s="69" t="s">
        <v>327</v>
      </c>
      <c r="H38" s="67" t="str">
        <f t="shared" ca="1" si="0"/>
        <v>Yes</v>
      </c>
      <c r="I38" s="74">
        <f t="shared" si="1"/>
        <v>0</v>
      </c>
      <c r="J38" s="69"/>
    </row>
    <row r="39" spans="1:10" x14ac:dyDescent="0.3">
      <c r="A39" s="69" t="s">
        <v>676</v>
      </c>
      <c r="B39" s="69" t="s">
        <v>329</v>
      </c>
      <c r="C39" s="69" t="s">
        <v>661</v>
      </c>
      <c r="D39" s="69" t="s">
        <v>170</v>
      </c>
      <c r="E39" s="68">
        <v>46160</v>
      </c>
      <c r="F39" s="68">
        <v>46166</v>
      </c>
      <c r="G39" s="69" t="s">
        <v>327</v>
      </c>
      <c r="H39" s="67" t="str">
        <f t="shared" ca="1" si="0"/>
        <v>No</v>
      </c>
      <c r="I39" s="74">
        <f t="shared" si="1"/>
        <v>6</v>
      </c>
      <c r="J39" s="69"/>
    </row>
    <row r="40" spans="1:10" x14ac:dyDescent="0.3">
      <c r="A40" s="69" t="s">
        <v>677</v>
      </c>
      <c r="B40" s="69" t="s">
        <v>271</v>
      </c>
      <c r="C40" s="69" t="s">
        <v>643</v>
      </c>
      <c r="D40" s="69" t="s">
        <v>188</v>
      </c>
      <c r="E40" s="68">
        <v>46185</v>
      </c>
      <c r="F40" s="68">
        <v>46191</v>
      </c>
      <c r="G40" s="69" t="s">
        <v>327</v>
      </c>
      <c r="H40" s="67" t="str">
        <f t="shared" ca="1" si="0"/>
        <v>No</v>
      </c>
      <c r="I40" s="74">
        <f t="shared" si="1"/>
        <v>6</v>
      </c>
      <c r="J40" s="69"/>
    </row>
    <row r="41" spans="1:10" x14ac:dyDescent="0.3">
      <c r="A41" s="69" t="s">
        <v>678</v>
      </c>
      <c r="B41" s="69" t="s">
        <v>341</v>
      </c>
      <c r="C41" s="69" t="s">
        <v>650</v>
      </c>
      <c r="D41" s="69" t="s">
        <v>159</v>
      </c>
      <c r="E41" s="68">
        <v>46231</v>
      </c>
      <c r="F41" s="68">
        <v>46231</v>
      </c>
      <c r="G41" s="69" t="s">
        <v>327</v>
      </c>
      <c r="H41" s="67" t="str">
        <f t="shared" ca="1" si="0"/>
        <v>Yes</v>
      </c>
      <c r="I41" s="74">
        <f t="shared" si="1"/>
        <v>0</v>
      </c>
      <c r="J41" s="69"/>
    </row>
    <row r="42" spans="1:10" x14ac:dyDescent="0.3">
      <c r="A42" s="69" t="s">
        <v>679</v>
      </c>
      <c r="B42" s="69" t="s">
        <v>282</v>
      </c>
      <c r="C42" s="69" t="s">
        <v>639</v>
      </c>
      <c r="D42" s="69" t="s">
        <v>164</v>
      </c>
      <c r="E42" s="68">
        <v>46243</v>
      </c>
      <c r="F42" s="68">
        <v>46241</v>
      </c>
      <c r="G42" s="69" t="s">
        <v>327</v>
      </c>
      <c r="H42" s="67" t="str">
        <f t="shared" ca="1" si="0"/>
        <v>Yes</v>
      </c>
      <c r="I42" s="74">
        <f t="shared" si="1"/>
        <v>-2</v>
      </c>
      <c r="J42" s="69"/>
    </row>
    <row r="43" spans="1:10" x14ac:dyDescent="0.3">
      <c r="A43" s="69" t="s">
        <v>680</v>
      </c>
      <c r="B43" s="69" t="s">
        <v>335</v>
      </c>
      <c r="C43" s="69" t="s">
        <v>637</v>
      </c>
      <c r="D43" s="69" t="s">
        <v>201</v>
      </c>
      <c r="E43" s="68">
        <v>46286</v>
      </c>
      <c r="F43" s="68">
        <v>46286</v>
      </c>
      <c r="G43" s="69" t="s">
        <v>327</v>
      </c>
      <c r="H43" s="67" t="str">
        <f t="shared" ca="1" si="0"/>
        <v>Yes</v>
      </c>
      <c r="I43" s="74">
        <f t="shared" si="1"/>
        <v>0</v>
      </c>
      <c r="J43" s="69"/>
    </row>
    <row r="44" spans="1:10" x14ac:dyDescent="0.3">
      <c r="A44" s="69" t="s">
        <v>681</v>
      </c>
      <c r="B44" s="69" t="s">
        <v>335</v>
      </c>
      <c r="C44" s="69" t="s">
        <v>645</v>
      </c>
      <c r="D44" s="69" t="s">
        <v>170</v>
      </c>
      <c r="E44" s="68">
        <v>46309</v>
      </c>
      <c r="F44" s="68"/>
      <c r="G44" s="69" t="s">
        <v>298</v>
      </c>
      <c r="H44" s="67" t="str">
        <f t="shared" ca="1" si="0"/>
        <v>Overdue</v>
      </c>
      <c r="I44" s="74" t="str">
        <f t="shared" si="1"/>
        <v/>
      </c>
      <c r="J44" s="69"/>
    </row>
    <row r="45" spans="1:10" x14ac:dyDescent="0.3">
      <c r="A45" s="69" t="s">
        <v>682</v>
      </c>
      <c r="B45" s="69" t="s">
        <v>329</v>
      </c>
      <c r="C45" s="69" t="s">
        <v>639</v>
      </c>
      <c r="D45" s="69" t="s">
        <v>176</v>
      </c>
      <c r="E45" s="68">
        <v>46044</v>
      </c>
      <c r="F45" s="68">
        <v>46044</v>
      </c>
      <c r="G45" s="69" t="s">
        <v>327</v>
      </c>
      <c r="H45" s="67" t="str">
        <f t="shared" ca="1" si="0"/>
        <v>Yes</v>
      </c>
      <c r="I45" s="74">
        <f t="shared" si="1"/>
        <v>0</v>
      </c>
      <c r="J45" s="69"/>
    </row>
    <row r="46" spans="1:10" x14ac:dyDescent="0.3">
      <c r="A46" s="69" t="s">
        <v>683</v>
      </c>
      <c r="B46" s="69" t="s">
        <v>329</v>
      </c>
      <c r="C46" s="69" t="s">
        <v>635</v>
      </c>
      <c r="D46" s="69" t="s">
        <v>164</v>
      </c>
      <c r="E46" s="68">
        <v>46071</v>
      </c>
      <c r="F46" s="68">
        <v>46071</v>
      </c>
      <c r="G46" s="69" t="s">
        <v>327</v>
      </c>
      <c r="H46" s="67" t="str">
        <f t="shared" ca="1" si="0"/>
        <v>Yes</v>
      </c>
      <c r="I46" s="74">
        <f t="shared" si="1"/>
        <v>0</v>
      </c>
      <c r="J46" s="69"/>
    </row>
    <row r="47" spans="1:10" x14ac:dyDescent="0.3">
      <c r="A47" s="69" t="s">
        <v>684</v>
      </c>
      <c r="B47" s="69" t="s">
        <v>282</v>
      </c>
      <c r="C47" s="69" t="s">
        <v>645</v>
      </c>
      <c r="D47" s="69" t="s">
        <v>176</v>
      </c>
      <c r="E47" s="68">
        <v>46101</v>
      </c>
      <c r="F47" s="68">
        <v>46099</v>
      </c>
      <c r="G47" s="69" t="s">
        <v>327</v>
      </c>
      <c r="H47" s="67" t="str">
        <f t="shared" ca="1" si="0"/>
        <v>Yes</v>
      </c>
      <c r="I47" s="74">
        <f t="shared" si="1"/>
        <v>-2</v>
      </c>
      <c r="J47" s="69"/>
    </row>
    <row r="48" spans="1:10" x14ac:dyDescent="0.3">
      <c r="A48" s="69" t="s">
        <v>685</v>
      </c>
      <c r="B48" s="69" t="s">
        <v>345</v>
      </c>
      <c r="C48" s="69" t="s">
        <v>650</v>
      </c>
      <c r="D48" s="69" t="s">
        <v>201</v>
      </c>
      <c r="E48" s="68">
        <v>46119</v>
      </c>
      <c r="F48" s="68">
        <v>46129</v>
      </c>
      <c r="G48" s="69" t="s">
        <v>327</v>
      </c>
      <c r="H48" s="67" t="str">
        <f t="shared" ca="1" si="0"/>
        <v>No</v>
      </c>
      <c r="I48" s="74">
        <f t="shared" si="1"/>
        <v>10</v>
      </c>
      <c r="J48" s="69"/>
    </row>
    <row r="49" spans="1:10" x14ac:dyDescent="0.3">
      <c r="A49" s="69" t="s">
        <v>686</v>
      </c>
      <c r="B49" s="69" t="s">
        <v>345</v>
      </c>
      <c r="C49" s="69" t="s">
        <v>653</v>
      </c>
      <c r="D49" s="69" t="s">
        <v>201</v>
      </c>
      <c r="E49" s="68">
        <v>46159</v>
      </c>
      <c r="F49" s="68">
        <v>46159</v>
      </c>
      <c r="G49" s="69" t="s">
        <v>327</v>
      </c>
      <c r="H49" s="67" t="str">
        <f t="shared" ca="1" si="0"/>
        <v>Yes</v>
      </c>
      <c r="I49" s="74">
        <f t="shared" si="1"/>
        <v>0</v>
      </c>
      <c r="J49" s="69"/>
    </row>
    <row r="50" spans="1:10" x14ac:dyDescent="0.3">
      <c r="A50" s="69" t="s">
        <v>687</v>
      </c>
      <c r="B50" s="69" t="s">
        <v>271</v>
      </c>
      <c r="C50" s="69" t="s">
        <v>637</v>
      </c>
      <c r="D50" s="69" t="s">
        <v>188</v>
      </c>
      <c r="E50" s="68">
        <v>46181</v>
      </c>
      <c r="F50" s="68">
        <v>46180</v>
      </c>
      <c r="G50" s="69" t="s">
        <v>327</v>
      </c>
      <c r="H50" s="67" t="str">
        <f t="shared" ca="1" si="0"/>
        <v>Yes</v>
      </c>
      <c r="I50" s="74">
        <f t="shared" si="1"/>
        <v>-1</v>
      </c>
      <c r="J50" s="69"/>
    </row>
    <row r="51" spans="1:10" x14ac:dyDescent="0.3">
      <c r="A51" s="69"/>
      <c r="B51" s="69"/>
      <c r="C51" s="69"/>
      <c r="D51" s="69"/>
      <c r="E51" s="68"/>
      <c r="F51" s="68"/>
      <c r="G51" s="69"/>
      <c r="H51" s="67" t="str">
        <f t="shared" ca="1" si="0"/>
        <v/>
      </c>
      <c r="I51" s="74" t="str">
        <f t="shared" si="1"/>
        <v/>
      </c>
      <c r="J51" s="69"/>
    </row>
    <row r="52" spans="1:10" x14ac:dyDescent="0.3">
      <c r="A52" s="69"/>
      <c r="B52" s="69"/>
      <c r="C52" s="69"/>
      <c r="D52" s="69"/>
      <c r="E52" s="68"/>
      <c r="F52" s="68"/>
      <c r="G52" s="69"/>
      <c r="H52" s="67" t="str">
        <f t="shared" ca="1" si="0"/>
        <v/>
      </c>
      <c r="I52" s="74" t="str">
        <f t="shared" si="1"/>
        <v/>
      </c>
      <c r="J52" s="69"/>
    </row>
    <row r="53" spans="1:10" x14ac:dyDescent="0.3">
      <c r="A53" s="69"/>
      <c r="B53" s="69"/>
      <c r="C53" s="69"/>
      <c r="D53" s="69"/>
      <c r="E53" s="68"/>
      <c r="F53" s="68"/>
      <c r="G53" s="69"/>
      <c r="H53" s="67" t="str">
        <f t="shared" ca="1" si="0"/>
        <v/>
      </c>
      <c r="I53" s="74" t="str">
        <f t="shared" si="1"/>
        <v/>
      </c>
      <c r="J53" s="69"/>
    </row>
    <row r="54" spans="1:10" x14ac:dyDescent="0.3">
      <c r="A54" s="69"/>
      <c r="B54" s="69"/>
      <c r="C54" s="69"/>
      <c r="D54" s="69"/>
      <c r="E54" s="68"/>
      <c r="F54" s="68"/>
      <c r="G54" s="69"/>
      <c r="H54" s="67" t="str">
        <f t="shared" ca="1" si="0"/>
        <v/>
      </c>
      <c r="I54" s="74" t="str">
        <f t="shared" si="1"/>
        <v/>
      </c>
      <c r="J54" s="69"/>
    </row>
    <row r="55" spans="1:10" x14ac:dyDescent="0.3">
      <c r="A55" s="69"/>
      <c r="B55" s="69"/>
      <c r="C55" s="69"/>
      <c r="D55" s="69"/>
      <c r="E55" s="68"/>
      <c r="F55" s="68"/>
      <c r="G55" s="69"/>
      <c r="H55" s="67" t="str">
        <f t="shared" ca="1" si="0"/>
        <v/>
      </c>
      <c r="I55" s="74" t="str">
        <f t="shared" si="1"/>
        <v/>
      </c>
      <c r="J55" s="69"/>
    </row>
    <row r="56" spans="1:10" x14ac:dyDescent="0.3">
      <c r="A56" s="69"/>
      <c r="B56" s="69"/>
      <c r="C56" s="69"/>
      <c r="D56" s="69"/>
      <c r="E56" s="68"/>
      <c r="F56" s="68"/>
      <c r="G56" s="69"/>
      <c r="H56" s="67" t="str">
        <f t="shared" ca="1" si="0"/>
        <v/>
      </c>
      <c r="I56" s="74" t="str">
        <f t="shared" si="1"/>
        <v/>
      </c>
      <c r="J56" s="69"/>
    </row>
    <row r="57" spans="1:10" x14ac:dyDescent="0.3">
      <c r="A57" s="69"/>
      <c r="B57" s="69"/>
      <c r="C57" s="69"/>
      <c r="D57" s="69"/>
      <c r="E57" s="68"/>
      <c r="F57" s="68"/>
      <c r="G57" s="69"/>
      <c r="H57" s="67" t="str">
        <f t="shared" ca="1" si="0"/>
        <v/>
      </c>
      <c r="I57" s="74" t="str">
        <f t="shared" si="1"/>
        <v/>
      </c>
      <c r="J57" s="69"/>
    </row>
    <row r="58" spans="1:10" x14ac:dyDescent="0.3">
      <c r="A58" s="69"/>
      <c r="B58" s="69"/>
      <c r="C58" s="69"/>
      <c r="D58" s="69"/>
      <c r="E58" s="68"/>
      <c r="F58" s="68"/>
      <c r="G58" s="69"/>
      <c r="H58" s="67" t="str">
        <f t="shared" ca="1" si="0"/>
        <v/>
      </c>
      <c r="I58" s="74" t="str">
        <f t="shared" si="1"/>
        <v/>
      </c>
      <c r="J58" s="69"/>
    </row>
    <row r="59" spans="1:10" x14ac:dyDescent="0.3">
      <c r="A59" s="69"/>
      <c r="B59" s="69"/>
      <c r="C59" s="69"/>
      <c r="D59" s="69"/>
      <c r="E59" s="68"/>
      <c r="F59" s="68"/>
      <c r="G59" s="69"/>
      <c r="H59" s="67" t="str">
        <f t="shared" ca="1" si="0"/>
        <v/>
      </c>
      <c r="I59" s="74" t="str">
        <f t="shared" si="1"/>
        <v/>
      </c>
      <c r="J59" s="69"/>
    </row>
    <row r="60" spans="1:10" x14ac:dyDescent="0.3">
      <c r="A60" s="69"/>
      <c r="B60" s="69"/>
      <c r="C60" s="69"/>
      <c r="D60" s="69"/>
      <c r="E60" s="68"/>
      <c r="F60" s="68"/>
      <c r="G60" s="69"/>
      <c r="H60" s="67" t="str">
        <f t="shared" ca="1" si="0"/>
        <v/>
      </c>
      <c r="I60" s="74" t="str">
        <f t="shared" si="1"/>
        <v/>
      </c>
      <c r="J60" s="69"/>
    </row>
    <row r="61" spans="1:10" x14ac:dyDescent="0.3">
      <c r="A61" s="69"/>
      <c r="B61" s="69"/>
      <c r="C61" s="69"/>
      <c r="D61" s="69"/>
      <c r="E61" s="68"/>
      <c r="F61" s="68"/>
      <c r="G61" s="69"/>
      <c r="H61" s="67" t="str">
        <f t="shared" ca="1" si="0"/>
        <v/>
      </c>
      <c r="I61" s="74" t="str">
        <f t="shared" si="1"/>
        <v/>
      </c>
      <c r="J61" s="69"/>
    </row>
    <row r="62" spans="1:10" x14ac:dyDescent="0.3">
      <c r="A62" s="69"/>
      <c r="B62" s="69"/>
      <c r="C62" s="69"/>
      <c r="D62" s="69"/>
      <c r="E62" s="68"/>
      <c r="F62" s="68"/>
      <c r="G62" s="69"/>
      <c r="H62" s="67" t="str">
        <f t="shared" ca="1" si="0"/>
        <v/>
      </c>
      <c r="I62" s="74" t="str">
        <f t="shared" si="1"/>
        <v/>
      </c>
      <c r="J62" s="69"/>
    </row>
    <row r="63" spans="1:10" x14ac:dyDescent="0.3">
      <c r="A63" s="69"/>
      <c r="B63" s="69"/>
      <c r="C63" s="69"/>
      <c r="D63" s="69"/>
      <c r="E63" s="68"/>
      <c r="F63" s="68"/>
      <c r="G63" s="69"/>
      <c r="H63" s="67" t="str">
        <f t="shared" ca="1" si="0"/>
        <v/>
      </c>
      <c r="I63" s="74" t="str">
        <f t="shared" si="1"/>
        <v/>
      </c>
      <c r="J63" s="69"/>
    </row>
    <row r="64" spans="1:10" x14ac:dyDescent="0.3">
      <c r="A64" s="69"/>
      <c r="B64" s="69"/>
      <c r="C64" s="69"/>
      <c r="D64" s="69"/>
      <c r="E64" s="68"/>
      <c r="F64" s="68"/>
      <c r="G64" s="69"/>
      <c r="H64" s="67" t="str">
        <f t="shared" ca="1" si="0"/>
        <v/>
      </c>
      <c r="I64" s="74" t="str">
        <f t="shared" si="1"/>
        <v/>
      </c>
      <c r="J64" s="69"/>
    </row>
    <row r="65" spans="1:10" x14ac:dyDescent="0.3">
      <c r="A65" s="69"/>
      <c r="B65" s="69"/>
      <c r="C65" s="69"/>
      <c r="D65" s="69"/>
      <c r="E65" s="68"/>
      <c r="F65" s="68"/>
      <c r="G65" s="69"/>
      <c r="H65" s="67" t="str">
        <f t="shared" ca="1" si="0"/>
        <v/>
      </c>
      <c r="I65" s="74" t="str">
        <f t="shared" si="1"/>
        <v/>
      </c>
      <c r="J65" s="69"/>
    </row>
    <row r="66" spans="1:10" x14ac:dyDescent="0.3">
      <c r="A66" s="69"/>
      <c r="B66" s="69"/>
      <c r="C66" s="69"/>
      <c r="D66" s="69"/>
      <c r="E66" s="68"/>
      <c r="F66" s="68"/>
      <c r="G66" s="69"/>
      <c r="H66" s="67" t="str">
        <f t="shared" ca="1" si="0"/>
        <v/>
      </c>
      <c r="I66" s="74" t="str">
        <f t="shared" si="1"/>
        <v/>
      </c>
      <c r="J66" s="69"/>
    </row>
    <row r="67" spans="1:10" x14ac:dyDescent="0.3">
      <c r="A67" s="69"/>
      <c r="B67" s="69"/>
      <c r="C67" s="69"/>
      <c r="D67" s="69"/>
      <c r="E67" s="68"/>
      <c r="F67" s="68"/>
      <c r="G67" s="69"/>
      <c r="H67" s="67" t="str">
        <f t="shared" ca="1" si="0"/>
        <v/>
      </c>
      <c r="I67" s="74" t="str">
        <f t="shared" si="1"/>
        <v/>
      </c>
      <c r="J67" s="69"/>
    </row>
    <row r="68" spans="1:10" x14ac:dyDescent="0.3">
      <c r="A68" s="69"/>
      <c r="B68" s="69"/>
      <c r="C68" s="69"/>
      <c r="D68" s="69"/>
      <c r="E68" s="68"/>
      <c r="F68" s="68"/>
      <c r="G68" s="69"/>
      <c r="H68" s="67" t="str">
        <f t="shared" ca="1" si="0"/>
        <v/>
      </c>
      <c r="I68" s="74" t="str">
        <f t="shared" si="1"/>
        <v/>
      </c>
      <c r="J68" s="69"/>
    </row>
    <row r="69" spans="1:10" x14ac:dyDescent="0.3">
      <c r="A69" s="69"/>
      <c r="B69" s="69"/>
      <c r="C69" s="69"/>
      <c r="D69" s="69"/>
      <c r="E69" s="68"/>
      <c r="F69" s="68"/>
      <c r="G69" s="69"/>
      <c r="H69" s="67" t="str">
        <f t="shared" ref="H69:H132" ca="1" si="2">IF(E69="","",IF(G69&lt;&gt;"Completed",IF(E69&lt;TODAY(),"Overdue",""),IF(F69&lt;=E69,"Yes","No")))</f>
        <v/>
      </c>
      <c r="I69" s="74" t="str">
        <f t="shared" ref="I69:I132" si="3">IF(OR(E69="",F69=""),"",F69-E69)</f>
        <v/>
      </c>
      <c r="J69" s="69"/>
    </row>
    <row r="70" spans="1:10" x14ac:dyDescent="0.3">
      <c r="A70" s="69"/>
      <c r="B70" s="69"/>
      <c r="C70" s="69"/>
      <c r="D70" s="69"/>
      <c r="E70" s="68"/>
      <c r="F70" s="68"/>
      <c r="G70" s="69"/>
      <c r="H70" s="67" t="str">
        <f t="shared" ca="1" si="2"/>
        <v/>
      </c>
      <c r="I70" s="74" t="str">
        <f t="shared" si="3"/>
        <v/>
      </c>
      <c r="J70" s="69"/>
    </row>
    <row r="71" spans="1:10" x14ac:dyDescent="0.3">
      <c r="A71" s="69"/>
      <c r="B71" s="69"/>
      <c r="C71" s="69"/>
      <c r="D71" s="69"/>
      <c r="E71" s="68"/>
      <c r="F71" s="68"/>
      <c r="G71" s="69"/>
      <c r="H71" s="67" t="str">
        <f t="shared" ca="1" si="2"/>
        <v/>
      </c>
      <c r="I71" s="74" t="str">
        <f t="shared" si="3"/>
        <v/>
      </c>
      <c r="J71" s="69"/>
    </row>
    <row r="72" spans="1:10" x14ac:dyDescent="0.3">
      <c r="A72" s="69"/>
      <c r="B72" s="69"/>
      <c r="C72" s="69"/>
      <c r="D72" s="69"/>
      <c r="E72" s="68"/>
      <c r="F72" s="68"/>
      <c r="G72" s="69"/>
      <c r="H72" s="67" t="str">
        <f t="shared" ca="1" si="2"/>
        <v/>
      </c>
      <c r="I72" s="74" t="str">
        <f t="shared" si="3"/>
        <v/>
      </c>
      <c r="J72" s="69"/>
    </row>
    <row r="73" spans="1:10" x14ac:dyDescent="0.3">
      <c r="A73" s="69"/>
      <c r="B73" s="69"/>
      <c r="C73" s="69"/>
      <c r="D73" s="69"/>
      <c r="E73" s="68"/>
      <c r="F73" s="68"/>
      <c r="G73" s="69"/>
      <c r="H73" s="67" t="str">
        <f t="shared" ca="1" si="2"/>
        <v/>
      </c>
      <c r="I73" s="74" t="str">
        <f t="shared" si="3"/>
        <v/>
      </c>
      <c r="J73" s="69"/>
    </row>
    <row r="74" spans="1:10" x14ac:dyDescent="0.3">
      <c r="A74" s="69"/>
      <c r="B74" s="69"/>
      <c r="C74" s="69"/>
      <c r="D74" s="69"/>
      <c r="E74" s="68"/>
      <c r="F74" s="68"/>
      <c r="G74" s="69"/>
      <c r="H74" s="67" t="str">
        <f t="shared" ca="1" si="2"/>
        <v/>
      </c>
      <c r="I74" s="74" t="str">
        <f t="shared" si="3"/>
        <v/>
      </c>
      <c r="J74" s="69"/>
    </row>
    <row r="75" spans="1:10" x14ac:dyDescent="0.3">
      <c r="A75" s="69"/>
      <c r="B75" s="69"/>
      <c r="C75" s="69"/>
      <c r="D75" s="69"/>
      <c r="E75" s="68"/>
      <c r="F75" s="68"/>
      <c r="G75" s="69"/>
      <c r="H75" s="67" t="str">
        <f t="shared" ca="1" si="2"/>
        <v/>
      </c>
      <c r="I75" s="74" t="str">
        <f t="shared" si="3"/>
        <v/>
      </c>
      <c r="J75" s="69"/>
    </row>
    <row r="76" spans="1:10" x14ac:dyDescent="0.3">
      <c r="A76" s="69"/>
      <c r="B76" s="69"/>
      <c r="C76" s="69"/>
      <c r="D76" s="69"/>
      <c r="E76" s="68"/>
      <c r="F76" s="68"/>
      <c r="G76" s="69"/>
      <c r="H76" s="67" t="str">
        <f t="shared" ca="1" si="2"/>
        <v/>
      </c>
      <c r="I76" s="74" t="str">
        <f t="shared" si="3"/>
        <v/>
      </c>
      <c r="J76" s="69"/>
    </row>
    <row r="77" spans="1:10" x14ac:dyDescent="0.3">
      <c r="A77" s="69"/>
      <c r="B77" s="69"/>
      <c r="C77" s="69"/>
      <c r="D77" s="69"/>
      <c r="E77" s="68"/>
      <c r="F77" s="68"/>
      <c r="G77" s="69"/>
      <c r="H77" s="67" t="str">
        <f t="shared" ca="1" si="2"/>
        <v/>
      </c>
      <c r="I77" s="74" t="str">
        <f t="shared" si="3"/>
        <v/>
      </c>
      <c r="J77" s="69"/>
    </row>
    <row r="78" spans="1:10" x14ac:dyDescent="0.3">
      <c r="A78" s="69"/>
      <c r="B78" s="69"/>
      <c r="C78" s="69"/>
      <c r="D78" s="69"/>
      <c r="E78" s="68"/>
      <c r="F78" s="68"/>
      <c r="G78" s="69"/>
      <c r="H78" s="67" t="str">
        <f t="shared" ca="1" si="2"/>
        <v/>
      </c>
      <c r="I78" s="74" t="str">
        <f t="shared" si="3"/>
        <v/>
      </c>
      <c r="J78" s="69"/>
    </row>
    <row r="79" spans="1:10" x14ac:dyDescent="0.3">
      <c r="A79" s="69"/>
      <c r="B79" s="69"/>
      <c r="C79" s="69"/>
      <c r="D79" s="69"/>
      <c r="E79" s="68"/>
      <c r="F79" s="68"/>
      <c r="G79" s="69"/>
      <c r="H79" s="67" t="str">
        <f t="shared" ca="1" si="2"/>
        <v/>
      </c>
      <c r="I79" s="74" t="str">
        <f t="shared" si="3"/>
        <v/>
      </c>
      <c r="J79" s="69"/>
    </row>
    <row r="80" spans="1:10" x14ac:dyDescent="0.3">
      <c r="A80" s="69"/>
      <c r="B80" s="69"/>
      <c r="C80" s="69"/>
      <c r="D80" s="69"/>
      <c r="E80" s="68"/>
      <c r="F80" s="68"/>
      <c r="G80" s="69"/>
      <c r="H80" s="67" t="str">
        <f t="shared" ca="1" si="2"/>
        <v/>
      </c>
      <c r="I80" s="74" t="str">
        <f t="shared" si="3"/>
        <v/>
      </c>
      <c r="J80" s="69"/>
    </row>
    <row r="81" spans="1:10" x14ac:dyDescent="0.3">
      <c r="A81" s="69"/>
      <c r="B81" s="69"/>
      <c r="C81" s="69"/>
      <c r="D81" s="69"/>
      <c r="E81" s="68"/>
      <c r="F81" s="68"/>
      <c r="G81" s="69"/>
      <c r="H81" s="67" t="str">
        <f t="shared" ca="1" si="2"/>
        <v/>
      </c>
      <c r="I81" s="74" t="str">
        <f t="shared" si="3"/>
        <v/>
      </c>
      <c r="J81" s="69"/>
    </row>
    <row r="82" spans="1:10" x14ac:dyDescent="0.3">
      <c r="A82" s="69"/>
      <c r="B82" s="69"/>
      <c r="C82" s="69"/>
      <c r="D82" s="69"/>
      <c r="E82" s="68"/>
      <c r="F82" s="68"/>
      <c r="G82" s="69"/>
      <c r="H82" s="67" t="str">
        <f t="shared" ca="1" si="2"/>
        <v/>
      </c>
      <c r="I82" s="74" t="str">
        <f t="shared" si="3"/>
        <v/>
      </c>
      <c r="J82" s="69"/>
    </row>
    <row r="83" spans="1:10" x14ac:dyDescent="0.3">
      <c r="A83" s="69"/>
      <c r="B83" s="69"/>
      <c r="C83" s="69"/>
      <c r="D83" s="69"/>
      <c r="E83" s="68"/>
      <c r="F83" s="68"/>
      <c r="G83" s="69"/>
      <c r="H83" s="67" t="str">
        <f t="shared" ca="1" si="2"/>
        <v/>
      </c>
      <c r="I83" s="74" t="str">
        <f t="shared" si="3"/>
        <v/>
      </c>
      <c r="J83" s="69"/>
    </row>
    <row r="84" spans="1:10" x14ac:dyDescent="0.3">
      <c r="A84" s="69"/>
      <c r="B84" s="69"/>
      <c r="C84" s="69"/>
      <c r="D84" s="69"/>
      <c r="E84" s="68"/>
      <c r="F84" s="68"/>
      <c r="G84" s="69"/>
      <c r="H84" s="67" t="str">
        <f t="shared" ca="1" si="2"/>
        <v/>
      </c>
      <c r="I84" s="74" t="str">
        <f t="shared" si="3"/>
        <v/>
      </c>
      <c r="J84" s="69"/>
    </row>
    <row r="85" spans="1:10" x14ac:dyDescent="0.3">
      <c r="A85" s="69"/>
      <c r="B85" s="69"/>
      <c r="C85" s="69"/>
      <c r="D85" s="69"/>
      <c r="E85" s="68"/>
      <c r="F85" s="68"/>
      <c r="G85" s="69"/>
      <c r="H85" s="67" t="str">
        <f t="shared" ca="1" si="2"/>
        <v/>
      </c>
      <c r="I85" s="74" t="str">
        <f t="shared" si="3"/>
        <v/>
      </c>
      <c r="J85" s="69"/>
    </row>
    <row r="86" spans="1:10" x14ac:dyDescent="0.3">
      <c r="A86" s="69"/>
      <c r="B86" s="69"/>
      <c r="C86" s="69"/>
      <c r="D86" s="69"/>
      <c r="E86" s="68"/>
      <c r="F86" s="68"/>
      <c r="G86" s="69"/>
      <c r="H86" s="67" t="str">
        <f t="shared" ca="1" si="2"/>
        <v/>
      </c>
      <c r="I86" s="74" t="str">
        <f t="shared" si="3"/>
        <v/>
      </c>
      <c r="J86" s="69"/>
    </row>
    <row r="87" spans="1:10" x14ac:dyDescent="0.3">
      <c r="A87" s="69"/>
      <c r="B87" s="69"/>
      <c r="C87" s="69"/>
      <c r="D87" s="69"/>
      <c r="E87" s="68"/>
      <c r="F87" s="68"/>
      <c r="G87" s="69"/>
      <c r="H87" s="67" t="str">
        <f t="shared" ca="1" si="2"/>
        <v/>
      </c>
      <c r="I87" s="74" t="str">
        <f t="shared" si="3"/>
        <v/>
      </c>
      <c r="J87" s="69"/>
    </row>
    <row r="88" spans="1:10" x14ac:dyDescent="0.3">
      <c r="A88" s="69"/>
      <c r="B88" s="69"/>
      <c r="C88" s="69"/>
      <c r="D88" s="69"/>
      <c r="E88" s="68"/>
      <c r="F88" s="68"/>
      <c r="G88" s="69"/>
      <c r="H88" s="67" t="str">
        <f t="shared" ca="1" si="2"/>
        <v/>
      </c>
      <c r="I88" s="74" t="str">
        <f t="shared" si="3"/>
        <v/>
      </c>
      <c r="J88" s="69"/>
    </row>
    <row r="89" spans="1:10" x14ac:dyDescent="0.3">
      <c r="A89" s="69"/>
      <c r="B89" s="69"/>
      <c r="C89" s="69"/>
      <c r="D89" s="69"/>
      <c r="E89" s="68"/>
      <c r="F89" s="68"/>
      <c r="G89" s="69"/>
      <c r="H89" s="67" t="str">
        <f t="shared" ca="1" si="2"/>
        <v/>
      </c>
      <c r="I89" s="74" t="str">
        <f t="shared" si="3"/>
        <v/>
      </c>
      <c r="J89" s="69"/>
    </row>
    <row r="90" spans="1:10" x14ac:dyDescent="0.3">
      <c r="A90" s="69"/>
      <c r="B90" s="69"/>
      <c r="C90" s="69"/>
      <c r="D90" s="69"/>
      <c r="E90" s="68"/>
      <c r="F90" s="68"/>
      <c r="G90" s="69"/>
      <c r="H90" s="67" t="str">
        <f t="shared" ca="1" si="2"/>
        <v/>
      </c>
      <c r="I90" s="74" t="str">
        <f t="shared" si="3"/>
        <v/>
      </c>
      <c r="J90" s="69"/>
    </row>
    <row r="91" spans="1:10" x14ac:dyDescent="0.3">
      <c r="A91" s="69"/>
      <c r="B91" s="69"/>
      <c r="C91" s="69"/>
      <c r="D91" s="69"/>
      <c r="E91" s="68"/>
      <c r="F91" s="68"/>
      <c r="G91" s="69"/>
      <c r="H91" s="67" t="str">
        <f t="shared" ca="1" si="2"/>
        <v/>
      </c>
      <c r="I91" s="74" t="str">
        <f t="shared" si="3"/>
        <v/>
      </c>
      <c r="J91" s="69"/>
    </row>
    <row r="92" spans="1:10" x14ac:dyDescent="0.3">
      <c r="A92" s="69"/>
      <c r="B92" s="69"/>
      <c r="C92" s="69"/>
      <c r="D92" s="69"/>
      <c r="E92" s="68"/>
      <c r="F92" s="68"/>
      <c r="G92" s="69"/>
      <c r="H92" s="67" t="str">
        <f t="shared" ca="1" si="2"/>
        <v/>
      </c>
      <c r="I92" s="74" t="str">
        <f t="shared" si="3"/>
        <v/>
      </c>
      <c r="J92" s="69"/>
    </row>
    <row r="93" spans="1:10" x14ac:dyDescent="0.3">
      <c r="A93" s="69"/>
      <c r="B93" s="69"/>
      <c r="C93" s="69"/>
      <c r="D93" s="69"/>
      <c r="E93" s="68"/>
      <c r="F93" s="68"/>
      <c r="G93" s="69"/>
      <c r="H93" s="67" t="str">
        <f t="shared" ca="1" si="2"/>
        <v/>
      </c>
      <c r="I93" s="74" t="str">
        <f t="shared" si="3"/>
        <v/>
      </c>
      <c r="J93" s="69"/>
    </row>
    <row r="94" spans="1:10" x14ac:dyDescent="0.3">
      <c r="A94" s="69"/>
      <c r="B94" s="69"/>
      <c r="C94" s="69"/>
      <c r="D94" s="69"/>
      <c r="E94" s="68"/>
      <c r="F94" s="68"/>
      <c r="G94" s="69"/>
      <c r="H94" s="67" t="str">
        <f t="shared" ca="1" si="2"/>
        <v/>
      </c>
      <c r="I94" s="74" t="str">
        <f t="shared" si="3"/>
        <v/>
      </c>
      <c r="J94" s="69"/>
    </row>
    <row r="95" spans="1:10" x14ac:dyDescent="0.3">
      <c r="A95" s="69"/>
      <c r="B95" s="69"/>
      <c r="C95" s="69"/>
      <c r="D95" s="69"/>
      <c r="E95" s="68"/>
      <c r="F95" s="68"/>
      <c r="G95" s="69"/>
      <c r="H95" s="67" t="str">
        <f t="shared" ca="1" si="2"/>
        <v/>
      </c>
      <c r="I95" s="74" t="str">
        <f t="shared" si="3"/>
        <v/>
      </c>
      <c r="J95" s="69"/>
    </row>
    <row r="96" spans="1:10" x14ac:dyDescent="0.3">
      <c r="A96" s="69"/>
      <c r="B96" s="69"/>
      <c r="C96" s="69"/>
      <c r="D96" s="69"/>
      <c r="E96" s="68"/>
      <c r="F96" s="68"/>
      <c r="G96" s="69"/>
      <c r="H96" s="67" t="str">
        <f t="shared" ca="1" si="2"/>
        <v/>
      </c>
      <c r="I96" s="74" t="str">
        <f t="shared" si="3"/>
        <v/>
      </c>
      <c r="J96" s="69"/>
    </row>
    <row r="97" spans="1:10" x14ac:dyDescent="0.3">
      <c r="A97" s="69"/>
      <c r="B97" s="69"/>
      <c r="C97" s="69"/>
      <c r="D97" s="69"/>
      <c r="E97" s="68"/>
      <c r="F97" s="68"/>
      <c r="G97" s="69"/>
      <c r="H97" s="67" t="str">
        <f t="shared" ca="1" si="2"/>
        <v/>
      </c>
      <c r="I97" s="74" t="str">
        <f t="shared" si="3"/>
        <v/>
      </c>
      <c r="J97" s="69"/>
    </row>
    <row r="98" spans="1:10" x14ac:dyDescent="0.3">
      <c r="A98" s="69"/>
      <c r="B98" s="69"/>
      <c r="C98" s="69"/>
      <c r="D98" s="69"/>
      <c r="E98" s="68"/>
      <c r="F98" s="68"/>
      <c r="G98" s="69"/>
      <c r="H98" s="67" t="str">
        <f t="shared" ca="1" si="2"/>
        <v/>
      </c>
      <c r="I98" s="74" t="str">
        <f t="shared" si="3"/>
        <v/>
      </c>
      <c r="J98" s="69"/>
    </row>
    <row r="99" spans="1:10" x14ac:dyDescent="0.3">
      <c r="A99" s="69"/>
      <c r="B99" s="69"/>
      <c r="C99" s="69"/>
      <c r="D99" s="69"/>
      <c r="E99" s="68"/>
      <c r="F99" s="68"/>
      <c r="G99" s="69"/>
      <c r="H99" s="67" t="str">
        <f t="shared" ca="1" si="2"/>
        <v/>
      </c>
      <c r="I99" s="74" t="str">
        <f t="shared" si="3"/>
        <v/>
      </c>
      <c r="J99" s="69"/>
    </row>
    <row r="100" spans="1:10" x14ac:dyDescent="0.3">
      <c r="A100" s="69"/>
      <c r="B100" s="69"/>
      <c r="C100" s="69"/>
      <c r="D100" s="69"/>
      <c r="E100" s="68"/>
      <c r="F100" s="68"/>
      <c r="G100" s="69"/>
      <c r="H100" s="67" t="str">
        <f t="shared" ca="1" si="2"/>
        <v/>
      </c>
      <c r="I100" s="74" t="str">
        <f t="shared" si="3"/>
        <v/>
      </c>
      <c r="J100" s="69"/>
    </row>
    <row r="101" spans="1:10" x14ac:dyDescent="0.3">
      <c r="A101" s="69"/>
      <c r="B101" s="69"/>
      <c r="C101" s="69"/>
      <c r="D101" s="69"/>
      <c r="E101" s="68"/>
      <c r="F101" s="68"/>
      <c r="G101" s="69"/>
      <c r="H101" s="67" t="str">
        <f t="shared" ca="1" si="2"/>
        <v/>
      </c>
      <c r="I101" s="74" t="str">
        <f t="shared" si="3"/>
        <v/>
      </c>
      <c r="J101" s="69"/>
    </row>
    <row r="102" spans="1:10" x14ac:dyDescent="0.3">
      <c r="A102" s="69"/>
      <c r="B102" s="69"/>
      <c r="C102" s="69"/>
      <c r="D102" s="69"/>
      <c r="E102" s="68"/>
      <c r="F102" s="68"/>
      <c r="G102" s="69"/>
      <c r="H102" s="67" t="str">
        <f t="shared" ca="1" si="2"/>
        <v/>
      </c>
      <c r="I102" s="74" t="str">
        <f t="shared" si="3"/>
        <v/>
      </c>
      <c r="J102" s="69"/>
    </row>
    <row r="103" spans="1:10" x14ac:dyDescent="0.3">
      <c r="A103" s="69"/>
      <c r="B103" s="69"/>
      <c r="C103" s="69"/>
      <c r="D103" s="69"/>
      <c r="E103" s="68"/>
      <c r="F103" s="68"/>
      <c r="G103" s="69"/>
      <c r="H103" s="67" t="str">
        <f t="shared" ca="1" si="2"/>
        <v/>
      </c>
      <c r="I103" s="74" t="str">
        <f t="shared" si="3"/>
        <v/>
      </c>
      <c r="J103" s="69"/>
    </row>
    <row r="104" spans="1:10" x14ac:dyDescent="0.3">
      <c r="A104" s="69"/>
      <c r="B104" s="69"/>
      <c r="C104" s="69"/>
      <c r="D104" s="69"/>
      <c r="E104" s="68"/>
      <c r="F104" s="68"/>
      <c r="G104" s="69"/>
      <c r="H104" s="67" t="str">
        <f t="shared" ca="1" si="2"/>
        <v/>
      </c>
      <c r="I104" s="74" t="str">
        <f t="shared" si="3"/>
        <v/>
      </c>
      <c r="J104" s="69"/>
    </row>
    <row r="105" spans="1:10" x14ac:dyDescent="0.3">
      <c r="A105" s="69"/>
      <c r="B105" s="69"/>
      <c r="C105" s="69"/>
      <c r="D105" s="69"/>
      <c r="E105" s="68"/>
      <c r="F105" s="68"/>
      <c r="G105" s="69"/>
      <c r="H105" s="67" t="str">
        <f t="shared" ca="1" si="2"/>
        <v/>
      </c>
      <c r="I105" s="74" t="str">
        <f t="shared" si="3"/>
        <v/>
      </c>
      <c r="J105" s="69"/>
    </row>
    <row r="106" spans="1:10" x14ac:dyDescent="0.3">
      <c r="A106" s="69"/>
      <c r="B106" s="69"/>
      <c r="C106" s="69"/>
      <c r="D106" s="69"/>
      <c r="E106" s="68"/>
      <c r="F106" s="68"/>
      <c r="G106" s="69"/>
      <c r="H106" s="67" t="str">
        <f t="shared" ca="1" si="2"/>
        <v/>
      </c>
      <c r="I106" s="74" t="str">
        <f t="shared" si="3"/>
        <v/>
      </c>
      <c r="J106" s="69"/>
    </row>
    <row r="107" spans="1:10" x14ac:dyDescent="0.3">
      <c r="A107" s="69"/>
      <c r="B107" s="69"/>
      <c r="C107" s="69"/>
      <c r="D107" s="69"/>
      <c r="E107" s="68"/>
      <c r="F107" s="68"/>
      <c r="G107" s="69"/>
      <c r="H107" s="67" t="str">
        <f t="shared" ca="1" si="2"/>
        <v/>
      </c>
      <c r="I107" s="74" t="str">
        <f t="shared" si="3"/>
        <v/>
      </c>
      <c r="J107" s="69"/>
    </row>
    <row r="108" spans="1:10" x14ac:dyDescent="0.3">
      <c r="A108" s="69"/>
      <c r="B108" s="69"/>
      <c r="C108" s="69"/>
      <c r="D108" s="69"/>
      <c r="E108" s="68"/>
      <c r="F108" s="68"/>
      <c r="G108" s="69"/>
      <c r="H108" s="67" t="str">
        <f t="shared" ca="1" si="2"/>
        <v/>
      </c>
      <c r="I108" s="74" t="str">
        <f t="shared" si="3"/>
        <v/>
      </c>
      <c r="J108" s="69"/>
    </row>
    <row r="109" spans="1:10" x14ac:dyDescent="0.3">
      <c r="A109" s="69"/>
      <c r="B109" s="69"/>
      <c r="C109" s="69"/>
      <c r="D109" s="69"/>
      <c r="E109" s="68"/>
      <c r="F109" s="68"/>
      <c r="G109" s="69"/>
      <c r="H109" s="67" t="str">
        <f t="shared" ca="1" si="2"/>
        <v/>
      </c>
      <c r="I109" s="74" t="str">
        <f t="shared" si="3"/>
        <v/>
      </c>
      <c r="J109" s="69"/>
    </row>
    <row r="110" spans="1:10" x14ac:dyDescent="0.3">
      <c r="A110" s="69"/>
      <c r="B110" s="69"/>
      <c r="C110" s="69"/>
      <c r="D110" s="69"/>
      <c r="E110" s="68"/>
      <c r="F110" s="68"/>
      <c r="G110" s="69"/>
      <c r="H110" s="67" t="str">
        <f t="shared" ca="1" si="2"/>
        <v/>
      </c>
      <c r="I110" s="74" t="str">
        <f t="shared" si="3"/>
        <v/>
      </c>
      <c r="J110" s="69"/>
    </row>
    <row r="111" spans="1:10" x14ac:dyDescent="0.3">
      <c r="A111" s="69"/>
      <c r="B111" s="69"/>
      <c r="C111" s="69"/>
      <c r="D111" s="69"/>
      <c r="E111" s="68"/>
      <c r="F111" s="68"/>
      <c r="G111" s="69"/>
      <c r="H111" s="67" t="str">
        <f t="shared" ca="1" si="2"/>
        <v/>
      </c>
      <c r="I111" s="74" t="str">
        <f t="shared" si="3"/>
        <v/>
      </c>
      <c r="J111" s="69"/>
    </row>
    <row r="112" spans="1:10" x14ac:dyDescent="0.3">
      <c r="A112" s="69"/>
      <c r="B112" s="69"/>
      <c r="C112" s="69"/>
      <c r="D112" s="69"/>
      <c r="E112" s="68"/>
      <c r="F112" s="68"/>
      <c r="G112" s="69"/>
      <c r="H112" s="67" t="str">
        <f t="shared" ca="1" si="2"/>
        <v/>
      </c>
      <c r="I112" s="74" t="str">
        <f t="shared" si="3"/>
        <v/>
      </c>
      <c r="J112" s="69"/>
    </row>
    <row r="113" spans="1:10" x14ac:dyDescent="0.3">
      <c r="A113" s="69"/>
      <c r="B113" s="69"/>
      <c r="C113" s="69"/>
      <c r="D113" s="69"/>
      <c r="E113" s="68"/>
      <c r="F113" s="68"/>
      <c r="G113" s="69"/>
      <c r="H113" s="67" t="str">
        <f t="shared" ca="1" si="2"/>
        <v/>
      </c>
      <c r="I113" s="74" t="str">
        <f t="shared" si="3"/>
        <v/>
      </c>
      <c r="J113" s="69"/>
    </row>
    <row r="114" spans="1:10" x14ac:dyDescent="0.3">
      <c r="A114" s="69"/>
      <c r="B114" s="69"/>
      <c r="C114" s="69"/>
      <c r="D114" s="69"/>
      <c r="E114" s="68"/>
      <c r="F114" s="68"/>
      <c r="G114" s="69"/>
      <c r="H114" s="67" t="str">
        <f t="shared" ca="1" si="2"/>
        <v/>
      </c>
      <c r="I114" s="74" t="str">
        <f t="shared" si="3"/>
        <v/>
      </c>
      <c r="J114" s="69"/>
    </row>
    <row r="115" spans="1:10" x14ac:dyDescent="0.3">
      <c r="A115" s="69"/>
      <c r="B115" s="69"/>
      <c r="C115" s="69"/>
      <c r="D115" s="69"/>
      <c r="E115" s="68"/>
      <c r="F115" s="68"/>
      <c r="G115" s="69"/>
      <c r="H115" s="67" t="str">
        <f t="shared" ca="1" si="2"/>
        <v/>
      </c>
      <c r="I115" s="74" t="str">
        <f t="shared" si="3"/>
        <v/>
      </c>
      <c r="J115" s="69"/>
    </row>
    <row r="116" spans="1:10" x14ac:dyDescent="0.3">
      <c r="A116" s="69"/>
      <c r="B116" s="69"/>
      <c r="C116" s="69"/>
      <c r="D116" s="69"/>
      <c r="E116" s="68"/>
      <c r="F116" s="68"/>
      <c r="G116" s="69"/>
      <c r="H116" s="67" t="str">
        <f t="shared" ca="1" si="2"/>
        <v/>
      </c>
      <c r="I116" s="74" t="str">
        <f t="shared" si="3"/>
        <v/>
      </c>
      <c r="J116" s="69"/>
    </row>
    <row r="117" spans="1:10" x14ac:dyDescent="0.3">
      <c r="A117" s="69"/>
      <c r="B117" s="69"/>
      <c r="C117" s="69"/>
      <c r="D117" s="69"/>
      <c r="E117" s="68"/>
      <c r="F117" s="68"/>
      <c r="G117" s="69"/>
      <c r="H117" s="67" t="str">
        <f t="shared" ca="1" si="2"/>
        <v/>
      </c>
      <c r="I117" s="74" t="str">
        <f t="shared" si="3"/>
        <v/>
      </c>
      <c r="J117" s="69"/>
    </row>
    <row r="118" spans="1:10" x14ac:dyDescent="0.3">
      <c r="A118" s="69"/>
      <c r="B118" s="69"/>
      <c r="C118" s="69"/>
      <c r="D118" s="69"/>
      <c r="E118" s="68"/>
      <c r="F118" s="68"/>
      <c r="G118" s="69"/>
      <c r="H118" s="67" t="str">
        <f t="shared" ca="1" si="2"/>
        <v/>
      </c>
      <c r="I118" s="74" t="str">
        <f t="shared" si="3"/>
        <v/>
      </c>
      <c r="J118" s="69"/>
    </row>
    <row r="119" spans="1:10" x14ac:dyDescent="0.3">
      <c r="A119" s="69"/>
      <c r="B119" s="69"/>
      <c r="C119" s="69"/>
      <c r="D119" s="69"/>
      <c r="E119" s="68"/>
      <c r="F119" s="68"/>
      <c r="G119" s="69"/>
      <c r="H119" s="67" t="str">
        <f t="shared" ca="1" si="2"/>
        <v/>
      </c>
      <c r="I119" s="74" t="str">
        <f t="shared" si="3"/>
        <v/>
      </c>
      <c r="J119" s="69"/>
    </row>
    <row r="120" spans="1:10" x14ac:dyDescent="0.3">
      <c r="A120" s="69"/>
      <c r="B120" s="69"/>
      <c r="C120" s="69"/>
      <c r="D120" s="69"/>
      <c r="E120" s="68"/>
      <c r="F120" s="68"/>
      <c r="G120" s="69"/>
      <c r="H120" s="67" t="str">
        <f t="shared" ca="1" si="2"/>
        <v/>
      </c>
      <c r="I120" s="74" t="str">
        <f t="shared" si="3"/>
        <v/>
      </c>
      <c r="J120" s="69"/>
    </row>
    <row r="121" spans="1:10" x14ac:dyDescent="0.3">
      <c r="A121" s="69"/>
      <c r="B121" s="69"/>
      <c r="C121" s="69"/>
      <c r="D121" s="69"/>
      <c r="E121" s="68"/>
      <c r="F121" s="68"/>
      <c r="G121" s="69"/>
      <c r="H121" s="67" t="str">
        <f t="shared" ca="1" si="2"/>
        <v/>
      </c>
      <c r="I121" s="74" t="str">
        <f t="shared" si="3"/>
        <v/>
      </c>
      <c r="J121" s="69"/>
    </row>
    <row r="122" spans="1:10" x14ac:dyDescent="0.3">
      <c r="A122" s="69"/>
      <c r="B122" s="69"/>
      <c r="C122" s="69"/>
      <c r="D122" s="69"/>
      <c r="E122" s="68"/>
      <c r="F122" s="68"/>
      <c r="G122" s="69"/>
      <c r="H122" s="67" t="str">
        <f t="shared" ca="1" si="2"/>
        <v/>
      </c>
      <c r="I122" s="74" t="str">
        <f t="shared" si="3"/>
        <v/>
      </c>
      <c r="J122" s="69"/>
    </row>
    <row r="123" spans="1:10" x14ac:dyDescent="0.3">
      <c r="A123" s="69"/>
      <c r="B123" s="69"/>
      <c r="C123" s="69"/>
      <c r="D123" s="69"/>
      <c r="E123" s="68"/>
      <c r="F123" s="68"/>
      <c r="G123" s="69"/>
      <c r="H123" s="67" t="str">
        <f t="shared" ca="1" si="2"/>
        <v/>
      </c>
      <c r="I123" s="74" t="str">
        <f t="shared" si="3"/>
        <v/>
      </c>
      <c r="J123" s="69"/>
    </row>
    <row r="124" spans="1:10" x14ac:dyDescent="0.3">
      <c r="A124" s="69"/>
      <c r="B124" s="69"/>
      <c r="C124" s="69"/>
      <c r="D124" s="69"/>
      <c r="E124" s="68"/>
      <c r="F124" s="68"/>
      <c r="G124" s="69"/>
      <c r="H124" s="67" t="str">
        <f t="shared" ca="1" si="2"/>
        <v/>
      </c>
      <c r="I124" s="74" t="str">
        <f t="shared" si="3"/>
        <v/>
      </c>
      <c r="J124" s="69"/>
    </row>
    <row r="125" spans="1:10" x14ac:dyDescent="0.3">
      <c r="A125" s="69"/>
      <c r="B125" s="69"/>
      <c r="C125" s="69"/>
      <c r="D125" s="69"/>
      <c r="E125" s="68"/>
      <c r="F125" s="68"/>
      <c r="G125" s="69"/>
      <c r="H125" s="67" t="str">
        <f t="shared" ca="1" si="2"/>
        <v/>
      </c>
      <c r="I125" s="74" t="str">
        <f t="shared" si="3"/>
        <v/>
      </c>
      <c r="J125" s="69"/>
    </row>
    <row r="126" spans="1:10" x14ac:dyDescent="0.3">
      <c r="A126" s="69"/>
      <c r="B126" s="69"/>
      <c r="C126" s="69"/>
      <c r="D126" s="69"/>
      <c r="E126" s="68"/>
      <c r="F126" s="68"/>
      <c r="G126" s="69"/>
      <c r="H126" s="67" t="str">
        <f t="shared" ca="1" si="2"/>
        <v/>
      </c>
      <c r="I126" s="74" t="str">
        <f t="shared" si="3"/>
        <v/>
      </c>
      <c r="J126" s="69"/>
    </row>
    <row r="127" spans="1:10" x14ac:dyDescent="0.3">
      <c r="A127" s="69"/>
      <c r="B127" s="69"/>
      <c r="C127" s="69"/>
      <c r="D127" s="69"/>
      <c r="E127" s="68"/>
      <c r="F127" s="68"/>
      <c r="G127" s="69"/>
      <c r="H127" s="67" t="str">
        <f t="shared" ca="1" si="2"/>
        <v/>
      </c>
      <c r="I127" s="74" t="str">
        <f t="shared" si="3"/>
        <v/>
      </c>
      <c r="J127" s="69"/>
    </row>
    <row r="128" spans="1:10" x14ac:dyDescent="0.3">
      <c r="A128" s="69"/>
      <c r="B128" s="69"/>
      <c r="C128" s="69"/>
      <c r="D128" s="69"/>
      <c r="E128" s="68"/>
      <c r="F128" s="68"/>
      <c r="G128" s="69"/>
      <c r="H128" s="67" t="str">
        <f t="shared" ca="1" si="2"/>
        <v/>
      </c>
      <c r="I128" s="74" t="str">
        <f t="shared" si="3"/>
        <v/>
      </c>
      <c r="J128" s="69"/>
    </row>
    <row r="129" spans="1:10" x14ac:dyDescent="0.3">
      <c r="A129" s="69"/>
      <c r="B129" s="69"/>
      <c r="C129" s="69"/>
      <c r="D129" s="69"/>
      <c r="E129" s="68"/>
      <c r="F129" s="68"/>
      <c r="G129" s="69"/>
      <c r="H129" s="67" t="str">
        <f t="shared" ca="1" si="2"/>
        <v/>
      </c>
      <c r="I129" s="74" t="str">
        <f t="shared" si="3"/>
        <v/>
      </c>
      <c r="J129" s="69"/>
    </row>
    <row r="130" spans="1:10" x14ac:dyDescent="0.3">
      <c r="A130" s="69"/>
      <c r="B130" s="69"/>
      <c r="C130" s="69"/>
      <c r="D130" s="69"/>
      <c r="E130" s="68"/>
      <c r="F130" s="68"/>
      <c r="G130" s="69"/>
      <c r="H130" s="67" t="str">
        <f t="shared" ca="1" si="2"/>
        <v/>
      </c>
      <c r="I130" s="74" t="str">
        <f t="shared" si="3"/>
        <v/>
      </c>
      <c r="J130" s="69"/>
    </row>
    <row r="131" spans="1:10" x14ac:dyDescent="0.3">
      <c r="A131" s="69"/>
      <c r="B131" s="69"/>
      <c r="C131" s="69"/>
      <c r="D131" s="69"/>
      <c r="E131" s="68"/>
      <c r="F131" s="68"/>
      <c r="G131" s="69"/>
      <c r="H131" s="67" t="str">
        <f t="shared" ca="1" si="2"/>
        <v/>
      </c>
      <c r="I131" s="74" t="str">
        <f t="shared" si="3"/>
        <v/>
      </c>
      <c r="J131" s="69"/>
    </row>
    <row r="132" spans="1:10" x14ac:dyDescent="0.3">
      <c r="A132" s="69"/>
      <c r="B132" s="69"/>
      <c r="C132" s="69"/>
      <c r="D132" s="69"/>
      <c r="E132" s="68"/>
      <c r="F132" s="68"/>
      <c r="G132" s="69"/>
      <c r="H132" s="67" t="str">
        <f t="shared" ca="1" si="2"/>
        <v/>
      </c>
      <c r="I132" s="74" t="str">
        <f t="shared" si="3"/>
        <v/>
      </c>
      <c r="J132" s="69"/>
    </row>
    <row r="133" spans="1:10" x14ac:dyDescent="0.3">
      <c r="A133" s="69"/>
      <c r="B133" s="69"/>
      <c r="C133" s="69"/>
      <c r="D133" s="69"/>
      <c r="E133" s="68"/>
      <c r="F133" s="68"/>
      <c r="G133" s="69"/>
      <c r="H133" s="67" t="str">
        <f t="shared" ref="H133:H196" ca="1" si="4">IF(E133="","",IF(G133&lt;&gt;"Completed",IF(E133&lt;TODAY(),"Overdue",""),IF(F133&lt;=E133,"Yes","No")))</f>
        <v/>
      </c>
      <c r="I133" s="74" t="str">
        <f t="shared" ref="I133:I196" si="5">IF(OR(E133="",F133=""),"",F133-E133)</f>
        <v/>
      </c>
      <c r="J133" s="69"/>
    </row>
    <row r="134" spans="1:10" x14ac:dyDescent="0.3">
      <c r="A134" s="69"/>
      <c r="B134" s="69"/>
      <c r="C134" s="69"/>
      <c r="D134" s="69"/>
      <c r="E134" s="68"/>
      <c r="F134" s="68"/>
      <c r="G134" s="69"/>
      <c r="H134" s="67" t="str">
        <f t="shared" ca="1" si="4"/>
        <v/>
      </c>
      <c r="I134" s="74" t="str">
        <f t="shared" si="5"/>
        <v/>
      </c>
      <c r="J134" s="69"/>
    </row>
    <row r="135" spans="1:10" x14ac:dyDescent="0.3">
      <c r="A135" s="69"/>
      <c r="B135" s="69"/>
      <c r="C135" s="69"/>
      <c r="D135" s="69"/>
      <c r="E135" s="68"/>
      <c r="F135" s="68"/>
      <c r="G135" s="69"/>
      <c r="H135" s="67" t="str">
        <f t="shared" ca="1" si="4"/>
        <v/>
      </c>
      <c r="I135" s="74" t="str">
        <f t="shared" si="5"/>
        <v/>
      </c>
      <c r="J135" s="69"/>
    </row>
    <row r="136" spans="1:10" x14ac:dyDescent="0.3">
      <c r="A136" s="69"/>
      <c r="B136" s="69"/>
      <c r="C136" s="69"/>
      <c r="D136" s="69"/>
      <c r="E136" s="68"/>
      <c r="F136" s="68"/>
      <c r="G136" s="69"/>
      <c r="H136" s="67" t="str">
        <f t="shared" ca="1" si="4"/>
        <v/>
      </c>
      <c r="I136" s="74" t="str">
        <f t="shared" si="5"/>
        <v/>
      </c>
      <c r="J136" s="69"/>
    </row>
    <row r="137" spans="1:10" x14ac:dyDescent="0.3">
      <c r="A137" s="69"/>
      <c r="B137" s="69"/>
      <c r="C137" s="69"/>
      <c r="D137" s="69"/>
      <c r="E137" s="68"/>
      <c r="F137" s="68"/>
      <c r="G137" s="69"/>
      <c r="H137" s="67" t="str">
        <f t="shared" ca="1" si="4"/>
        <v/>
      </c>
      <c r="I137" s="74" t="str">
        <f t="shared" si="5"/>
        <v/>
      </c>
      <c r="J137" s="69"/>
    </row>
    <row r="138" spans="1:10" x14ac:dyDescent="0.3">
      <c r="A138" s="69"/>
      <c r="B138" s="69"/>
      <c r="C138" s="69"/>
      <c r="D138" s="69"/>
      <c r="E138" s="68"/>
      <c r="F138" s="68"/>
      <c r="G138" s="69"/>
      <c r="H138" s="67" t="str">
        <f t="shared" ca="1" si="4"/>
        <v/>
      </c>
      <c r="I138" s="74" t="str">
        <f t="shared" si="5"/>
        <v/>
      </c>
      <c r="J138" s="69"/>
    </row>
    <row r="139" spans="1:10" x14ac:dyDescent="0.3">
      <c r="A139" s="69"/>
      <c r="B139" s="69"/>
      <c r="C139" s="69"/>
      <c r="D139" s="69"/>
      <c r="E139" s="68"/>
      <c r="F139" s="68"/>
      <c r="G139" s="69"/>
      <c r="H139" s="67" t="str">
        <f t="shared" ca="1" si="4"/>
        <v/>
      </c>
      <c r="I139" s="74" t="str">
        <f t="shared" si="5"/>
        <v/>
      </c>
      <c r="J139" s="69"/>
    </row>
    <row r="140" spans="1:10" x14ac:dyDescent="0.3">
      <c r="A140" s="69"/>
      <c r="B140" s="69"/>
      <c r="C140" s="69"/>
      <c r="D140" s="69"/>
      <c r="E140" s="68"/>
      <c r="F140" s="68"/>
      <c r="G140" s="69"/>
      <c r="H140" s="67" t="str">
        <f t="shared" ca="1" si="4"/>
        <v/>
      </c>
      <c r="I140" s="74" t="str">
        <f t="shared" si="5"/>
        <v/>
      </c>
      <c r="J140" s="69"/>
    </row>
    <row r="141" spans="1:10" x14ac:dyDescent="0.3">
      <c r="A141" s="69"/>
      <c r="B141" s="69"/>
      <c r="C141" s="69"/>
      <c r="D141" s="69"/>
      <c r="E141" s="68"/>
      <c r="F141" s="68"/>
      <c r="G141" s="69"/>
      <c r="H141" s="67" t="str">
        <f t="shared" ca="1" si="4"/>
        <v/>
      </c>
      <c r="I141" s="74" t="str">
        <f t="shared" si="5"/>
        <v/>
      </c>
      <c r="J141" s="69"/>
    </row>
    <row r="142" spans="1:10" x14ac:dyDescent="0.3">
      <c r="A142" s="69"/>
      <c r="B142" s="69"/>
      <c r="C142" s="69"/>
      <c r="D142" s="69"/>
      <c r="E142" s="68"/>
      <c r="F142" s="68"/>
      <c r="G142" s="69"/>
      <c r="H142" s="67" t="str">
        <f t="shared" ca="1" si="4"/>
        <v/>
      </c>
      <c r="I142" s="74" t="str">
        <f t="shared" si="5"/>
        <v/>
      </c>
      <c r="J142" s="69"/>
    </row>
    <row r="143" spans="1:10" x14ac:dyDescent="0.3">
      <c r="A143" s="69"/>
      <c r="B143" s="69"/>
      <c r="C143" s="69"/>
      <c r="D143" s="69"/>
      <c r="E143" s="68"/>
      <c r="F143" s="68"/>
      <c r="G143" s="69"/>
      <c r="H143" s="67" t="str">
        <f t="shared" ca="1" si="4"/>
        <v/>
      </c>
      <c r="I143" s="74" t="str">
        <f t="shared" si="5"/>
        <v/>
      </c>
      <c r="J143" s="69"/>
    </row>
    <row r="144" spans="1:10" x14ac:dyDescent="0.3">
      <c r="A144" s="69"/>
      <c r="B144" s="69"/>
      <c r="C144" s="69"/>
      <c r="D144" s="69"/>
      <c r="E144" s="68"/>
      <c r="F144" s="68"/>
      <c r="G144" s="69"/>
      <c r="H144" s="67" t="str">
        <f t="shared" ca="1" si="4"/>
        <v/>
      </c>
      <c r="I144" s="74" t="str">
        <f t="shared" si="5"/>
        <v/>
      </c>
      <c r="J144" s="69"/>
    </row>
    <row r="145" spans="1:10" x14ac:dyDescent="0.3">
      <c r="A145" s="69"/>
      <c r="B145" s="69"/>
      <c r="C145" s="69"/>
      <c r="D145" s="69"/>
      <c r="E145" s="68"/>
      <c r="F145" s="68"/>
      <c r="G145" s="69"/>
      <c r="H145" s="67" t="str">
        <f t="shared" ca="1" si="4"/>
        <v/>
      </c>
      <c r="I145" s="74" t="str">
        <f t="shared" si="5"/>
        <v/>
      </c>
      <c r="J145" s="69"/>
    </row>
    <row r="146" spans="1:10" x14ac:dyDescent="0.3">
      <c r="A146" s="69"/>
      <c r="B146" s="69"/>
      <c r="C146" s="69"/>
      <c r="D146" s="69"/>
      <c r="E146" s="68"/>
      <c r="F146" s="68"/>
      <c r="G146" s="69"/>
      <c r="H146" s="67" t="str">
        <f t="shared" ca="1" si="4"/>
        <v/>
      </c>
      <c r="I146" s="74" t="str">
        <f t="shared" si="5"/>
        <v/>
      </c>
      <c r="J146" s="69"/>
    </row>
    <row r="147" spans="1:10" x14ac:dyDescent="0.3">
      <c r="A147" s="69"/>
      <c r="B147" s="69"/>
      <c r="C147" s="69"/>
      <c r="D147" s="69"/>
      <c r="E147" s="68"/>
      <c r="F147" s="68"/>
      <c r="G147" s="69"/>
      <c r="H147" s="67" t="str">
        <f t="shared" ca="1" si="4"/>
        <v/>
      </c>
      <c r="I147" s="74" t="str">
        <f t="shared" si="5"/>
        <v/>
      </c>
      <c r="J147" s="69"/>
    </row>
    <row r="148" spans="1:10" x14ac:dyDescent="0.3">
      <c r="A148" s="69"/>
      <c r="B148" s="69"/>
      <c r="C148" s="69"/>
      <c r="D148" s="69"/>
      <c r="E148" s="68"/>
      <c r="F148" s="68"/>
      <c r="G148" s="69"/>
      <c r="H148" s="67" t="str">
        <f t="shared" ca="1" si="4"/>
        <v/>
      </c>
      <c r="I148" s="74" t="str">
        <f t="shared" si="5"/>
        <v/>
      </c>
      <c r="J148" s="69"/>
    </row>
    <row r="149" spans="1:10" x14ac:dyDescent="0.3">
      <c r="A149" s="69"/>
      <c r="B149" s="69"/>
      <c r="C149" s="69"/>
      <c r="D149" s="69"/>
      <c r="E149" s="68"/>
      <c r="F149" s="68"/>
      <c r="G149" s="69"/>
      <c r="H149" s="67" t="str">
        <f t="shared" ca="1" si="4"/>
        <v/>
      </c>
      <c r="I149" s="74" t="str">
        <f t="shared" si="5"/>
        <v/>
      </c>
      <c r="J149" s="69"/>
    </row>
    <row r="150" spans="1:10" x14ac:dyDescent="0.3">
      <c r="A150" s="69"/>
      <c r="B150" s="69"/>
      <c r="C150" s="69"/>
      <c r="D150" s="69"/>
      <c r="E150" s="68"/>
      <c r="F150" s="68"/>
      <c r="G150" s="69"/>
      <c r="H150" s="67" t="str">
        <f t="shared" ca="1" si="4"/>
        <v/>
      </c>
      <c r="I150" s="74" t="str">
        <f t="shared" si="5"/>
        <v/>
      </c>
      <c r="J150" s="69"/>
    </row>
    <row r="151" spans="1:10" x14ac:dyDescent="0.3">
      <c r="A151" s="69"/>
      <c r="B151" s="69"/>
      <c r="C151" s="69"/>
      <c r="D151" s="69"/>
      <c r="E151" s="68"/>
      <c r="F151" s="68"/>
      <c r="G151" s="69"/>
      <c r="H151" s="67" t="str">
        <f t="shared" ca="1" si="4"/>
        <v/>
      </c>
      <c r="I151" s="74" t="str">
        <f t="shared" si="5"/>
        <v/>
      </c>
      <c r="J151" s="69"/>
    </row>
    <row r="152" spans="1:10" x14ac:dyDescent="0.3">
      <c r="A152" s="69"/>
      <c r="B152" s="69"/>
      <c r="C152" s="69"/>
      <c r="D152" s="69"/>
      <c r="E152" s="68"/>
      <c r="F152" s="68"/>
      <c r="G152" s="69"/>
      <c r="H152" s="67" t="str">
        <f t="shared" ca="1" si="4"/>
        <v/>
      </c>
      <c r="I152" s="74" t="str">
        <f t="shared" si="5"/>
        <v/>
      </c>
      <c r="J152" s="69"/>
    </row>
    <row r="153" spans="1:10" x14ac:dyDescent="0.3">
      <c r="A153" s="69"/>
      <c r="B153" s="69"/>
      <c r="C153" s="69"/>
      <c r="D153" s="69"/>
      <c r="E153" s="68"/>
      <c r="F153" s="68"/>
      <c r="G153" s="69"/>
      <c r="H153" s="67" t="str">
        <f t="shared" ca="1" si="4"/>
        <v/>
      </c>
      <c r="I153" s="74" t="str">
        <f t="shared" si="5"/>
        <v/>
      </c>
      <c r="J153" s="69"/>
    </row>
    <row r="154" spans="1:10" x14ac:dyDescent="0.3">
      <c r="A154" s="69"/>
      <c r="B154" s="69"/>
      <c r="C154" s="69"/>
      <c r="D154" s="69"/>
      <c r="E154" s="68"/>
      <c r="F154" s="68"/>
      <c r="G154" s="69"/>
      <c r="H154" s="67" t="str">
        <f t="shared" ca="1" si="4"/>
        <v/>
      </c>
      <c r="I154" s="74" t="str">
        <f t="shared" si="5"/>
        <v/>
      </c>
      <c r="J154" s="69"/>
    </row>
    <row r="155" spans="1:10" x14ac:dyDescent="0.3">
      <c r="A155" s="69"/>
      <c r="B155" s="69"/>
      <c r="C155" s="69"/>
      <c r="D155" s="69"/>
      <c r="E155" s="68"/>
      <c r="F155" s="68"/>
      <c r="G155" s="69"/>
      <c r="H155" s="67" t="str">
        <f t="shared" ca="1" si="4"/>
        <v/>
      </c>
      <c r="I155" s="74" t="str">
        <f t="shared" si="5"/>
        <v/>
      </c>
      <c r="J155" s="69"/>
    </row>
    <row r="156" spans="1:10" x14ac:dyDescent="0.3">
      <c r="A156" s="69"/>
      <c r="B156" s="69"/>
      <c r="C156" s="69"/>
      <c r="D156" s="69"/>
      <c r="E156" s="68"/>
      <c r="F156" s="68"/>
      <c r="G156" s="69"/>
      <c r="H156" s="67" t="str">
        <f t="shared" ca="1" si="4"/>
        <v/>
      </c>
      <c r="I156" s="74" t="str">
        <f t="shared" si="5"/>
        <v/>
      </c>
      <c r="J156" s="69"/>
    </row>
    <row r="157" spans="1:10" x14ac:dyDescent="0.3">
      <c r="A157" s="69"/>
      <c r="B157" s="69"/>
      <c r="C157" s="69"/>
      <c r="D157" s="69"/>
      <c r="E157" s="68"/>
      <c r="F157" s="68"/>
      <c r="G157" s="69"/>
      <c r="H157" s="67" t="str">
        <f t="shared" ca="1" si="4"/>
        <v/>
      </c>
      <c r="I157" s="74" t="str">
        <f t="shared" si="5"/>
        <v/>
      </c>
      <c r="J157" s="69"/>
    </row>
    <row r="158" spans="1:10" x14ac:dyDescent="0.3">
      <c r="A158" s="69"/>
      <c r="B158" s="69"/>
      <c r="C158" s="69"/>
      <c r="D158" s="69"/>
      <c r="E158" s="68"/>
      <c r="F158" s="68"/>
      <c r="G158" s="69"/>
      <c r="H158" s="67" t="str">
        <f t="shared" ca="1" si="4"/>
        <v/>
      </c>
      <c r="I158" s="74" t="str">
        <f t="shared" si="5"/>
        <v/>
      </c>
      <c r="J158" s="69"/>
    </row>
    <row r="159" spans="1:10" x14ac:dyDescent="0.3">
      <c r="A159" s="69"/>
      <c r="B159" s="69"/>
      <c r="C159" s="69"/>
      <c r="D159" s="69"/>
      <c r="E159" s="68"/>
      <c r="F159" s="68"/>
      <c r="G159" s="69"/>
      <c r="H159" s="67" t="str">
        <f t="shared" ca="1" si="4"/>
        <v/>
      </c>
      <c r="I159" s="74" t="str">
        <f t="shared" si="5"/>
        <v/>
      </c>
      <c r="J159" s="69"/>
    </row>
    <row r="160" spans="1:10" x14ac:dyDescent="0.3">
      <c r="A160" s="69"/>
      <c r="B160" s="69"/>
      <c r="C160" s="69"/>
      <c r="D160" s="69"/>
      <c r="E160" s="68"/>
      <c r="F160" s="68"/>
      <c r="G160" s="69"/>
      <c r="H160" s="67" t="str">
        <f t="shared" ca="1" si="4"/>
        <v/>
      </c>
      <c r="I160" s="74" t="str">
        <f t="shared" si="5"/>
        <v/>
      </c>
      <c r="J160" s="69"/>
    </row>
    <row r="161" spans="1:10" x14ac:dyDescent="0.3">
      <c r="A161" s="69"/>
      <c r="B161" s="69"/>
      <c r="C161" s="69"/>
      <c r="D161" s="69"/>
      <c r="E161" s="68"/>
      <c r="F161" s="68"/>
      <c r="G161" s="69"/>
      <c r="H161" s="67" t="str">
        <f t="shared" ca="1" si="4"/>
        <v/>
      </c>
      <c r="I161" s="74" t="str">
        <f t="shared" si="5"/>
        <v/>
      </c>
      <c r="J161" s="69"/>
    </row>
    <row r="162" spans="1:10" x14ac:dyDescent="0.3">
      <c r="A162" s="69"/>
      <c r="B162" s="69"/>
      <c r="C162" s="69"/>
      <c r="D162" s="69"/>
      <c r="E162" s="68"/>
      <c r="F162" s="68"/>
      <c r="G162" s="69"/>
      <c r="H162" s="67" t="str">
        <f t="shared" ca="1" si="4"/>
        <v/>
      </c>
      <c r="I162" s="74" t="str">
        <f t="shared" si="5"/>
        <v/>
      </c>
      <c r="J162" s="69"/>
    </row>
    <row r="163" spans="1:10" x14ac:dyDescent="0.3">
      <c r="A163" s="69"/>
      <c r="B163" s="69"/>
      <c r="C163" s="69"/>
      <c r="D163" s="69"/>
      <c r="E163" s="68"/>
      <c r="F163" s="68"/>
      <c r="G163" s="69"/>
      <c r="H163" s="67" t="str">
        <f t="shared" ca="1" si="4"/>
        <v/>
      </c>
      <c r="I163" s="74" t="str">
        <f t="shared" si="5"/>
        <v/>
      </c>
      <c r="J163" s="69"/>
    </row>
    <row r="164" spans="1:10" x14ac:dyDescent="0.3">
      <c r="A164" s="69"/>
      <c r="B164" s="69"/>
      <c r="C164" s="69"/>
      <c r="D164" s="69"/>
      <c r="E164" s="68"/>
      <c r="F164" s="68"/>
      <c r="G164" s="69"/>
      <c r="H164" s="67" t="str">
        <f t="shared" ca="1" si="4"/>
        <v/>
      </c>
      <c r="I164" s="74" t="str">
        <f t="shared" si="5"/>
        <v/>
      </c>
      <c r="J164" s="69"/>
    </row>
    <row r="165" spans="1:10" x14ac:dyDescent="0.3">
      <c r="A165" s="69"/>
      <c r="B165" s="69"/>
      <c r="C165" s="69"/>
      <c r="D165" s="69"/>
      <c r="E165" s="68"/>
      <c r="F165" s="68"/>
      <c r="G165" s="69"/>
      <c r="H165" s="67" t="str">
        <f t="shared" ca="1" si="4"/>
        <v/>
      </c>
      <c r="I165" s="74" t="str">
        <f t="shared" si="5"/>
        <v/>
      </c>
      <c r="J165" s="69"/>
    </row>
    <row r="166" spans="1:10" x14ac:dyDescent="0.3">
      <c r="A166" s="69"/>
      <c r="B166" s="69"/>
      <c r="C166" s="69"/>
      <c r="D166" s="69"/>
      <c r="E166" s="68"/>
      <c r="F166" s="68"/>
      <c r="G166" s="69"/>
      <c r="H166" s="67" t="str">
        <f t="shared" ca="1" si="4"/>
        <v/>
      </c>
      <c r="I166" s="74" t="str">
        <f t="shared" si="5"/>
        <v/>
      </c>
      <c r="J166" s="69"/>
    </row>
    <row r="167" spans="1:10" x14ac:dyDescent="0.3">
      <c r="A167" s="69"/>
      <c r="B167" s="69"/>
      <c r="C167" s="69"/>
      <c r="D167" s="69"/>
      <c r="E167" s="68"/>
      <c r="F167" s="68"/>
      <c r="G167" s="69"/>
      <c r="H167" s="67" t="str">
        <f t="shared" ca="1" si="4"/>
        <v/>
      </c>
      <c r="I167" s="74" t="str">
        <f t="shared" si="5"/>
        <v/>
      </c>
      <c r="J167" s="69"/>
    </row>
    <row r="168" spans="1:10" x14ac:dyDescent="0.3">
      <c r="A168" s="69"/>
      <c r="B168" s="69"/>
      <c r="C168" s="69"/>
      <c r="D168" s="69"/>
      <c r="E168" s="68"/>
      <c r="F168" s="68"/>
      <c r="G168" s="69"/>
      <c r="H168" s="67" t="str">
        <f t="shared" ca="1" si="4"/>
        <v/>
      </c>
      <c r="I168" s="74" t="str">
        <f t="shared" si="5"/>
        <v/>
      </c>
      <c r="J168" s="69"/>
    </row>
    <row r="169" spans="1:10" x14ac:dyDescent="0.3">
      <c r="A169" s="69"/>
      <c r="B169" s="69"/>
      <c r="C169" s="69"/>
      <c r="D169" s="69"/>
      <c r="E169" s="68"/>
      <c r="F169" s="68"/>
      <c r="G169" s="69"/>
      <c r="H169" s="67" t="str">
        <f t="shared" ca="1" si="4"/>
        <v/>
      </c>
      <c r="I169" s="74" t="str">
        <f t="shared" si="5"/>
        <v/>
      </c>
      <c r="J169" s="69"/>
    </row>
    <row r="170" spans="1:10" x14ac:dyDescent="0.3">
      <c r="A170" s="69"/>
      <c r="B170" s="69"/>
      <c r="C170" s="69"/>
      <c r="D170" s="69"/>
      <c r="E170" s="68"/>
      <c r="F170" s="68"/>
      <c r="G170" s="69"/>
      <c r="H170" s="67" t="str">
        <f t="shared" ca="1" si="4"/>
        <v/>
      </c>
      <c r="I170" s="74" t="str">
        <f t="shared" si="5"/>
        <v/>
      </c>
      <c r="J170" s="69"/>
    </row>
    <row r="171" spans="1:10" x14ac:dyDescent="0.3">
      <c r="A171" s="69"/>
      <c r="B171" s="69"/>
      <c r="C171" s="69"/>
      <c r="D171" s="69"/>
      <c r="E171" s="68"/>
      <c r="F171" s="68"/>
      <c r="G171" s="69"/>
      <c r="H171" s="67" t="str">
        <f t="shared" ca="1" si="4"/>
        <v/>
      </c>
      <c r="I171" s="74" t="str">
        <f t="shared" si="5"/>
        <v/>
      </c>
      <c r="J171" s="69"/>
    </row>
    <row r="172" spans="1:10" x14ac:dyDescent="0.3">
      <c r="A172" s="69"/>
      <c r="B172" s="69"/>
      <c r="C172" s="69"/>
      <c r="D172" s="69"/>
      <c r="E172" s="68"/>
      <c r="F172" s="68"/>
      <c r="G172" s="69"/>
      <c r="H172" s="67" t="str">
        <f t="shared" ca="1" si="4"/>
        <v/>
      </c>
      <c r="I172" s="74" t="str">
        <f t="shared" si="5"/>
        <v/>
      </c>
      <c r="J172" s="69"/>
    </row>
    <row r="173" spans="1:10" x14ac:dyDescent="0.3">
      <c r="A173" s="69"/>
      <c r="B173" s="69"/>
      <c r="C173" s="69"/>
      <c r="D173" s="69"/>
      <c r="E173" s="68"/>
      <c r="F173" s="68"/>
      <c r="G173" s="69"/>
      <c r="H173" s="67" t="str">
        <f t="shared" ca="1" si="4"/>
        <v/>
      </c>
      <c r="I173" s="74" t="str">
        <f t="shared" si="5"/>
        <v/>
      </c>
      <c r="J173" s="69"/>
    </row>
    <row r="174" spans="1:10" x14ac:dyDescent="0.3">
      <c r="A174" s="69"/>
      <c r="B174" s="69"/>
      <c r="C174" s="69"/>
      <c r="D174" s="69"/>
      <c r="E174" s="68"/>
      <c r="F174" s="68"/>
      <c r="G174" s="69"/>
      <c r="H174" s="67" t="str">
        <f t="shared" ca="1" si="4"/>
        <v/>
      </c>
      <c r="I174" s="74" t="str">
        <f t="shared" si="5"/>
        <v/>
      </c>
      <c r="J174" s="69"/>
    </row>
    <row r="175" spans="1:10" x14ac:dyDescent="0.3">
      <c r="A175" s="69"/>
      <c r="B175" s="69"/>
      <c r="C175" s="69"/>
      <c r="D175" s="69"/>
      <c r="E175" s="68"/>
      <c r="F175" s="68"/>
      <c r="G175" s="69"/>
      <c r="H175" s="67" t="str">
        <f t="shared" ca="1" si="4"/>
        <v/>
      </c>
      <c r="I175" s="74" t="str">
        <f t="shared" si="5"/>
        <v/>
      </c>
      <c r="J175" s="69"/>
    </row>
    <row r="176" spans="1:10" x14ac:dyDescent="0.3">
      <c r="A176" s="69"/>
      <c r="B176" s="69"/>
      <c r="C176" s="69"/>
      <c r="D176" s="69"/>
      <c r="E176" s="68"/>
      <c r="F176" s="68"/>
      <c r="G176" s="69"/>
      <c r="H176" s="67" t="str">
        <f t="shared" ca="1" si="4"/>
        <v/>
      </c>
      <c r="I176" s="74" t="str">
        <f t="shared" si="5"/>
        <v/>
      </c>
      <c r="J176" s="69"/>
    </row>
    <row r="177" spans="1:10" x14ac:dyDescent="0.3">
      <c r="A177" s="69"/>
      <c r="B177" s="69"/>
      <c r="C177" s="69"/>
      <c r="D177" s="69"/>
      <c r="E177" s="68"/>
      <c r="F177" s="68"/>
      <c r="G177" s="69"/>
      <c r="H177" s="67" t="str">
        <f t="shared" ca="1" si="4"/>
        <v/>
      </c>
      <c r="I177" s="74" t="str">
        <f t="shared" si="5"/>
        <v/>
      </c>
      <c r="J177" s="69"/>
    </row>
    <row r="178" spans="1:10" x14ac:dyDescent="0.3">
      <c r="A178" s="69"/>
      <c r="B178" s="69"/>
      <c r="C178" s="69"/>
      <c r="D178" s="69"/>
      <c r="E178" s="68"/>
      <c r="F178" s="68"/>
      <c r="G178" s="69"/>
      <c r="H178" s="67" t="str">
        <f t="shared" ca="1" si="4"/>
        <v/>
      </c>
      <c r="I178" s="74" t="str">
        <f t="shared" si="5"/>
        <v/>
      </c>
      <c r="J178" s="69"/>
    </row>
    <row r="179" spans="1:10" x14ac:dyDescent="0.3">
      <c r="A179" s="69"/>
      <c r="B179" s="69"/>
      <c r="C179" s="69"/>
      <c r="D179" s="69"/>
      <c r="E179" s="68"/>
      <c r="F179" s="68"/>
      <c r="G179" s="69"/>
      <c r="H179" s="67" t="str">
        <f t="shared" ca="1" si="4"/>
        <v/>
      </c>
      <c r="I179" s="74" t="str">
        <f t="shared" si="5"/>
        <v/>
      </c>
      <c r="J179" s="69"/>
    </row>
    <row r="180" spans="1:10" x14ac:dyDescent="0.3">
      <c r="A180" s="69"/>
      <c r="B180" s="69"/>
      <c r="C180" s="69"/>
      <c r="D180" s="69"/>
      <c r="E180" s="68"/>
      <c r="F180" s="68"/>
      <c r="G180" s="69"/>
      <c r="H180" s="67" t="str">
        <f t="shared" ca="1" si="4"/>
        <v/>
      </c>
      <c r="I180" s="74" t="str">
        <f t="shared" si="5"/>
        <v/>
      </c>
      <c r="J180" s="69"/>
    </row>
    <row r="181" spans="1:10" x14ac:dyDescent="0.3">
      <c r="A181" s="69"/>
      <c r="B181" s="69"/>
      <c r="C181" s="69"/>
      <c r="D181" s="69"/>
      <c r="E181" s="68"/>
      <c r="F181" s="68"/>
      <c r="G181" s="69"/>
      <c r="H181" s="67" t="str">
        <f t="shared" ca="1" si="4"/>
        <v/>
      </c>
      <c r="I181" s="74" t="str">
        <f t="shared" si="5"/>
        <v/>
      </c>
      <c r="J181" s="69"/>
    </row>
    <row r="182" spans="1:10" x14ac:dyDescent="0.3">
      <c r="A182" s="69"/>
      <c r="B182" s="69"/>
      <c r="C182" s="69"/>
      <c r="D182" s="69"/>
      <c r="E182" s="68"/>
      <c r="F182" s="68"/>
      <c r="G182" s="69"/>
      <c r="H182" s="67" t="str">
        <f t="shared" ca="1" si="4"/>
        <v/>
      </c>
      <c r="I182" s="74" t="str">
        <f t="shared" si="5"/>
        <v/>
      </c>
      <c r="J182" s="69"/>
    </row>
    <row r="183" spans="1:10" x14ac:dyDescent="0.3">
      <c r="A183" s="69"/>
      <c r="B183" s="69"/>
      <c r="C183" s="69"/>
      <c r="D183" s="69"/>
      <c r="E183" s="68"/>
      <c r="F183" s="68"/>
      <c r="G183" s="69"/>
      <c r="H183" s="67" t="str">
        <f t="shared" ca="1" si="4"/>
        <v/>
      </c>
      <c r="I183" s="74" t="str">
        <f t="shared" si="5"/>
        <v/>
      </c>
      <c r="J183" s="69"/>
    </row>
    <row r="184" spans="1:10" x14ac:dyDescent="0.3">
      <c r="A184" s="69"/>
      <c r="B184" s="69"/>
      <c r="C184" s="69"/>
      <c r="D184" s="69"/>
      <c r="E184" s="68"/>
      <c r="F184" s="68"/>
      <c r="G184" s="69"/>
      <c r="H184" s="67" t="str">
        <f t="shared" ca="1" si="4"/>
        <v/>
      </c>
      <c r="I184" s="74" t="str">
        <f t="shared" si="5"/>
        <v/>
      </c>
      <c r="J184" s="69"/>
    </row>
    <row r="185" spans="1:10" x14ac:dyDescent="0.3">
      <c r="A185" s="69"/>
      <c r="B185" s="69"/>
      <c r="C185" s="69"/>
      <c r="D185" s="69"/>
      <c r="E185" s="68"/>
      <c r="F185" s="68"/>
      <c r="G185" s="69"/>
      <c r="H185" s="67" t="str">
        <f t="shared" ca="1" si="4"/>
        <v/>
      </c>
      <c r="I185" s="74" t="str">
        <f t="shared" si="5"/>
        <v/>
      </c>
      <c r="J185" s="69"/>
    </row>
    <row r="186" spans="1:10" x14ac:dyDescent="0.3">
      <c r="A186" s="69"/>
      <c r="B186" s="69"/>
      <c r="C186" s="69"/>
      <c r="D186" s="69"/>
      <c r="E186" s="68"/>
      <c r="F186" s="68"/>
      <c r="G186" s="69"/>
      <c r="H186" s="67" t="str">
        <f t="shared" ca="1" si="4"/>
        <v/>
      </c>
      <c r="I186" s="74" t="str">
        <f t="shared" si="5"/>
        <v/>
      </c>
      <c r="J186" s="69"/>
    </row>
    <row r="187" spans="1:10" x14ac:dyDescent="0.3">
      <c r="A187" s="69"/>
      <c r="B187" s="69"/>
      <c r="C187" s="69"/>
      <c r="D187" s="69"/>
      <c r="E187" s="68"/>
      <c r="F187" s="68"/>
      <c r="G187" s="69"/>
      <c r="H187" s="67" t="str">
        <f t="shared" ca="1" si="4"/>
        <v/>
      </c>
      <c r="I187" s="74" t="str">
        <f t="shared" si="5"/>
        <v/>
      </c>
      <c r="J187" s="69"/>
    </row>
    <row r="188" spans="1:10" x14ac:dyDescent="0.3">
      <c r="A188" s="69"/>
      <c r="B188" s="69"/>
      <c r="C188" s="69"/>
      <c r="D188" s="69"/>
      <c r="E188" s="68"/>
      <c r="F188" s="68"/>
      <c r="G188" s="69"/>
      <c r="H188" s="67" t="str">
        <f t="shared" ca="1" si="4"/>
        <v/>
      </c>
      <c r="I188" s="74" t="str">
        <f t="shared" si="5"/>
        <v/>
      </c>
      <c r="J188" s="69"/>
    </row>
    <row r="189" spans="1:10" x14ac:dyDescent="0.3">
      <c r="A189" s="69"/>
      <c r="B189" s="69"/>
      <c r="C189" s="69"/>
      <c r="D189" s="69"/>
      <c r="E189" s="68"/>
      <c r="F189" s="68"/>
      <c r="G189" s="69"/>
      <c r="H189" s="67" t="str">
        <f t="shared" ca="1" si="4"/>
        <v/>
      </c>
      <c r="I189" s="74" t="str">
        <f t="shared" si="5"/>
        <v/>
      </c>
      <c r="J189" s="69"/>
    </row>
    <row r="190" spans="1:10" x14ac:dyDescent="0.3">
      <c r="A190" s="69"/>
      <c r="B190" s="69"/>
      <c r="C190" s="69"/>
      <c r="D190" s="69"/>
      <c r="E190" s="68"/>
      <c r="F190" s="68"/>
      <c r="G190" s="69"/>
      <c r="H190" s="67" t="str">
        <f t="shared" ca="1" si="4"/>
        <v/>
      </c>
      <c r="I190" s="74" t="str">
        <f t="shared" si="5"/>
        <v/>
      </c>
      <c r="J190" s="69"/>
    </row>
    <row r="191" spans="1:10" x14ac:dyDescent="0.3">
      <c r="A191" s="69"/>
      <c r="B191" s="69"/>
      <c r="C191" s="69"/>
      <c r="D191" s="69"/>
      <c r="E191" s="68"/>
      <c r="F191" s="68"/>
      <c r="G191" s="69"/>
      <c r="H191" s="67" t="str">
        <f t="shared" ca="1" si="4"/>
        <v/>
      </c>
      <c r="I191" s="74" t="str">
        <f t="shared" si="5"/>
        <v/>
      </c>
      <c r="J191" s="69"/>
    </row>
    <row r="192" spans="1:10" x14ac:dyDescent="0.3">
      <c r="A192" s="69"/>
      <c r="B192" s="69"/>
      <c r="C192" s="69"/>
      <c r="D192" s="69"/>
      <c r="E192" s="68"/>
      <c r="F192" s="68"/>
      <c r="G192" s="69"/>
      <c r="H192" s="67" t="str">
        <f t="shared" ca="1" si="4"/>
        <v/>
      </c>
      <c r="I192" s="74" t="str">
        <f t="shared" si="5"/>
        <v/>
      </c>
      <c r="J192" s="69"/>
    </row>
    <row r="193" spans="1:10" x14ac:dyDescent="0.3">
      <c r="A193" s="69"/>
      <c r="B193" s="69"/>
      <c r="C193" s="69"/>
      <c r="D193" s="69"/>
      <c r="E193" s="68"/>
      <c r="F193" s="68"/>
      <c r="G193" s="69"/>
      <c r="H193" s="67" t="str">
        <f t="shared" ca="1" si="4"/>
        <v/>
      </c>
      <c r="I193" s="74" t="str">
        <f t="shared" si="5"/>
        <v/>
      </c>
      <c r="J193" s="69"/>
    </row>
    <row r="194" spans="1:10" x14ac:dyDescent="0.3">
      <c r="A194" s="69"/>
      <c r="B194" s="69"/>
      <c r="C194" s="69"/>
      <c r="D194" s="69"/>
      <c r="E194" s="68"/>
      <c r="F194" s="68"/>
      <c r="G194" s="69"/>
      <c r="H194" s="67" t="str">
        <f t="shared" ca="1" si="4"/>
        <v/>
      </c>
      <c r="I194" s="74" t="str">
        <f t="shared" si="5"/>
        <v/>
      </c>
      <c r="J194" s="69"/>
    </row>
    <row r="195" spans="1:10" x14ac:dyDescent="0.3">
      <c r="A195" s="69"/>
      <c r="B195" s="69"/>
      <c r="C195" s="69"/>
      <c r="D195" s="69"/>
      <c r="E195" s="68"/>
      <c r="F195" s="68"/>
      <c r="G195" s="69"/>
      <c r="H195" s="67" t="str">
        <f t="shared" ca="1" si="4"/>
        <v/>
      </c>
      <c r="I195" s="74" t="str">
        <f t="shared" si="5"/>
        <v/>
      </c>
      <c r="J195" s="69"/>
    </row>
    <row r="196" spans="1:10" x14ac:dyDescent="0.3">
      <c r="A196" s="69"/>
      <c r="B196" s="69"/>
      <c r="C196" s="69"/>
      <c r="D196" s="69"/>
      <c r="E196" s="68"/>
      <c r="F196" s="68"/>
      <c r="G196" s="69"/>
      <c r="H196" s="67" t="str">
        <f t="shared" ca="1" si="4"/>
        <v/>
      </c>
      <c r="I196" s="74" t="str">
        <f t="shared" si="5"/>
        <v/>
      </c>
      <c r="J196" s="69"/>
    </row>
    <row r="197" spans="1:10" x14ac:dyDescent="0.3">
      <c r="A197" s="69"/>
      <c r="B197" s="69"/>
      <c r="C197" s="69"/>
      <c r="D197" s="69"/>
      <c r="E197" s="68"/>
      <c r="F197" s="68"/>
      <c r="G197" s="69"/>
      <c r="H197" s="67" t="str">
        <f t="shared" ref="H197:H260" ca="1" si="6">IF(E197="","",IF(G197&lt;&gt;"Completed",IF(E197&lt;TODAY(),"Overdue",""),IF(F197&lt;=E197,"Yes","No")))</f>
        <v/>
      </c>
      <c r="I197" s="74" t="str">
        <f t="shared" ref="I197:I260" si="7">IF(OR(E197="",F197=""),"",F197-E197)</f>
        <v/>
      </c>
      <c r="J197" s="69"/>
    </row>
    <row r="198" spans="1:10" x14ac:dyDescent="0.3">
      <c r="A198" s="69"/>
      <c r="B198" s="69"/>
      <c r="C198" s="69"/>
      <c r="D198" s="69"/>
      <c r="E198" s="68"/>
      <c r="F198" s="68"/>
      <c r="G198" s="69"/>
      <c r="H198" s="67" t="str">
        <f t="shared" ca="1" si="6"/>
        <v/>
      </c>
      <c r="I198" s="74" t="str">
        <f t="shared" si="7"/>
        <v/>
      </c>
      <c r="J198" s="69"/>
    </row>
    <row r="199" spans="1:10" x14ac:dyDescent="0.3">
      <c r="A199" s="69"/>
      <c r="B199" s="69"/>
      <c r="C199" s="69"/>
      <c r="D199" s="69"/>
      <c r="E199" s="68"/>
      <c r="F199" s="68"/>
      <c r="G199" s="69"/>
      <c r="H199" s="67" t="str">
        <f t="shared" ca="1" si="6"/>
        <v/>
      </c>
      <c r="I199" s="74" t="str">
        <f t="shared" si="7"/>
        <v/>
      </c>
      <c r="J199" s="69"/>
    </row>
    <row r="200" spans="1:10" x14ac:dyDescent="0.3">
      <c r="A200" s="69"/>
      <c r="B200" s="69"/>
      <c r="C200" s="69"/>
      <c r="D200" s="69"/>
      <c r="E200" s="68"/>
      <c r="F200" s="68"/>
      <c r="G200" s="69"/>
      <c r="H200" s="67" t="str">
        <f t="shared" ca="1" si="6"/>
        <v/>
      </c>
      <c r="I200" s="74" t="str">
        <f t="shared" si="7"/>
        <v/>
      </c>
      <c r="J200" s="69"/>
    </row>
    <row r="201" spans="1:10" x14ac:dyDescent="0.3">
      <c r="A201" s="69"/>
      <c r="B201" s="69"/>
      <c r="C201" s="69"/>
      <c r="D201" s="69"/>
      <c r="E201" s="68"/>
      <c r="F201" s="68"/>
      <c r="G201" s="69"/>
      <c r="H201" s="67" t="str">
        <f t="shared" ca="1" si="6"/>
        <v/>
      </c>
      <c r="I201" s="74" t="str">
        <f t="shared" si="7"/>
        <v/>
      </c>
      <c r="J201" s="69"/>
    </row>
    <row r="202" spans="1:10" x14ac:dyDescent="0.3">
      <c r="A202" s="69"/>
      <c r="B202" s="69"/>
      <c r="C202" s="69"/>
      <c r="D202" s="69"/>
      <c r="E202" s="68"/>
      <c r="F202" s="68"/>
      <c r="G202" s="69"/>
      <c r="H202" s="67" t="str">
        <f t="shared" ca="1" si="6"/>
        <v/>
      </c>
      <c r="I202" s="74" t="str">
        <f t="shared" si="7"/>
        <v/>
      </c>
      <c r="J202" s="69"/>
    </row>
    <row r="203" spans="1:10" x14ac:dyDescent="0.3">
      <c r="A203" s="69"/>
      <c r="B203" s="69"/>
      <c r="C203" s="69"/>
      <c r="D203" s="69"/>
      <c r="E203" s="68"/>
      <c r="F203" s="68"/>
      <c r="G203" s="69"/>
      <c r="H203" s="67" t="str">
        <f t="shared" ca="1" si="6"/>
        <v/>
      </c>
      <c r="I203" s="74" t="str">
        <f t="shared" si="7"/>
        <v/>
      </c>
      <c r="J203" s="69"/>
    </row>
    <row r="204" spans="1:10" x14ac:dyDescent="0.3">
      <c r="A204" s="69"/>
      <c r="B204" s="69"/>
      <c r="C204" s="69"/>
      <c r="D204" s="69"/>
      <c r="E204" s="68"/>
      <c r="F204" s="68"/>
      <c r="G204" s="69"/>
      <c r="H204" s="67" t="str">
        <f t="shared" ca="1" si="6"/>
        <v/>
      </c>
      <c r="I204" s="74" t="str">
        <f t="shared" si="7"/>
        <v/>
      </c>
      <c r="J204" s="69"/>
    </row>
    <row r="205" spans="1:10" x14ac:dyDescent="0.3">
      <c r="A205" s="69"/>
      <c r="B205" s="69"/>
      <c r="C205" s="69"/>
      <c r="D205" s="69"/>
      <c r="E205" s="68"/>
      <c r="F205" s="68"/>
      <c r="G205" s="69"/>
      <c r="H205" s="67" t="str">
        <f t="shared" ca="1" si="6"/>
        <v/>
      </c>
      <c r="I205" s="74" t="str">
        <f t="shared" si="7"/>
        <v/>
      </c>
      <c r="J205" s="69"/>
    </row>
    <row r="206" spans="1:10" x14ac:dyDescent="0.3">
      <c r="A206" s="69"/>
      <c r="B206" s="69"/>
      <c r="C206" s="69"/>
      <c r="D206" s="69"/>
      <c r="E206" s="68"/>
      <c r="F206" s="68"/>
      <c r="G206" s="69"/>
      <c r="H206" s="67" t="str">
        <f t="shared" ca="1" si="6"/>
        <v/>
      </c>
      <c r="I206" s="74" t="str">
        <f t="shared" si="7"/>
        <v/>
      </c>
      <c r="J206" s="69"/>
    </row>
    <row r="207" spans="1:10" x14ac:dyDescent="0.3">
      <c r="A207" s="69"/>
      <c r="B207" s="69"/>
      <c r="C207" s="69"/>
      <c r="D207" s="69"/>
      <c r="E207" s="68"/>
      <c r="F207" s="68"/>
      <c r="G207" s="69"/>
      <c r="H207" s="67" t="str">
        <f t="shared" ca="1" si="6"/>
        <v/>
      </c>
      <c r="I207" s="74" t="str">
        <f t="shared" si="7"/>
        <v/>
      </c>
      <c r="J207" s="69"/>
    </row>
    <row r="208" spans="1:10" x14ac:dyDescent="0.3">
      <c r="A208" s="69"/>
      <c r="B208" s="69"/>
      <c r="C208" s="69"/>
      <c r="D208" s="69"/>
      <c r="E208" s="68"/>
      <c r="F208" s="68"/>
      <c r="G208" s="69"/>
      <c r="H208" s="67" t="str">
        <f t="shared" ca="1" si="6"/>
        <v/>
      </c>
      <c r="I208" s="74" t="str">
        <f t="shared" si="7"/>
        <v/>
      </c>
      <c r="J208" s="69"/>
    </row>
    <row r="209" spans="1:10" x14ac:dyDescent="0.3">
      <c r="A209" s="69"/>
      <c r="B209" s="69"/>
      <c r="C209" s="69"/>
      <c r="D209" s="69"/>
      <c r="E209" s="68"/>
      <c r="F209" s="68"/>
      <c r="G209" s="69"/>
      <c r="H209" s="67" t="str">
        <f t="shared" ca="1" si="6"/>
        <v/>
      </c>
      <c r="I209" s="74" t="str">
        <f t="shared" si="7"/>
        <v/>
      </c>
      <c r="J209" s="69"/>
    </row>
    <row r="210" spans="1:10" x14ac:dyDescent="0.3">
      <c r="A210" s="69"/>
      <c r="B210" s="69"/>
      <c r="C210" s="69"/>
      <c r="D210" s="69"/>
      <c r="E210" s="68"/>
      <c r="F210" s="68"/>
      <c r="G210" s="69"/>
      <c r="H210" s="67" t="str">
        <f t="shared" ca="1" si="6"/>
        <v/>
      </c>
      <c r="I210" s="74" t="str">
        <f t="shared" si="7"/>
        <v/>
      </c>
      <c r="J210" s="69"/>
    </row>
    <row r="211" spans="1:10" x14ac:dyDescent="0.3">
      <c r="A211" s="69"/>
      <c r="B211" s="69"/>
      <c r="C211" s="69"/>
      <c r="D211" s="69"/>
      <c r="E211" s="68"/>
      <c r="F211" s="68"/>
      <c r="G211" s="69"/>
      <c r="H211" s="67" t="str">
        <f t="shared" ca="1" si="6"/>
        <v/>
      </c>
      <c r="I211" s="74" t="str">
        <f t="shared" si="7"/>
        <v/>
      </c>
      <c r="J211" s="69"/>
    </row>
    <row r="212" spans="1:10" x14ac:dyDescent="0.3">
      <c r="A212" s="69"/>
      <c r="B212" s="69"/>
      <c r="C212" s="69"/>
      <c r="D212" s="69"/>
      <c r="E212" s="68"/>
      <c r="F212" s="68"/>
      <c r="G212" s="69"/>
      <c r="H212" s="67" t="str">
        <f t="shared" ca="1" si="6"/>
        <v/>
      </c>
      <c r="I212" s="74" t="str">
        <f t="shared" si="7"/>
        <v/>
      </c>
      <c r="J212" s="69"/>
    </row>
    <row r="213" spans="1:10" x14ac:dyDescent="0.3">
      <c r="A213" s="69"/>
      <c r="B213" s="69"/>
      <c r="C213" s="69"/>
      <c r="D213" s="69"/>
      <c r="E213" s="68"/>
      <c r="F213" s="68"/>
      <c r="G213" s="69"/>
      <c r="H213" s="67" t="str">
        <f t="shared" ca="1" si="6"/>
        <v/>
      </c>
      <c r="I213" s="74" t="str">
        <f t="shared" si="7"/>
        <v/>
      </c>
      <c r="J213" s="69"/>
    </row>
    <row r="214" spans="1:10" x14ac:dyDescent="0.3">
      <c r="A214" s="69"/>
      <c r="B214" s="69"/>
      <c r="C214" s="69"/>
      <c r="D214" s="69"/>
      <c r="E214" s="68"/>
      <c r="F214" s="68"/>
      <c r="G214" s="69"/>
      <c r="H214" s="67" t="str">
        <f t="shared" ca="1" si="6"/>
        <v/>
      </c>
      <c r="I214" s="74" t="str">
        <f t="shared" si="7"/>
        <v/>
      </c>
      <c r="J214" s="69"/>
    </row>
    <row r="215" spans="1:10" x14ac:dyDescent="0.3">
      <c r="A215" s="69"/>
      <c r="B215" s="69"/>
      <c r="C215" s="69"/>
      <c r="D215" s="69"/>
      <c r="E215" s="68"/>
      <c r="F215" s="68"/>
      <c r="G215" s="69"/>
      <c r="H215" s="67" t="str">
        <f t="shared" ca="1" si="6"/>
        <v/>
      </c>
      <c r="I215" s="74" t="str">
        <f t="shared" si="7"/>
        <v/>
      </c>
      <c r="J215" s="69"/>
    </row>
    <row r="216" spans="1:10" x14ac:dyDescent="0.3">
      <c r="A216" s="69"/>
      <c r="B216" s="69"/>
      <c r="C216" s="69"/>
      <c r="D216" s="69"/>
      <c r="E216" s="68"/>
      <c r="F216" s="68"/>
      <c r="G216" s="69"/>
      <c r="H216" s="67" t="str">
        <f t="shared" ca="1" si="6"/>
        <v/>
      </c>
      <c r="I216" s="74" t="str">
        <f t="shared" si="7"/>
        <v/>
      </c>
      <c r="J216" s="69"/>
    </row>
    <row r="217" spans="1:10" x14ac:dyDescent="0.3">
      <c r="A217" s="69"/>
      <c r="B217" s="69"/>
      <c r="C217" s="69"/>
      <c r="D217" s="69"/>
      <c r="E217" s="68"/>
      <c r="F217" s="68"/>
      <c r="G217" s="69"/>
      <c r="H217" s="67" t="str">
        <f t="shared" ca="1" si="6"/>
        <v/>
      </c>
      <c r="I217" s="74" t="str">
        <f t="shared" si="7"/>
        <v/>
      </c>
      <c r="J217" s="69"/>
    </row>
    <row r="218" spans="1:10" x14ac:dyDescent="0.3">
      <c r="A218" s="69"/>
      <c r="B218" s="69"/>
      <c r="C218" s="69"/>
      <c r="D218" s="69"/>
      <c r="E218" s="68"/>
      <c r="F218" s="68"/>
      <c r="G218" s="69"/>
      <c r="H218" s="67" t="str">
        <f t="shared" ca="1" si="6"/>
        <v/>
      </c>
      <c r="I218" s="74" t="str">
        <f t="shared" si="7"/>
        <v/>
      </c>
      <c r="J218" s="69"/>
    </row>
    <row r="219" spans="1:10" x14ac:dyDescent="0.3">
      <c r="A219" s="69"/>
      <c r="B219" s="69"/>
      <c r="C219" s="69"/>
      <c r="D219" s="69"/>
      <c r="E219" s="68"/>
      <c r="F219" s="68"/>
      <c r="G219" s="69"/>
      <c r="H219" s="67" t="str">
        <f t="shared" ca="1" si="6"/>
        <v/>
      </c>
      <c r="I219" s="74" t="str">
        <f t="shared" si="7"/>
        <v/>
      </c>
      <c r="J219" s="69"/>
    </row>
    <row r="220" spans="1:10" x14ac:dyDescent="0.3">
      <c r="A220" s="69"/>
      <c r="B220" s="69"/>
      <c r="C220" s="69"/>
      <c r="D220" s="69"/>
      <c r="E220" s="68"/>
      <c r="F220" s="68"/>
      <c r="G220" s="69"/>
      <c r="H220" s="67" t="str">
        <f t="shared" ca="1" si="6"/>
        <v/>
      </c>
      <c r="I220" s="74" t="str">
        <f t="shared" si="7"/>
        <v/>
      </c>
      <c r="J220" s="69"/>
    </row>
    <row r="221" spans="1:10" x14ac:dyDescent="0.3">
      <c r="A221" s="69"/>
      <c r="B221" s="69"/>
      <c r="C221" s="69"/>
      <c r="D221" s="69"/>
      <c r="E221" s="68"/>
      <c r="F221" s="68"/>
      <c r="G221" s="69"/>
      <c r="H221" s="67" t="str">
        <f t="shared" ca="1" si="6"/>
        <v/>
      </c>
      <c r="I221" s="74" t="str">
        <f t="shared" si="7"/>
        <v/>
      </c>
      <c r="J221" s="69"/>
    </row>
    <row r="222" spans="1:10" x14ac:dyDescent="0.3">
      <c r="A222" s="69"/>
      <c r="B222" s="69"/>
      <c r="C222" s="69"/>
      <c r="D222" s="69"/>
      <c r="E222" s="68"/>
      <c r="F222" s="68"/>
      <c r="G222" s="69"/>
      <c r="H222" s="67" t="str">
        <f t="shared" ca="1" si="6"/>
        <v/>
      </c>
      <c r="I222" s="74" t="str">
        <f t="shared" si="7"/>
        <v/>
      </c>
      <c r="J222" s="69"/>
    </row>
    <row r="223" spans="1:10" x14ac:dyDescent="0.3">
      <c r="A223" s="69"/>
      <c r="B223" s="69"/>
      <c r="C223" s="69"/>
      <c r="D223" s="69"/>
      <c r="E223" s="68"/>
      <c r="F223" s="68"/>
      <c r="G223" s="69"/>
      <c r="H223" s="67" t="str">
        <f t="shared" ca="1" si="6"/>
        <v/>
      </c>
      <c r="I223" s="74" t="str">
        <f t="shared" si="7"/>
        <v/>
      </c>
      <c r="J223" s="69"/>
    </row>
    <row r="224" spans="1:10" x14ac:dyDescent="0.3">
      <c r="A224" s="69"/>
      <c r="B224" s="69"/>
      <c r="C224" s="69"/>
      <c r="D224" s="69"/>
      <c r="E224" s="68"/>
      <c r="F224" s="68"/>
      <c r="G224" s="69"/>
      <c r="H224" s="67" t="str">
        <f t="shared" ca="1" si="6"/>
        <v/>
      </c>
      <c r="I224" s="74" t="str">
        <f t="shared" si="7"/>
        <v/>
      </c>
      <c r="J224" s="69"/>
    </row>
    <row r="225" spans="1:10" x14ac:dyDescent="0.3">
      <c r="A225" s="69"/>
      <c r="B225" s="69"/>
      <c r="C225" s="69"/>
      <c r="D225" s="69"/>
      <c r="E225" s="68"/>
      <c r="F225" s="68"/>
      <c r="G225" s="69"/>
      <c r="H225" s="67" t="str">
        <f t="shared" ca="1" si="6"/>
        <v/>
      </c>
      <c r="I225" s="74" t="str">
        <f t="shared" si="7"/>
        <v/>
      </c>
      <c r="J225" s="69"/>
    </row>
    <row r="226" spans="1:10" x14ac:dyDescent="0.3">
      <c r="A226" s="69"/>
      <c r="B226" s="69"/>
      <c r="C226" s="69"/>
      <c r="D226" s="69"/>
      <c r="E226" s="68"/>
      <c r="F226" s="68"/>
      <c r="G226" s="69"/>
      <c r="H226" s="67" t="str">
        <f t="shared" ca="1" si="6"/>
        <v/>
      </c>
      <c r="I226" s="74" t="str">
        <f t="shared" si="7"/>
        <v/>
      </c>
      <c r="J226" s="69"/>
    </row>
    <row r="227" spans="1:10" x14ac:dyDescent="0.3">
      <c r="A227" s="69"/>
      <c r="B227" s="69"/>
      <c r="C227" s="69"/>
      <c r="D227" s="69"/>
      <c r="E227" s="68"/>
      <c r="F227" s="68"/>
      <c r="G227" s="69"/>
      <c r="H227" s="67" t="str">
        <f t="shared" ca="1" si="6"/>
        <v/>
      </c>
      <c r="I227" s="74" t="str">
        <f t="shared" si="7"/>
        <v/>
      </c>
      <c r="J227" s="69"/>
    </row>
    <row r="228" spans="1:10" x14ac:dyDescent="0.3">
      <c r="A228" s="69"/>
      <c r="B228" s="69"/>
      <c r="C228" s="69"/>
      <c r="D228" s="69"/>
      <c r="E228" s="68"/>
      <c r="F228" s="68"/>
      <c r="G228" s="69"/>
      <c r="H228" s="67" t="str">
        <f t="shared" ca="1" si="6"/>
        <v/>
      </c>
      <c r="I228" s="74" t="str">
        <f t="shared" si="7"/>
        <v/>
      </c>
      <c r="J228" s="69"/>
    </row>
    <row r="229" spans="1:10" x14ac:dyDescent="0.3">
      <c r="A229" s="69"/>
      <c r="B229" s="69"/>
      <c r="C229" s="69"/>
      <c r="D229" s="69"/>
      <c r="E229" s="68"/>
      <c r="F229" s="68"/>
      <c r="G229" s="69"/>
      <c r="H229" s="67" t="str">
        <f t="shared" ca="1" si="6"/>
        <v/>
      </c>
      <c r="I229" s="74" t="str">
        <f t="shared" si="7"/>
        <v/>
      </c>
      <c r="J229" s="69"/>
    </row>
    <row r="230" spans="1:10" x14ac:dyDescent="0.3">
      <c r="A230" s="69"/>
      <c r="B230" s="69"/>
      <c r="C230" s="69"/>
      <c r="D230" s="69"/>
      <c r="E230" s="68"/>
      <c r="F230" s="68"/>
      <c r="G230" s="69"/>
      <c r="H230" s="67" t="str">
        <f t="shared" ca="1" si="6"/>
        <v/>
      </c>
      <c r="I230" s="74" t="str">
        <f t="shared" si="7"/>
        <v/>
      </c>
      <c r="J230" s="69"/>
    </row>
    <row r="231" spans="1:10" x14ac:dyDescent="0.3">
      <c r="A231" s="69"/>
      <c r="B231" s="69"/>
      <c r="C231" s="69"/>
      <c r="D231" s="69"/>
      <c r="E231" s="68"/>
      <c r="F231" s="68"/>
      <c r="G231" s="69"/>
      <c r="H231" s="67" t="str">
        <f t="shared" ca="1" si="6"/>
        <v/>
      </c>
      <c r="I231" s="74" t="str">
        <f t="shared" si="7"/>
        <v/>
      </c>
      <c r="J231" s="69"/>
    </row>
    <row r="232" spans="1:10" x14ac:dyDescent="0.3">
      <c r="A232" s="69"/>
      <c r="B232" s="69"/>
      <c r="C232" s="69"/>
      <c r="D232" s="69"/>
      <c r="E232" s="68"/>
      <c r="F232" s="68"/>
      <c r="G232" s="69"/>
      <c r="H232" s="67" t="str">
        <f t="shared" ca="1" si="6"/>
        <v/>
      </c>
      <c r="I232" s="74" t="str">
        <f t="shared" si="7"/>
        <v/>
      </c>
      <c r="J232" s="69"/>
    </row>
    <row r="233" spans="1:10" x14ac:dyDescent="0.3">
      <c r="A233" s="69"/>
      <c r="B233" s="69"/>
      <c r="C233" s="69"/>
      <c r="D233" s="69"/>
      <c r="E233" s="68"/>
      <c r="F233" s="68"/>
      <c r="G233" s="69"/>
      <c r="H233" s="67" t="str">
        <f t="shared" ca="1" si="6"/>
        <v/>
      </c>
      <c r="I233" s="74" t="str">
        <f t="shared" si="7"/>
        <v/>
      </c>
      <c r="J233" s="69"/>
    </row>
    <row r="234" spans="1:10" x14ac:dyDescent="0.3">
      <c r="A234" s="69"/>
      <c r="B234" s="69"/>
      <c r="C234" s="69"/>
      <c r="D234" s="69"/>
      <c r="E234" s="68"/>
      <c r="F234" s="68"/>
      <c r="G234" s="69"/>
      <c r="H234" s="67" t="str">
        <f t="shared" ca="1" si="6"/>
        <v/>
      </c>
      <c r="I234" s="74" t="str">
        <f t="shared" si="7"/>
        <v/>
      </c>
      <c r="J234" s="69"/>
    </row>
    <row r="235" spans="1:10" x14ac:dyDescent="0.3">
      <c r="A235" s="69"/>
      <c r="B235" s="69"/>
      <c r="C235" s="69"/>
      <c r="D235" s="69"/>
      <c r="E235" s="68"/>
      <c r="F235" s="68"/>
      <c r="G235" s="69"/>
      <c r="H235" s="67" t="str">
        <f t="shared" ca="1" si="6"/>
        <v/>
      </c>
      <c r="I235" s="74" t="str">
        <f t="shared" si="7"/>
        <v/>
      </c>
      <c r="J235" s="69"/>
    </row>
    <row r="236" spans="1:10" x14ac:dyDescent="0.3">
      <c r="A236" s="69"/>
      <c r="B236" s="69"/>
      <c r="C236" s="69"/>
      <c r="D236" s="69"/>
      <c r="E236" s="68"/>
      <c r="F236" s="68"/>
      <c r="G236" s="69"/>
      <c r="H236" s="67" t="str">
        <f t="shared" ca="1" si="6"/>
        <v/>
      </c>
      <c r="I236" s="74" t="str">
        <f t="shared" si="7"/>
        <v/>
      </c>
      <c r="J236" s="69"/>
    </row>
    <row r="237" spans="1:10" x14ac:dyDescent="0.3">
      <c r="A237" s="69"/>
      <c r="B237" s="69"/>
      <c r="C237" s="69"/>
      <c r="D237" s="69"/>
      <c r="E237" s="68"/>
      <c r="F237" s="68"/>
      <c r="G237" s="69"/>
      <c r="H237" s="67" t="str">
        <f t="shared" ca="1" si="6"/>
        <v/>
      </c>
      <c r="I237" s="74" t="str">
        <f t="shared" si="7"/>
        <v/>
      </c>
      <c r="J237" s="69"/>
    </row>
    <row r="238" spans="1:10" x14ac:dyDescent="0.3">
      <c r="A238" s="69"/>
      <c r="B238" s="69"/>
      <c r="C238" s="69"/>
      <c r="D238" s="69"/>
      <c r="E238" s="68"/>
      <c r="F238" s="68"/>
      <c r="G238" s="69"/>
      <c r="H238" s="67" t="str">
        <f t="shared" ca="1" si="6"/>
        <v/>
      </c>
      <c r="I238" s="74" t="str">
        <f t="shared" si="7"/>
        <v/>
      </c>
      <c r="J238" s="69"/>
    </row>
    <row r="239" spans="1:10" x14ac:dyDescent="0.3">
      <c r="A239" s="69"/>
      <c r="B239" s="69"/>
      <c r="C239" s="69"/>
      <c r="D239" s="69"/>
      <c r="E239" s="68"/>
      <c r="F239" s="68"/>
      <c r="G239" s="69"/>
      <c r="H239" s="67" t="str">
        <f t="shared" ca="1" si="6"/>
        <v/>
      </c>
      <c r="I239" s="74" t="str">
        <f t="shared" si="7"/>
        <v/>
      </c>
      <c r="J239" s="69"/>
    </row>
    <row r="240" spans="1:10" x14ac:dyDescent="0.3">
      <c r="A240" s="69"/>
      <c r="B240" s="69"/>
      <c r="C240" s="69"/>
      <c r="D240" s="69"/>
      <c r="E240" s="68"/>
      <c r="F240" s="68"/>
      <c r="G240" s="69"/>
      <c r="H240" s="67" t="str">
        <f t="shared" ca="1" si="6"/>
        <v/>
      </c>
      <c r="I240" s="74" t="str">
        <f t="shared" si="7"/>
        <v/>
      </c>
      <c r="J240" s="69"/>
    </row>
    <row r="241" spans="1:10" x14ac:dyDescent="0.3">
      <c r="A241" s="69"/>
      <c r="B241" s="69"/>
      <c r="C241" s="69"/>
      <c r="D241" s="69"/>
      <c r="E241" s="68"/>
      <c r="F241" s="68"/>
      <c r="G241" s="69"/>
      <c r="H241" s="67" t="str">
        <f t="shared" ca="1" si="6"/>
        <v/>
      </c>
      <c r="I241" s="74" t="str">
        <f t="shared" si="7"/>
        <v/>
      </c>
      <c r="J241" s="69"/>
    </row>
    <row r="242" spans="1:10" x14ac:dyDescent="0.3">
      <c r="A242" s="69"/>
      <c r="B242" s="69"/>
      <c r="C242" s="69"/>
      <c r="D242" s="69"/>
      <c r="E242" s="68"/>
      <c r="F242" s="68"/>
      <c r="G242" s="69"/>
      <c r="H242" s="67" t="str">
        <f t="shared" ca="1" si="6"/>
        <v/>
      </c>
      <c r="I242" s="74" t="str">
        <f t="shared" si="7"/>
        <v/>
      </c>
      <c r="J242" s="69"/>
    </row>
    <row r="243" spans="1:10" x14ac:dyDescent="0.3">
      <c r="A243" s="69"/>
      <c r="B243" s="69"/>
      <c r="C243" s="69"/>
      <c r="D243" s="69"/>
      <c r="E243" s="68"/>
      <c r="F243" s="68"/>
      <c r="G243" s="69"/>
      <c r="H243" s="67" t="str">
        <f t="shared" ca="1" si="6"/>
        <v/>
      </c>
      <c r="I243" s="74" t="str">
        <f t="shared" si="7"/>
        <v/>
      </c>
      <c r="J243" s="69"/>
    </row>
    <row r="244" spans="1:10" x14ac:dyDescent="0.3">
      <c r="A244" s="69"/>
      <c r="B244" s="69"/>
      <c r="C244" s="69"/>
      <c r="D244" s="69"/>
      <c r="E244" s="68"/>
      <c r="F244" s="68"/>
      <c r="G244" s="69"/>
      <c r="H244" s="67" t="str">
        <f t="shared" ca="1" si="6"/>
        <v/>
      </c>
      <c r="I244" s="74" t="str">
        <f t="shared" si="7"/>
        <v/>
      </c>
      <c r="J244" s="69"/>
    </row>
    <row r="245" spans="1:10" x14ac:dyDescent="0.3">
      <c r="A245" s="69"/>
      <c r="B245" s="69"/>
      <c r="C245" s="69"/>
      <c r="D245" s="69"/>
      <c r="E245" s="68"/>
      <c r="F245" s="68"/>
      <c r="G245" s="69"/>
      <c r="H245" s="67" t="str">
        <f t="shared" ca="1" si="6"/>
        <v/>
      </c>
      <c r="I245" s="74" t="str">
        <f t="shared" si="7"/>
        <v/>
      </c>
      <c r="J245" s="69"/>
    </row>
    <row r="246" spans="1:10" x14ac:dyDescent="0.3">
      <c r="A246" s="69"/>
      <c r="B246" s="69"/>
      <c r="C246" s="69"/>
      <c r="D246" s="69"/>
      <c r="E246" s="68"/>
      <c r="F246" s="68"/>
      <c r="G246" s="69"/>
      <c r="H246" s="67" t="str">
        <f t="shared" ca="1" si="6"/>
        <v/>
      </c>
      <c r="I246" s="74" t="str">
        <f t="shared" si="7"/>
        <v/>
      </c>
      <c r="J246" s="69"/>
    </row>
    <row r="247" spans="1:10" x14ac:dyDescent="0.3">
      <c r="A247" s="69"/>
      <c r="B247" s="69"/>
      <c r="C247" s="69"/>
      <c r="D247" s="69"/>
      <c r="E247" s="68"/>
      <c r="F247" s="68"/>
      <c r="G247" s="69"/>
      <c r="H247" s="67" t="str">
        <f t="shared" ca="1" si="6"/>
        <v/>
      </c>
      <c r="I247" s="74" t="str">
        <f t="shared" si="7"/>
        <v/>
      </c>
      <c r="J247" s="69"/>
    </row>
    <row r="248" spans="1:10" x14ac:dyDescent="0.3">
      <c r="A248" s="69"/>
      <c r="B248" s="69"/>
      <c r="C248" s="69"/>
      <c r="D248" s="69"/>
      <c r="E248" s="68"/>
      <c r="F248" s="68"/>
      <c r="G248" s="69"/>
      <c r="H248" s="67" t="str">
        <f t="shared" ca="1" si="6"/>
        <v/>
      </c>
      <c r="I248" s="74" t="str">
        <f t="shared" si="7"/>
        <v/>
      </c>
      <c r="J248" s="69"/>
    </row>
    <row r="249" spans="1:10" x14ac:dyDescent="0.3">
      <c r="A249" s="69"/>
      <c r="B249" s="69"/>
      <c r="C249" s="69"/>
      <c r="D249" s="69"/>
      <c r="E249" s="68"/>
      <c r="F249" s="68"/>
      <c r="G249" s="69"/>
      <c r="H249" s="67" t="str">
        <f t="shared" ca="1" si="6"/>
        <v/>
      </c>
      <c r="I249" s="74" t="str">
        <f t="shared" si="7"/>
        <v/>
      </c>
      <c r="J249" s="69"/>
    </row>
    <row r="250" spans="1:10" x14ac:dyDescent="0.3">
      <c r="A250" s="69"/>
      <c r="B250" s="69"/>
      <c r="C250" s="69"/>
      <c r="D250" s="69"/>
      <c r="E250" s="68"/>
      <c r="F250" s="68"/>
      <c r="G250" s="69"/>
      <c r="H250" s="67" t="str">
        <f t="shared" ca="1" si="6"/>
        <v/>
      </c>
      <c r="I250" s="74" t="str">
        <f t="shared" si="7"/>
        <v/>
      </c>
      <c r="J250" s="69"/>
    </row>
    <row r="251" spans="1:10" x14ac:dyDescent="0.3">
      <c r="A251" s="69"/>
      <c r="B251" s="69"/>
      <c r="C251" s="69"/>
      <c r="D251" s="69"/>
      <c r="E251" s="68"/>
      <c r="F251" s="68"/>
      <c r="G251" s="69"/>
      <c r="H251" s="67" t="str">
        <f t="shared" ca="1" si="6"/>
        <v/>
      </c>
      <c r="I251" s="74" t="str">
        <f t="shared" si="7"/>
        <v/>
      </c>
      <c r="J251" s="69"/>
    </row>
    <row r="252" spans="1:10" x14ac:dyDescent="0.3">
      <c r="A252" s="69"/>
      <c r="B252" s="69"/>
      <c r="C252" s="69"/>
      <c r="D252" s="69"/>
      <c r="E252" s="68"/>
      <c r="F252" s="68"/>
      <c r="G252" s="69"/>
      <c r="H252" s="67" t="str">
        <f t="shared" ca="1" si="6"/>
        <v/>
      </c>
      <c r="I252" s="74" t="str">
        <f t="shared" si="7"/>
        <v/>
      </c>
      <c r="J252" s="69"/>
    </row>
    <row r="253" spans="1:10" x14ac:dyDescent="0.3">
      <c r="A253" s="69"/>
      <c r="B253" s="69"/>
      <c r="C253" s="69"/>
      <c r="D253" s="69"/>
      <c r="E253" s="68"/>
      <c r="F253" s="68"/>
      <c r="G253" s="69"/>
      <c r="H253" s="67" t="str">
        <f t="shared" ca="1" si="6"/>
        <v/>
      </c>
      <c r="I253" s="74" t="str">
        <f t="shared" si="7"/>
        <v/>
      </c>
      <c r="J253" s="69"/>
    </row>
    <row r="254" spans="1:10" x14ac:dyDescent="0.3">
      <c r="A254" s="69"/>
      <c r="B254" s="69"/>
      <c r="C254" s="69"/>
      <c r="D254" s="69"/>
      <c r="E254" s="68"/>
      <c r="F254" s="68"/>
      <c r="G254" s="69"/>
      <c r="H254" s="67" t="str">
        <f t="shared" ca="1" si="6"/>
        <v/>
      </c>
      <c r="I254" s="74" t="str">
        <f t="shared" si="7"/>
        <v/>
      </c>
      <c r="J254" s="69"/>
    </row>
    <row r="255" spans="1:10" x14ac:dyDescent="0.3">
      <c r="A255" s="69"/>
      <c r="B255" s="69"/>
      <c r="C255" s="69"/>
      <c r="D255" s="69"/>
      <c r="E255" s="68"/>
      <c r="F255" s="68"/>
      <c r="G255" s="69"/>
      <c r="H255" s="67" t="str">
        <f t="shared" ca="1" si="6"/>
        <v/>
      </c>
      <c r="I255" s="74" t="str">
        <f t="shared" si="7"/>
        <v/>
      </c>
      <c r="J255" s="69"/>
    </row>
    <row r="256" spans="1:10" x14ac:dyDescent="0.3">
      <c r="A256" s="69"/>
      <c r="B256" s="69"/>
      <c r="C256" s="69"/>
      <c r="D256" s="69"/>
      <c r="E256" s="68"/>
      <c r="F256" s="68"/>
      <c r="G256" s="69"/>
      <c r="H256" s="67" t="str">
        <f t="shared" ca="1" si="6"/>
        <v/>
      </c>
      <c r="I256" s="74" t="str">
        <f t="shared" si="7"/>
        <v/>
      </c>
      <c r="J256" s="69"/>
    </row>
    <row r="257" spans="1:10" x14ac:dyDescent="0.3">
      <c r="A257" s="69"/>
      <c r="B257" s="69"/>
      <c r="C257" s="69"/>
      <c r="D257" s="69"/>
      <c r="E257" s="68"/>
      <c r="F257" s="68"/>
      <c r="G257" s="69"/>
      <c r="H257" s="67" t="str">
        <f t="shared" ca="1" si="6"/>
        <v/>
      </c>
      <c r="I257" s="74" t="str">
        <f t="shared" si="7"/>
        <v/>
      </c>
      <c r="J257" s="69"/>
    </row>
    <row r="258" spans="1:10" x14ac:dyDescent="0.3">
      <c r="A258" s="69"/>
      <c r="B258" s="69"/>
      <c r="C258" s="69"/>
      <c r="D258" s="69"/>
      <c r="E258" s="68"/>
      <c r="F258" s="68"/>
      <c r="G258" s="69"/>
      <c r="H258" s="67" t="str">
        <f t="shared" ca="1" si="6"/>
        <v/>
      </c>
      <c r="I258" s="74" t="str">
        <f t="shared" si="7"/>
        <v/>
      </c>
      <c r="J258" s="69"/>
    </row>
    <row r="259" spans="1:10" x14ac:dyDescent="0.3">
      <c r="A259" s="69"/>
      <c r="B259" s="69"/>
      <c r="C259" s="69"/>
      <c r="D259" s="69"/>
      <c r="E259" s="68"/>
      <c r="F259" s="68"/>
      <c r="G259" s="69"/>
      <c r="H259" s="67" t="str">
        <f t="shared" ca="1" si="6"/>
        <v/>
      </c>
      <c r="I259" s="74" t="str">
        <f t="shared" si="7"/>
        <v/>
      </c>
      <c r="J259" s="69"/>
    </row>
    <row r="260" spans="1:10" x14ac:dyDescent="0.3">
      <c r="A260" s="69"/>
      <c r="B260" s="69"/>
      <c r="C260" s="69"/>
      <c r="D260" s="69"/>
      <c r="E260" s="68"/>
      <c r="F260" s="68"/>
      <c r="G260" s="69"/>
      <c r="H260" s="67" t="str">
        <f t="shared" ca="1" si="6"/>
        <v/>
      </c>
      <c r="I260" s="74" t="str">
        <f t="shared" si="7"/>
        <v/>
      </c>
      <c r="J260" s="69"/>
    </row>
    <row r="261" spans="1:10" x14ac:dyDescent="0.3">
      <c r="A261" s="69"/>
      <c r="B261" s="69"/>
      <c r="C261" s="69"/>
      <c r="D261" s="69"/>
      <c r="E261" s="68"/>
      <c r="F261" s="68"/>
      <c r="G261" s="69"/>
      <c r="H261" s="67" t="str">
        <f t="shared" ref="H261:H324" ca="1" si="8">IF(E261="","",IF(G261&lt;&gt;"Completed",IF(E261&lt;TODAY(),"Overdue",""),IF(F261&lt;=E261,"Yes","No")))</f>
        <v/>
      </c>
      <c r="I261" s="74" t="str">
        <f t="shared" ref="I261:I324" si="9">IF(OR(E261="",F261=""),"",F261-E261)</f>
        <v/>
      </c>
      <c r="J261" s="69"/>
    </row>
    <row r="262" spans="1:10" x14ac:dyDescent="0.3">
      <c r="A262" s="69"/>
      <c r="B262" s="69"/>
      <c r="C262" s="69"/>
      <c r="D262" s="69"/>
      <c r="E262" s="68"/>
      <c r="F262" s="68"/>
      <c r="G262" s="69"/>
      <c r="H262" s="67" t="str">
        <f t="shared" ca="1" si="8"/>
        <v/>
      </c>
      <c r="I262" s="74" t="str">
        <f t="shared" si="9"/>
        <v/>
      </c>
      <c r="J262" s="69"/>
    </row>
    <row r="263" spans="1:10" x14ac:dyDescent="0.3">
      <c r="A263" s="69"/>
      <c r="B263" s="69"/>
      <c r="C263" s="69"/>
      <c r="D263" s="69"/>
      <c r="E263" s="68"/>
      <c r="F263" s="68"/>
      <c r="G263" s="69"/>
      <c r="H263" s="67" t="str">
        <f t="shared" ca="1" si="8"/>
        <v/>
      </c>
      <c r="I263" s="74" t="str">
        <f t="shared" si="9"/>
        <v/>
      </c>
      <c r="J263" s="69"/>
    </row>
    <row r="264" spans="1:10" x14ac:dyDescent="0.3">
      <c r="A264" s="69"/>
      <c r="B264" s="69"/>
      <c r="C264" s="69"/>
      <c r="D264" s="69"/>
      <c r="E264" s="68"/>
      <c r="F264" s="68"/>
      <c r="G264" s="69"/>
      <c r="H264" s="67" t="str">
        <f t="shared" ca="1" si="8"/>
        <v/>
      </c>
      <c r="I264" s="74" t="str">
        <f t="shared" si="9"/>
        <v/>
      </c>
      <c r="J264" s="69"/>
    </row>
    <row r="265" spans="1:10" x14ac:dyDescent="0.3">
      <c r="A265" s="69"/>
      <c r="B265" s="69"/>
      <c r="C265" s="69"/>
      <c r="D265" s="69"/>
      <c r="E265" s="68"/>
      <c r="F265" s="68"/>
      <c r="G265" s="69"/>
      <c r="H265" s="67" t="str">
        <f t="shared" ca="1" si="8"/>
        <v/>
      </c>
      <c r="I265" s="74" t="str">
        <f t="shared" si="9"/>
        <v/>
      </c>
      <c r="J265" s="69"/>
    </row>
    <row r="266" spans="1:10" x14ac:dyDescent="0.3">
      <c r="A266" s="69"/>
      <c r="B266" s="69"/>
      <c r="C266" s="69"/>
      <c r="D266" s="69"/>
      <c r="E266" s="68"/>
      <c r="F266" s="68"/>
      <c r="G266" s="69"/>
      <c r="H266" s="67" t="str">
        <f t="shared" ca="1" si="8"/>
        <v/>
      </c>
      <c r="I266" s="74" t="str">
        <f t="shared" si="9"/>
        <v/>
      </c>
      <c r="J266" s="69"/>
    </row>
    <row r="267" spans="1:10" x14ac:dyDescent="0.3">
      <c r="A267" s="69"/>
      <c r="B267" s="69"/>
      <c r="C267" s="69"/>
      <c r="D267" s="69"/>
      <c r="E267" s="68"/>
      <c r="F267" s="68"/>
      <c r="G267" s="69"/>
      <c r="H267" s="67" t="str">
        <f t="shared" ca="1" si="8"/>
        <v/>
      </c>
      <c r="I267" s="74" t="str">
        <f t="shared" si="9"/>
        <v/>
      </c>
      <c r="J267" s="69"/>
    </row>
    <row r="268" spans="1:10" x14ac:dyDescent="0.3">
      <c r="A268" s="69"/>
      <c r="B268" s="69"/>
      <c r="C268" s="69"/>
      <c r="D268" s="69"/>
      <c r="E268" s="68"/>
      <c r="F268" s="68"/>
      <c r="G268" s="69"/>
      <c r="H268" s="67" t="str">
        <f t="shared" ca="1" si="8"/>
        <v/>
      </c>
      <c r="I268" s="74" t="str">
        <f t="shared" si="9"/>
        <v/>
      </c>
      <c r="J268" s="69"/>
    </row>
    <row r="269" spans="1:10" x14ac:dyDescent="0.3">
      <c r="A269" s="69"/>
      <c r="B269" s="69"/>
      <c r="C269" s="69"/>
      <c r="D269" s="69"/>
      <c r="E269" s="68"/>
      <c r="F269" s="68"/>
      <c r="G269" s="69"/>
      <c r="H269" s="67" t="str">
        <f t="shared" ca="1" si="8"/>
        <v/>
      </c>
      <c r="I269" s="74" t="str">
        <f t="shared" si="9"/>
        <v/>
      </c>
      <c r="J269" s="69"/>
    </row>
    <row r="270" spans="1:10" x14ac:dyDescent="0.3">
      <c r="A270" s="69"/>
      <c r="B270" s="69"/>
      <c r="C270" s="69"/>
      <c r="D270" s="69"/>
      <c r="E270" s="68"/>
      <c r="F270" s="68"/>
      <c r="G270" s="69"/>
      <c r="H270" s="67" t="str">
        <f t="shared" ca="1" si="8"/>
        <v/>
      </c>
      <c r="I270" s="74" t="str">
        <f t="shared" si="9"/>
        <v/>
      </c>
      <c r="J270" s="69"/>
    </row>
    <row r="271" spans="1:10" x14ac:dyDescent="0.3">
      <c r="A271" s="69"/>
      <c r="B271" s="69"/>
      <c r="C271" s="69"/>
      <c r="D271" s="69"/>
      <c r="E271" s="68"/>
      <c r="F271" s="68"/>
      <c r="G271" s="69"/>
      <c r="H271" s="67" t="str">
        <f t="shared" ca="1" si="8"/>
        <v/>
      </c>
      <c r="I271" s="74" t="str">
        <f t="shared" si="9"/>
        <v/>
      </c>
      <c r="J271" s="69"/>
    </row>
    <row r="272" spans="1:10" x14ac:dyDescent="0.3">
      <c r="A272" s="69"/>
      <c r="B272" s="69"/>
      <c r="C272" s="69"/>
      <c r="D272" s="69"/>
      <c r="E272" s="68"/>
      <c r="F272" s="68"/>
      <c r="G272" s="69"/>
      <c r="H272" s="67" t="str">
        <f t="shared" ca="1" si="8"/>
        <v/>
      </c>
      <c r="I272" s="74" t="str">
        <f t="shared" si="9"/>
        <v/>
      </c>
      <c r="J272" s="69"/>
    </row>
    <row r="273" spans="1:10" x14ac:dyDescent="0.3">
      <c r="A273" s="69"/>
      <c r="B273" s="69"/>
      <c r="C273" s="69"/>
      <c r="D273" s="69"/>
      <c r="E273" s="68"/>
      <c r="F273" s="68"/>
      <c r="G273" s="69"/>
      <c r="H273" s="67" t="str">
        <f t="shared" ca="1" si="8"/>
        <v/>
      </c>
      <c r="I273" s="74" t="str">
        <f t="shared" si="9"/>
        <v/>
      </c>
      <c r="J273" s="69"/>
    </row>
    <row r="274" spans="1:10" x14ac:dyDescent="0.3">
      <c r="A274" s="69"/>
      <c r="B274" s="69"/>
      <c r="C274" s="69"/>
      <c r="D274" s="69"/>
      <c r="E274" s="68"/>
      <c r="F274" s="68"/>
      <c r="G274" s="69"/>
      <c r="H274" s="67" t="str">
        <f t="shared" ca="1" si="8"/>
        <v/>
      </c>
      <c r="I274" s="74" t="str">
        <f t="shared" si="9"/>
        <v/>
      </c>
      <c r="J274" s="69"/>
    </row>
    <row r="275" spans="1:10" x14ac:dyDescent="0.3">
      <c r="A275" s="69"/>
      <c r="B275" s="69"/>
      <c r="C275" s="69"/>
      <c r="D275" s="69"/>
      <c r="E275" s="68"/>
      <c r="F275" s="68"/>
      <c r="G275" s="69"/>
      <c r="H275" s="67" t="str">
        <f t="shared" ca="1" si="8"/>
        <v/>
      </c>
      <c r="I275" s="74" t="str">
        <f t="shared" si="9"/>
        <v/>
      </c>
      <c r="J275" s="69"/>
    </row>
    <row r="276" spans="1:10" x14ac:dyDescent="0.3">
      <c r="A276" s="69"/>
      <c r="B276" s="69"/>
      <c r="C276" s="69"/>
      <c r="D276" s="69"/>
      <c r="E276" s="68"/>
      <c r="F276" s="68"/>
      <c r="G276" s="69"/>
      <c r="H276" s="67" t="str">
        <f t="shared" ca="1" si="8"/>
        <v/>
      </c>
      <c r="I276" s="74" t="str">
        <f t="shared" si="9"/>
        <v/>
      </c>
      <c r="J276" s="69"/>
    </row>
    <row r="277" spans="1:10" x14ac:dyDescent="0.3">
      <c r="A277" s="69"/>
      <c r="B277" s="69"/>
      <c r="C277" s="69"/>
      <c r="D277" s="69"/>
      <c r="E277" s="68"/>
      <c r="F277" s="68"/>
      <c r="G277" s="69"/>
      <c r="H277" s="67" t="str">
        <f t="shared" ca="1" si="8"/>
        <v/>
      </c>
      <c r="I277" s="74" t="str">
        <f t="shared" si="9"/>
        <v/>
      </c>
      <c r="J277" s="69"/>
    </row>
    <row r="278" spans="1:10" x14ac:dyDescent="0.3">
      <c r="A278" s="69"/>
      <c r="B278" s="69"/>
      <c r="C278" s="69"/>
      <c r="D278" s="69"/>
      <c r="E278" s="68"/>
      <c r="F278" s="68"/>
      <c r="G278" s="69"/>
      <c r="H278" s="67" t="str">
        <f t="shared" ca="1" si="8"/>
        <v/>
      </c>
      <c r="I278" s="74" t="str">
        <f t="shared" si="9"/>
        <v/>
      </c>
      <c r="J278" s="69"/>
    </row>
    <row r="279" spans="1:10" x14ac:dyDescent="0.3">
      <c r="A279" s="69"/>
      <c r="B279" s="69"/>
      <c r="C279" s="69"/>
      <c r="D279" s="69"/>
      <c r="E279" s="68"/>
      <c r="F279" s="68"/>
      <c r="G279" s="69"/>
      <c r="H279" s="67" t="str">
        <f t="shared" ca="1" si="8"/>
        <v/>
      </c>
      <c r="I279" s="74" t="str">
        <f t="shared" si="9"/>
        <v/>
      </c>
      <c r="J279" s="69"/>
    </row>
    <row r="280" spans="1:10" x14ac:dyDescent="0.3">
      <c r="A280" s="69"/>
      <c r="B280" s="69"/>
      <c r="C280" s="69"/>
      <c r="D280" s="69"/>
      <c r="E280" s="68"/>
      <c r="F280" s="68"/>
      <c r="G280" s="69"/>
      <c r="H280" s="67" t="str">
        <f t="shared" ca="1" si="8"/>
        <v/>
      </c>
      <c r="I280" s="74" t="str">
        <f t="shared" si="9"/>
        <v/>
      </c>
      <c r="J280" s="69"/>
    </row>
    <row r="281" spans="1:10" x14ac:dyDescent="0.3">
      <c r="A281" s="69"/>
      <c r="B281" s="69"/>
      <c r="C281" s="69"/>
      <c r="D281" s="69"/>
      <c r="E281" s="68"/>
      <c r="F281" s="68"/>
      <c r="G281" s="69"/>
      <c r="H281" s="67" t="str">
        <f t="shared" ca="1" si="8"/>
        <v/>
      </c>
      <c r="I281" s="74" t="str">
        <f t="shared" si="9"/>
        <v/>
      </c>
      <c r="J281" s="69"/>
    </row>
    <row r="282" spans="1:10" x14ac:dyDescent="0.3">
      <c r="A282" s="69"/>
      <c r="B282" s="69"/>
      <c r="C282" s="69"/>
      <c r="D282" s="69"/>
      <c r="E282" s="68"/>
      <c r="F282" s="68"/>
      <c r="G282" s="69"/>
      <c r="H282" s="67" t="str">
        <f t="shared" ca="1" si="8"/>
        <v/>
      </c>
      <c r="I282" s="74" t="str">
        <f t="shared" si="9"/>
        <v/>
      </c>
      <c r="J282" s="69"/>
    </row>
    <row r="283" spans="1:10" x14ac:dyDescent="0.3">
      <c r="A283" s="69"/>
      <c r="B283" s="69"/>
      <c r="C283" s="69"/>
      <c r="D283" s="69"/>
      <c r="E283" s="68"/>
      <c r="F283" s="68"/>
      <c r="G283" s="69"/>
      <c r="H283" s="67" t="str">
        <f t="shared" ca="1" si="8"/>
        <v/>
      </c>
      <c r="I283" s="74" t="str">
        <f t="shared" si="9"/>
        <v/>
      </c>
      <c r="J283" s="69"/>
    </row>
    <row r="284" spans="1:10" x14ac:dyDescent="0.3">
      <c r="A284" s="69"/>
      <c r="B284" s="69"/>
      <c r="C284" s="69"/>
      <c r="D284" s="69"/>
      <c r="E284" s="68"/>
      <c r="F284" s="68"/>
      <c r="G284" s="69"/>
      <c r="H284" s="67" t="str">
        <f t="shared" ca="1" si="8"/>
        <v/>
      </c>
      <c r="I284" s="74" t="str">
        <f t="shared" si="9"/>
        <v/>
      </c>
      <c r="J284" s="69"/>
    </row>
    <row r="285" spans="1:10" x14ac:dyDescent="0.3">
      <c r="A285" s="69"/>
      <c r="B285" s="69"/>
      <c r="C285" s="69"/>
      <c r="D285" s="69"/>
      <c r="E285" s="68"/>
      <c r="F285" s="68"/>
      <c r="G285" s="69"/>
      <c r="H285" s="67" t="str">
        <f t="shared" ca="1" si="8"/>
        <v/>
      </c>
      <c r="I285" s="74" t="str">
        <f t="shared" si="9"/>
        <v/>
      </c>
      <c r="J285" s="69"/>
    </row>
    <row r="286" spans="1:10" x14ac:dyDescent="0.3">
      <c r="A286" s="69"/>
      <c r="B286" s="69"/>
      <c r="C286" s="69"/>
      <c r="D286" s="69"/>
      <c r="E286" s="68"/>
      <c r="F286" s="68"/>
      <c r="G286" s="69"/>
      <c r="H286" s="67" t="str">
        <f t="shared" ca="1" si="8"/>
        <v/>
      </c>
      <c r="I286" s="74" t="str">
        <f t="shared" si="9"/>
        <v/>
      </c>
      <c r="J286" s="69"/>
    </row>
    <row r="287" spans="1:10" x14ac:dyDescent="0.3">
      <c r="A287" s="69"/>
      <c r="B287" s="69"/>
      <c r="C287" s="69"/>
      <c r="D287" s="69"/>
      <c r="E287" s="68"/>
      <c r="F287" s="68"/>
      <c r="G287" s="69"/>
      <c r="H287" s="67" t="str">
        <f t="shared" ca="1" si="8"/>
        <v/>
      </c>
      <c r="I287" s="74" t="str">
        <f t="shared" si="9"/>
        <v/>
      </c>
      <c r="J287" s="69"/>
    </row>
    <row r="288" spans="1:10" x14ac:dyDescent="0.3">
      <c r="A288" s="69"/>
      <c r="B288" s="69"/>
      <c r="C288" s="69"/>
      <c r="D288" s="69"/>
      <c r="E288" s="68"/>
      <c r="F288" s="68"/>
      <c r="G288" s="69"/>
      <c r="H288" s="67" t="str">
        <f t="shared" ca="1" si="8"/>
        <v/>
      </c>
      <c r="I288" s="74" t="str">
        <f t="shared" si="9"/>
        <v/>
      </c>
      <c r="J288" s="69"/>
    </row>
    <row r="289" spans="1:10" x14ac:dyDescent="0.3">
      <c r="A289" s="69"/>
      <c r="B289" s="69"/>
      <c r="C289" s="69"/>
      <c r="D289" s="69"/>
      <c r="E289" s="68"/>
      <c r="F289" s="68"/>
      <c r="G289" s="69"/>
      <c r="H289" s="67" t="str">
        <f t="shared" ca="1" si="8"/>
        <v/>
      </c>
      <c r="I289" s="74" t="str">
        <f t="shared" si="9"/>
        <v/>
      </c>
      <c r="J289" s="69"/>
    </row>
    <row r="290" spans="1:10" x14ac:dyDescent="0.3">
      <c r="A290" s="69"/>
      <c r="B290" s="69"/>
      <c r="C290" s="69"/>
      <c r="D290" s="69"/>
      <c r="E290" s="68"/>
      <c r="F290" s="68"/>
      <c r="G290" s="69"/>
      <c r="H290" s="67" t="str">
        <f t="shared" ca="1" si="8"/>
        <v/>
      </c>
      <c r="I290" s="74" t="str">
        <f t="shared" si="9"/>
        <v/>
      </c>
      <c r="J290" s="69"/>
    </row>
    <row r="291" spans="1:10" x14ac:dyDescent="0.3">
      <c r="A291" s="69"/>
      <c r="B291" s="69"/>
      <c r="C291" s="69"/>
      <c r="D291" s="69"/>
      <c r="E291" s="68"/>
      <c r="F291" s="68"/>
      <c r="G291" s="69"/>
      <c r="H291" s="67" t="str">
        <f t="shared" ca="1" si="8"/>
        <v/>
      </c>
      <c r="I291" s="74" t="str">
        <f t="shared" si="9"/>
        <v/>
      </c>
      <c r="J291" s="69"/>
    </row>
    <row r="292" spans="1:10" x14ac:dyDescent="0.3">
      <c r="A292" s="69"/>
      <c r="B292" s="69"/>
      <c r="C292" s="69"/>
      <c r="D292" s="69"/>
      <c r="E292" s="68"/>
      <c r="F292" s="68"/>
      <c r="G292" s="69"/>
      <c r="H292" s="67" t="str">
        <f t="shared" ca="1" si="8"/>
        <v/>
      </c>
      <c r="I292" s="74" t="str">
        <f t="shared" si="9"/>
        <v/>
      </c>
      <c r="J292" s="69"/>
    </row>
    <row r="293" spans="1:10" x14ac:dyDescent="0.3">
      <c r="A293" s="69"/>
      <c r="B293" s="69"/>
      <c r="C293" s="69"/>
      <c r="D293" s="69"/>
      <c r="E293" s="68"/>
      <c r="F293" s="68"/>
      <c r="G293" s="69"/>
      <c r="H293" s="67" t="str">
        <f t="shared" ca="1" si="8"/>
        <v/>
      </c>
      <c r="I293" s="74" t="str">
        <f t="shared" si="9"/>
        <v/>
      </c>
      <c r="J293" s="69"/>
    </row>
    <row r="294" spans="1:10" x14ac:dyDescent="0.3">
      <c r="A294" s="69"/>
      <c r="B294" s="69"/>
      <c r="C294" s="69"/>
      <c r="D294" s="69"/>
      <c r="E294" s="68"/>
      <c r="F294" s="68"/>
      <c r="G294" s="69"/>
      <c r="H294" s="67" t="str">
        <f t="shared" ca="1" si="8"/>
        <v/>
      </c>
      <c r="I294" s="74" t="str">
        <f t="shared" si="9"/>
        <v/>
      </c>
      <c r="J294" s="69"/>
    </row>
    <row r="295" spans="1:10" x14ac:dyDescent="0.3">
      <c r="A295" s="69"/>
      <c r="B295" s="69"/>
      <c r="C295" s="69"/>
      <c r="D295" s="69"/>
      <c r="E295" s="68"/>
      <c r="F295" s="68"/>
      <c r="G295" s="69"/>
      <c r="H295" s="67" t="str">
        <f t="shared" ca="1" si="8"/>
        <v/>
      </c>
      <c r="I295" s="74" t="str">
        <f t="shared" si="9"/>
        <v/>
      </c>
      <c r="J295" s="69"/>
    </row>
    <row r="296" spans="1:10" x14ac:dyDescent="0.3">
      <c r="A296" s="69"/>
      <c r="B296" s="69"/>
      <c r="C296" s="69"/>
      <c r="D296" s="69"/>
      <c r="E296" s="68"/>
      <c r="F296" s="68"/>
      <c r="G296" s="69"/>
      <c r="H296" s="67" t="str">
        <f t="shared" ca="1" si="8"/>
        <v/>
      </c>
      <c r="I296" s="74" t="str">
        <f t="shared" si="9"/>
        <v/>
      </c>
      <c r="J296" s="69"/>
    </row>
    <row r="297" spans="1:10" x14ac:dyDescent="0.3">
      <c r="A297" s="69"/>
      <c r="B297" s="69"/>
      <c r="C297" s="69"/>
      <c r="D297" s="69"/>
      <c r="E297" s="68"/>
      <c r="F297" s="68"/>
      <c r="G297" s="69"/>
      <c r="H297" s="67" t="str">
        <f t="shared" ca="1" si="8"/>
        <v/>
      </c>
      <c r="I297" s="74" t="str">
        <f t="shared" si="9"/>
        <v/>
      </c>
      <c r="J297" s="69"/>
    </row>
    <row r="298" spans="1:10" x14ac:dyDescent="0.3">
      <c r="A298" s="69"/>
      <c r="B298" s="69"/>
      <c r="C298" s="69"/>
      <c r="D298" s="69"/>
      <c r="E298" s="68"/>
      <c r="F298" s="68"/>
      <c r="G298" s="69"/>
      <c r="H298" s="67" t="str">
        <f t="shared" ca="1" si="8"/>
        <v/>
      </c>
      <c r="I298" s="74" t="str">
        <f t="shared" si="9"/>
        <v/>
      </c>
      <c r="J298" s="69"/>
    </row>
    <row r="299" spans="1:10" x14ac:dyDescent="0.3">
      <c r="A299" s="69"/>
      <c r="B299" s="69"/>
      <c r="C299" s="69"/>
      <c r="D299" s="69"/>
      <c r="E299" s="68"/>
      <c r="F299" s="68"/>
      <c r="G299" s="69"/>
      <c r="H299" s="67" t="str">
        <f t="shared" ca="1" si="8"/>
        <v/>
      </c>
      <c r="I299" s="74" t="str">
        <f t="shared" si="9"/>
        <v/>
      </c>
      <c r="J299" s="69"/>
    </row>
    <row r="300" spans="1:10" x14ac:dyDescent="0.3">
      <c r="A300" s="69"/>
      <c r="B300" s="69"/>
      <c r="C300" s="69"/>
      <c r="D300" s="69"/>
      <c r="E300" s="68"/>
      <c r="F300" s="68"/>
      <c r="G300" s="69"/>
      <c r="H300" s="67" t="str">
        <f t="shared" ca="1" si="8"/>
        <v/>
      </c>
      <c r="I300" s="74" t="str">
        <f t="shared" si="9"/>
        <v/>
      </c>
      <c r="J300" s="69"/>
    </row>
    <row r="301" spans="1:10" x14ac:dyDescent="0.3">
      <c r="A301" s="69"/>
      <c r="B301" s="69"/>
      <c r="C301" s="69"/>
      <c r="D301" s="69"/>
      <c r="E301" s="68"/>
      <c r="F301" s="68"/>
      <c r="G301" s="69"/>
      <c r="H301" s="67" t="str">
        <f t="shared" ca="1" si="8"/>
        <v/>
      </c>
      <c r="I301" s="74" t="str">
        <f t="shared" si="9"/>
        <v/>
      </c>
      <c r="J301" s="69"/>
    </row>
    <row r="302" spans="1:10" x14ac:dyDescent="0.3">
      <c r="A302" s="69"/>
      <c r="B302" s="69"/>
      <c r="C302" s="69"/>
      <c r="D302" s="69"/>
      <c r="E302" s="68"/>
      <c r="F302" s="68"/>
      <c r="G302" s="69"/>
      <c r="H302" s="67" t="str">
        <f t="shared" ca="1" si="8"/>
        <v/>
      </c>
      <c r="I302" s="74" t="str">
        <f t="shared" si="9"/>
        <v/>
      </c>
      <c r="J302" s="69"/>
    </row>
    <row r="303" spans="1:10" x14ac:dyDescent="0.3">
      <c r="A303" s="69"/>
      <c r="B303" s="69"/>
      <c r="C303" s="69"/>
      <c r="D303" s="69"/>
      <c r="E303" s="68"/>
      <c r="F303" s="68"/>
      <c r="G303" s="69"/>
      <c r="H303" s="67" t="str">
        <f t="shared" ca="1" si="8"/>
        <v/>
      </c>
      <c r="I303" s="74" t="str">
        <f t="shared" si="9"/>
        <v/>
      </c>
      <c r="J303" s="69"/>
    </row>
    <row r="304" spans="1:10" x14ac:dyDescent="0.3">
      <c r="A304" s="69"/>
      <c r="B304" s="69"/>
      <c r="C304" s="69"/>
      <c r="D304" s="69"/>
      <c r="E304" s="68"/>
      <c r="F304" s="68"/>
      <c r="G304" s="69"/>
      <c r="H304" s="67" t="str">
        <f t="shared" ca="1" si="8"/>
        <v/>
      </c>
      <c r="I304" s="74" t="str">
        <f t="shared" si="9"/>
        <v/>
      </c>
      <c r="J304" s="69"/>
    </row>
    <row r="305" spans="1:10" x14ac:dyDescent="0.3">
      <c r="A305" s="69"/>
      <c r="B305" s="69"/>
      <c r="C305" s="69"/>
      <c r="D305" s="69"/>
      <c r="E305" s="68"/>
      <c r="F305" s="68"/>
      <c r="G305" s="69"/>
      <c r="H305" s="67" t="str">
        <f t="shared" ca="1" si="8"/>
        <v/>
      </c>
      <c r="I305" s="74" t="str">
        <f t="shared" si="9"/>
        <v/>
      </c>
      <c r="J305" s="69"/>
    </row>
    <row r="306" spans="1:10" x14ac:dyDescent="0.3">
      <c r="A306" s="69"/>
      <c r="B306" s="69"/>
      <c r="C306" s="69"/>
      <c r="D306" s="69"/>
      <c r="E306" s="68"/>
      <c r="F306" s="68"/>
      <c r="G306" s="69"/>
      <c r="H306" s="67" t="str">
        <f t="shared" ca="1" si="8"/>
        <v/>
      </c>
      <c r="I306" s="74" t="str">
        <f t="shared" si="9"/>
        <v/>
      </c>
      <c r="J306" s="69"/>
    </row>
    <row r="307" spans="1:10" x14ac:dyDescent="0.3">
      <c r="A307" s="69"/>
      <c r="B307" s="69"/>
      <c r="C307" s="69"/>
      <c r="D307" s="69"/>
      <c r="E307" s="68"/>
      <c r="F307" s="68"/>
      <c r="G307" s="69"/>
      <c r="H307" s="67" t="str">
        <f t="shared" ca="1" si="8"/>
        <v/>
      </c>
      <c r="I307" s="74" t="str">
        <f t="shared" si="9"/>
        <v/>
      </c>
      <c r="J307" s="69"/>
    </row>
    <row r="308" spans="1:10" x14ac:dyDescent="0.3">
      <c r="A308" s="69"/>
      <c r="B308" s="69"/>
      <c r="C308" s="69"/>
      <c r="D308" s="69"/>
      <c r="E308" s="68"/>
      <c r="F308" s="68"/>
      <c r="G308" s="69"/>
      <c r="H308" s="67" t="str">
        <f t="shared" ca="1" si="8"/>
        <v/>
      </c>
      <c r="I308" s="74" t="str">
        <f t="shared" si="9"/>
        <v/>
      </c>
      <c r="J308" s="69"/>
    </row>
    <row r="309" spans="1:10" x14ac:dyDescent="0.3">
      <c r="A309" s="69"/>
      <c r="B309" s="69"/>
      <c r="C309" s="69"/>
      <c r="D309" s="69"/>
      <c r="E309" s="68"/>
      <c r="F309" s="68"/>
      <c r="G309" s="69"/>
      <c r="H309" s="67" t="str">
        <f t="shared" ca="1" si="8"/>
        <v/>
      </c>
      <c r="I309" s="74" t="str">
        <f t="shared" si="9"/>
        <v/>
      </c>
      <c r="J309" s="69"/>
    </row>
    <row r="310" spans="1:10" x14ac:dyDescent="0.3">
      <c r="A310" s="69"/>
      <c r="B310" s="69"/>
      <c r="C310" s="69"/>
      <c r="D310" s="69"/>
      <c r="E310" s="68"/>
      <c r="F310" s="68"/>
      <c r="G310" s="69"/>
      <c r="H310" s="67" t="str">
        <f t="shared" ca="1" si="8"/>
        <v/>
      </c>
      <c r="I310" s="74" t="str">
        <f t="shared" si="9"/>
        <v/>
      </c>
      <c r="J310" s="69"/>
    </row>
    <row r="311" spans="1:10" x14ac:dyDescent="0.3">
      <c r="A311" s="69"/>
      <c r="B311" s="69"/>
      <c r="C311" s="69"/>
      <c r="D311" s="69"/>
      <c r="E311" s="68"/>
      <c r="F311" s="68"/>
      <c r="G311" s="69"/>
      <c r="H311" s="67" t="str">
        <f t="shared" ca="1" si="8"/>
        <v/>
      </c>
      <c r="I311" s="74" t="str">
        <f t="shared" si="9"/>
        <v/>
      </c>
      <c r="J311" s="69"/>
    </row>
    <row r="312" spans="1:10" x14ac:dyDescent="0.3">
      <c r="A312" s="69"/>
      <c r="B312" s="69"/>
      <c r="C312" s="69"/>
      <c r="D312" s="69"/>
      <c r="E312" s="68"/>
      <c r="F312" s="68"/>
      <c r="G312" s="69"/>
      <c r="H312" s="67" t="str">
        <f t="shared" ca="1" si="8"/>
        <v/>
      </c>
      <c r="I312" s="74" t="str">
        <f t="shared" si="9"/>
        <v/>
      </c>
      <c r="J312" s="69"/>
    </row>
    <row r="313" spans="1:10" x14ac:dyDescent="0.3">
      <c r="A313" s="69"/>
      <c r="B313" s="69"/>
      <c r="C313" s="69"/>
      <c r="D313" s="69"/>
      <c r="E313" s="68"/>
      <c r="F313" s="68"/>
      <c r="G313" s="69"/>
      <c r="H313" s="67" t="str">
        <f t="shared" ca="1" si="8"/>
        <v/>
      </c>
      <c r="I313" s="74" t="str">
        <f t="shared" si="9"/>
        <v/>
      </c>
      <c r="J313" s="69"/>
    </row>
    <row r="314" spans="1:10" x14ac:dyDescent="0.3">
      <c r="A314" s="69"/>
      <c r="B314" s="69"/>
      <c r="C314" s="69"/>
      <c r="D314" s="69"/>
      <c r="E314" s="68"/>
      <c r="F314" s="68"/>
      <c r="G314" s="69"/>
      <c r="H314" s="67" t="str">
        <f t="shared" ca="1" si="8"/>
        <v/>
      </c>
      <c r="I314" s="74" t="str">
        <f t="shared" si="9"/>
        <v/>
      </c>
      <c r="J314" s="69"/>
    </row>
    <row r="315" spans="1:10" x14ac:dyDescent="0.3">
      <c r="A315" s="69"/>
      <c r="B315" s="69"/>
      <c r="C315" s="69"/>
      <c r="D315" s="69"/>
      <c r="E315" s="68"/>
      <c r="F315" s="68"/>
      <c r="G315" s="69"/>
      <c r="H315" s="67" t="str">
        <f t="shared" ca="1" si="8"/>
        <v/>
      </c>
      <c r="I315" s="74" t="str">
        <f t="shared" si="9"/>
        <v/>
      </c>
      <c r="J315" s="69"/>
    </row>
    <row r="316" spans="1:10" x14ac:dyDescent="0.3">
      <c r="A316" s="69"/>
      <c r="B316" s="69"/>
      <c r="C316" s="69"/>
      <c r="D316" s="69"/>
      <c r="E316" s="68"/>
      <c r="F316" s="68"/>
      <c r="G316" s="69"/>
      <c r="H316" s="67" t="str">
        <f t="shared" ca="1" si="8"/>
        <v/>
      </c>
      <c r="I316" s="74" t="str">
        <f t="shared" si="9"/>
        <v/>
      </c>
      <c r="J316" s="69"/>
    </row>
    <row r="317" spans="1:10" x14ac:dyDescent="0.3">
      <c r="A317" s="69"/>
      <c r="B317" s="69"/>
      <c r="C317" s="69"/>
      <c r="D317" s="69"/>
      <c r="E317" s="68"/>
      <c r="F317" s="68"/>
      <c r="G317" s="69"/>
      <c r="H317" s="67" t="str">
        <f t="shared" ca="1" si="8"/>
        <v/>
      </c>
      <c r="I317" s="74" t="str">
        <f t="shared" si="9"/>
        <v/>
      </c>
      <c r="J317" s="69"/>
    </row>
    <row r="318" spans="1:10" x14ac:dyDescent="0.3">
      <c r="A318" s="69"/>
      <c r="B318" s="69"/>
      <c r="C318" s="69"/>
      <c r="D318" s="69"/>
      <c r="E318" s="68"/>
      <c r="F318" s="68"/>
      <c r="G318" s="69"/>
      <c r="H318" s="67" t="str">
        <f t="shared" ca="1" si="8"/>
        <v/>
      </c>
      <c r="I318" s="74" t="str">
        <f t="shared" si="9"/>
        <v/>
      </c>
      <c r="J318" s="69"/>
    </row>
    <row r="319" spans="1:10" x14ac:dyDescent="0.3">
      <c r="A319" s="69"/>
      <c r="B319" s="69"/>
      <c r="C319" s="69"/>
      <c r="D319" s="69"/>
      <c r="E319" s="68"/>
      <c r="F319" s="68"/>
      <c r="G319" s="69"/>
      <c r="H319" s="67" t="str">
        <f t="shared" ca="1" si="8"/>
        <v/>
      </c>
      <c r="I319" s="74" t="str">
        <f t="shared" si="9"/>
        <v/>
      </c>
      <c r="J319" s="69"/>
    </row>
    <row r="320" spans="1:10" x14ac:dyDescent="0.3">
      <c r="A320" s="69"/>
      <c r="B320" s="69"/>
      <c r="C320" s="69"/>
      <c r="D320" s="69"/>
      <c r="E320" s="68"/>
      <c r="F320" s="68"/>
      <c r="G320" s="69"/>
      <c r="H320" s="67" t="str">
        <f t="shared" ca="1" si="8"/>
        <v/>
      </c>
      <c r="I320" s="74" t="str">
        <f t="shared" si="9"/>
        <v/>
      </c>
      <c r="J320" s="69"/>
    </row>
    <row r="321" spans="1:10" x14ac:dyDescent="0.3">
      <c r="A321" s="69"/>
      <c r="B321" s="69"/>
      <c r="C321" s="69"/>
      <c r="D321" s="69"/>
      <c r="E321" s="68"/>
      <c r="F321" s="68"/>
      <c r="G321" s="69"/>
      <c r="H321" s="67" t="str">
        <f t="shared" ca="1" si="8"/>
        <v/>
      </c>
      <c r="I321" s="74" t="str">
        <f t="shared" si="9"/>
        <v/>
      </c>
      <c r="J321" s="69"/>
    </row>
    <row r="322" spans="1:10" x14ac:dyDescent="0.3">
      <c r="A322" s="69"/>
      <c r="B322" s="69"/>
      <c r="C322" s="69"/>
      <c r="D322" s="69"/>
      <c r="E322" s="68"/>
      <c r="F322" s="68"/>
      <c r="G322" s="69"/>
      <c r="H322" s="67" t="str">
        <f t="shared" ca="1" si="8"/>
        <v/>
      </c>
      <c r="I322" s="74" t="str">
        <f t="shared" si="9"/>
        <v/>
      </c>
      <c r="J322" s="69"/>
    </row>
    <row r="323" spans="1:10" x14ac:dyDescent="0.3">
      <c r="A323" s="69"/>
      <c r="B323" s="69"/>
      <c r="C323" s="69"/>
      <c r="D323" s="69"/>
      <c r="E323" s="68"/>
      <c r="F323" s="68"/>
      <c r="G323" s="69"/>
      <c r="H323" s="67" t="str">
        <f t="shared" ca="1" si="8"/>
        <v/>
      </c>
      <c r="I323" s="74" t="str">
        <f t="shared" si="9"/>
        <v/>
      </c>
      <c r="J323" s="69"/>
    </row>
    <row r="324" spans="1:10" x14ac:dyDescent="0.3">
      <c r="A324" s="69"/>
      <c r="B324" s="69"/>
      <c r="C324" s="69"/>
      <c r="D324" s="69"/>
      <c r="E324" s="68"/>
      <c r="F324" s="68"/>
      <c r="G324" s="69"/>
      <c r="H324" s="67" t="str">
        <f t="shared" ca="1" si="8"/>
        <v/>
      </c>
      <c r="I324" s="74" t="str">
        <f t="shared" si="9"/>
        <v/>
      </c>
      <c r="J324" s="69"/>
    </row>
    <row r="325" spans="1:10" x14ac:dyDescent="0.3">
      <c r="A325" s="69"/>
      <c r="B325" s="69"/>
      <c r="C325" s="69"/>
      <c r="D325" s="69"/>
      <c r="E325" s="68"/>
      <c r="F325" s="68"/>
      <c r="G325" s="69"/>
      <c r="H325" s="67" t="str">
        <f t="shared" ref="H325:H388" ca="1" si="10">IF(E325="","",IF(G325&lt;&gt;"Completed",IF(E325&lt;TODAY(),"Overdue",""),IF(F325&lt;=E325,"Yes","No")))</f>
        <v/>
      </c>
      <c r="I325" s="74" t="str">
        <f t="shared" ref="I325:I388" si="11">IF(OR(E325="",F325=""),"",F325-E325)</f>
        <v/>
      </c>
      <c r="J325" s="69"/>
    </row>
    <row r="326" spans="1:10" x14ac:dyDescent="0.3">
      <c r="A326" s="69"/>
      <c r="B326" s="69"/>
      <c r="C326" s="69"/>
      <c r="D326" s="69"/>
      <c r="E326" s="68"/>
      <c r="F326" s="68"/>
      <c r="G326" s="69"/>
      <c r="H326" s="67" t="str">
        <f t="shared" ca="1" si="10"/>
        <v/>
      </c>
      <c r="I326" s="74" t="str">
        <f t="shared" si="11"/>
        <v/>
      </c>
      <c r="J326" s="69"/>
    </row>
    <row r="327" spans="1:10" x14ac:dyDescent="0.3">
      <c r="A327" s="69"/>
      <c r="B327" s="69"/>
      <c r="C327" s="69"/>
      <c r="D327" s="69"/>
      <c r="E327" s="68"/>
      <c r="F327" s="68"/>
      <c r="G327" s="69"/>
      <c r="H327" s="67" t="str">
        <f t="shared" ca="1" si="10"/>
        <v/>
      </c>
      <c r="I327" s="74" t="str">
        <f t="shared" si="11"/>
        <v/>
      </c>
      <c r="J327" s="69"/>
    </row>
    <row r="328" spans="1:10" x14ac:dyDescent="0.3">
      <c r="A328" s="69"/>
      <c r="B328" s="69"/>
      <c r="C328" s="69"/>
      <c r="D328" s="69"/>
      <c r="E328" s="68"/>
      <c r="F328" s="68"/>
      <c r="G328" s="69"/>
      <c r="H328" s="67" t="str">
        <f t="shared" ca="1" si="10"/>
        <v/>
      </c>
      <c r="I328" s="74" t="str">
        <f t="shared" si="11"/>
        <v/>
      </c>
      <c r="J328" s="69"/>
    </row>
    <row r="329" spans="1:10" x14ac:dyDescent="0.3">
      <c r="A329" s="69"/>
      <c r="B329" s="69"/>
      <c r="C329" s="69"/>
      <c r="D329" s="69"/>
      <c r="E329" s="68"/>
      <c r="F329" s="68"/>
      <c r="G329" s="69"/>
      <c r="H329" s="67" t="str">
        <f t="shared" ca="1" si="10"/>
        <v/>
      </c>
      <c r="I329" s="74" t="str">
        <f t="shared" si="11"/>
        <v/>
      </c>
      <c r="J329" s="69"/>
    </row>
    <row r="330" spans="1:10" x14ac:dyDescent="0.3">
      <c r="A330" s="69"/>
      <c r="B330" s="69"/>
      <c r="C330" s="69"/>
      <c r="D330" s="69"/>
      <c r="E330" s="68"/>
      <c r="F330" s="68"/>
      <c r="G330" s="69"/>
      <c r="H330" s="67" t="str">
        <f t="shared" ca="1" si="10"/>
        <v/>
      </c>
      <c r="I330" s="74" t="str">
        <f t="shared" si="11"/>
        <v/>
      </c>
      <c r="J330" s="69"/>
    </row>
    <row r="331" spans="1:10" x14ac:dyDescent="0.3">
      <c r="A331" s="69"/>
      <c r="B331" s="69"/>
      <c r="C331" s="69"/>
      <c r="D331" s="69"/>
      <c r="E331" s="68"/>
      <c r="F331" s="68"/>
      <c r="G331" s="69"/>
      <c r="H331" s="67" t="str">
        <f t="shared" ca="1" si="10"/>
        <v/>
      </c>
      <c r="I331" s="74" t="str">
        <f t="shared" si="11"/>
        <v/>
      </c>
      <c r="J331" s="69"/>
    </row>
    <row r="332" spans="1:10" x14ac:dyDescent="0.3">
      <c r="A332" s="69"/>
      <c r="B332" s="69"/>
      <c r="C332" s="69"/>
      <c r="D332" s="69"/>
      <c r="E332" s="68"/>
      <c r="F332" s="68"/>
      <c r="G332" s="69"/>
      <c r="H332" s="67" t="str">
        <f t="shared" ca="1" si="10"/>
        <v/>
      </c>
      <c r="I332" s="74" t="str">
        <f t="shared" si="11"/>
        <v/>
      </c>
      <c r="J332" s="69"/>
    </row>
    <row r="333" spans="1:10" x14ac:dyDescent="0.3">
      <c r="A333" s="69"/>
      <c r="B333" s="69"/>
      <c r="C333" s="69"/>
      <c r="D333" s="69"/>
      <c r="E333" s="68"/>
      <c r="F333" s="68"/>
      <c r="G333" s="69"/>
      <c r="H333" s="67" t="str">
        <f t="shared" ca="1" si="10"/>
        <v/>
      </c>
      <c r="I333" s="74" t="str">
        <f t="shared" si="11"/>
        <v/>
      </c>
      <c r="J333" s="69"/>
    </row>
    <row r="334" spans="1:10" x14ac:dyDescent="0.3">
      <c r="A334" s="69"/>
      <c r="B334" s="69"/>
      <c r="C334" s="69"/>
      <c r="D334" s="69"/>
      <c r="E334" s="68"/>
      <c r="F334" s="68"/>
      <c r="G334" s="69"/>
      <c r="H334" s="67" t="str">
        <f t="shared" ca="1" si="10"/>
        <v/>
      </c>
      <c r="I334" s="74" t="str">
        <f t="shared" si="11"/>
        <v/>
      </c>
      <c r="J334" s="69"/>
    </row>
    <row r="335" spans="1:10" x14ac:dyDescent="0.3">
      <c r="A335" s="69"/>
      <c r="B335" s="69"/>
      <c r="C335" s="69"/>
      <c r="D335" s="69"/>
      <c r="E335" s="68"/>
      <c r="F335" s="68"/>
      <c r="G335" s="69"/>
      <c r="H335" s="67" t="str">
        <f t="shared" ca="1" si="10"/>
        <v/>
      </c>
      <c r="I335" s="74" t="str">
        <f t="shared" si="11"/>
        <v/>
      </c>
      <c r="J335" s="69"/>
    </row>
    <row r="336" spans="1:10" x14ac:dyDescent="0.3">
      <c r="A336" s="69"/>
      <c r="B336" s="69"/>
      <c r="C336" s="69"/>
      <c r="D336" s="69"/>
      <c r="E336" s="68"/>
      <c r="F336" s="68"/>
      <c r="G336" s="69"/>
      <c r="H336" s="67" t="str">
        <f t="shared" ca="1" si="10"/>
        <v/>
      </c>
      <c r="I336" s="74" t="str">
        <f t="shared" si="11"/>
        <v/>
      </c>
      <c r="J336" s="69"/>
    </row>
    <row r="337" spans="1:10" x14ac:dyDescent="0.3">
      <c r="A337" s="69"/>
      <c r="B337" s="69"/>
      <c r="C337" s="69"/>
      <c r="D337" s="69"/>
      <c r="E337" s="68"/>
      <c r="F337" s="68"/>
      <c r="G337" s="69"/>
      <c r="H337" s="67" t="str">
        <f t="shared" ca="1" si="10"/>
        <v/>
      </c>
      <c r="I337" s="74" t="str">
        <f t="shared" si="11"/>
        <v/>
      </c>
      <c r="J337" s="69"/>
    </row>
    <row r="338" spans="1:10" x14ac:dyDescent="0.3">
      <c r="A338" s="69"/>
      <c r="B338" s="69"/>
      <c r="C338" s="69"/>
      <c r="D338" s="69"/>
      <c r="E338" s="68"/>
      <c r="F338" s="68"/>
      <c r="G338" s="69"/>
      <c r="H338" s="67" t="str">
        <f t="shared" ca="1" si="10"/>
        <v/>
      </c>
      <c r="I338" s="74" t="str">
        <f t="shared" si="11"/>
        <v/>
      </c>
      <c r="J338" s="69"/>
    </row>
    <row r="339" spans="1:10" x14ac:dyDescent="0.3">
      <c r="A339" s="69"/>
      <c r="B339" s="69"/>
      <c r="C339" s="69"/>
      <c r="D339" s="69"/>
      <c r="E339" s="68"/>
      <c r="F339" s="68"/>
      <c r="G339" s="69"/>
      <c r="H339" s="67" t="str">
        <f t="shared" ca="1" si="10"/>
        <v/>
      </c>
      <c r="I339" s="74" t="str">
        <f t="shared" si="11"/>
        <v/>
      </c>
      <c r="J339" s="69"/>
    </row>
    <row r="340" spans="1:10" x14ac:dyDescent="0.3">
      <c r="A340" s="69"/>
      <c r="B340" s="69"/>
      <c r="C340" s="69"/>
      <c r="D340" s="69"/>
      <c r="E340" s="68"/>
      <c r="F340" s="68"/>
      <c r="G340" s="69"/>
      <c r="H340" s="67" t="str">
        <f t="shared" ca="1" si="10"/>
        <v/>
      </c>
      <c r="I340" s="74" t="str">
        <f t="shared" si="11"/>
        <v/>
      </c>
      <c r="J340" s="69"/>
    </row>
    <row r="341" spans="1:10" x14ac:dyDescent="0.3">
      <c r="A341" s="69"/>
      <c r="B341" s="69"/>
      <c r="C341" s="69"/>
      <c r="D341" s="69"/>
      <c r="E341" s="68"/>
      <c r="F341" s="68"/>
      <c r="G341" s="69"/>
      <c r="H341" s="67" t="str">
        <f t="shared" ca="1" si="10"/>
        <v/>
      </c>
      <c r="I341" s="74" t="str">
        <f t="shared" si="11"/>
        <v/>
      </c>
      <c r="J341" s="69"/>
    </row>
    <row r="342" spans="1:10" x14ac:dyDescent="0.3">
      <c r="A342" s="69"/>
      <c r="B342" s="69"/>
      <c r="C342" s="69"/>
      <c r="D342" s="69"/>
      <c r="E342" s="68"/>
      <c r="F342" s="68"/>
      <c r="G342" s="69"/>
      <c r="H342" s="67" t="str">
        <f t="shared" ca="1" si="10"/>
        <v/>
      </c>
      <c r="I342" s="74" t="str">
        <f t="shared" si="11"/>
        <v/>
      </c>
      <c r="J342" s="69"/>
    </row>
    <row r="343" spans="1:10" x14ac:dyDescent="0.3">
      <c r="A343" s="69"/>
      <c r="B343" s="69"/>
      <c r="C343" s="69"/>
      <c r="D343" s="69"/>
      <c r="E343" s="68"/>
      <c r="F343" s="68"/>
      <c r="G343" s="69"/>
      <c r="H343" s="67" t="str">
        <f t="shared" ca="1" si="10"/>
        <v/>
      </c>
      <c r="I343" s="74" t="str">
        <f t="shared" si="11"/>
        <v/>
      </c>
      <c r="J343" s="69"/>
    </row>
    <row r="344" spans="1:10" x14ac:dyDescent="0.3">
      <c r="A344" s="69"/>
      <c r="B344" s="69"/>
      <c r="C344" s="69"/>
      <c r="D344" s="69"/>
      <c r="E344" s="68"/>
      <c r="F344" s="68"/>
      <c r="G344" s="69"/>
      <c r="H344" s="67" t="str">
        <f t="shared" ca="1" si="10"/>
        <v/>
      </c>
      <c r="I344" s="74" t="str">
        <f t="shared" si="11"/>
        <v/>
      </c>
      <c r="J344" s="69"/>
    </row>
    <row r="345" spans="1:10" x14ac:dyDescent="0.3">
      <c r="A345" s="69"/>
      <c r="B345" s="69"/>
      <c r="C345" s="69"/>
      <c r="D345" s="69"/>
      <c r="E345" s="68"/>
      <c r="F345" s="68"/>
      <c r="G345" s="69"/>
      <c r="H345" s="67" t="str">
        <f t="shared" ca="1" si="10"/>
        <v/>
      </c>
      <c r="I345" s="74" t="str">
        <f t="shared" si="11"/>
        <v/>
      </c>
      <c r="J345" s="69"/>
    </row>
    <row r="346" spans="1:10" x14ac:dyDescent="0.3">
      <c r="A346" s="69"/>
      <c r="B346" s="69"/>
      <c r="C346" s="69"/>
      <c r="D346" s="69"/>
      <c r="E346" s="68"/>
      <c r="F346" s="68"/>
      <c r="G346" s="69"/>
      <c r="H346" s="67" t="str">
        <f t="shared" ca="1" si="10"/>
        <v/>
      </c>
      <c r="I346" s="74" t="str">
        <f t="shared" si="11"/>
        <v/>
      </c>
      <c r="J346" s="69"/>
    </row>
    <row r="347" spans="1:10" x14ac:dyDescent="0.3">
      <c r="A347" s="69"/>
      <c r="B347" s="69"/>
      <c r="C347" s="69"/>
      <c r="D347" s="69"/>
      <c r="E347" s="68"/>
      <c r="F347" s="68"/>
      <c r="G347" s="69"/>
      <c r="H347" s="67" t="str">
        <f t="shared" ca="1" si="10"/>
        <v/>
      </c>
      <c r="I347" s="74" t="str">
        <f t="shared" si="11"/>
        <v/>
      </c>
      <c r="J347" s="69"/>
    </row>
    <row r="348" spans="1:10" x14ac:dyDescent="0.3">
      <c r="A348" s="69"/>
      <c r="B348" s="69"/>
      <c r="C348" s="69"/>
      <c r="D348" s="69"/>
      <c r="E348" s="68"/>
      <c r="F348" s="68"/>
      <c r="G348" s="69"/>
      <c r="H348" s="67" t="str">
        <f t="shared" ca="1" si="10"/>
        <v/>
      </c>
      <c r="I348" s="74" t="str">
        <f t="shared" si="11"/>
        <v/>
      </c>
      <c r="J348" s="69"/>
    </row>
    <row r="349" spans="1:10" x14ac:dyDescent="0.3">
      <c r="A349" s="69"/>
      <c r="B349" s="69"/>
      <c r="C349" s="69"/>
      <c r="D349" s="69"/>
      <c r="E349" s="68"/>
      <c r="F349" s="68"/>
      <c r="G349" s="69"/>
      <c r="H349" s="67" t="str">
        <f t="shared" ca="1" si="10"/>
        <v/>
      </c>
      <c r="I349" s="74" t="str">
        <f t="shared" si="11"/>
        <v/>
      </c>
      <c r="J349" s="69"/>
    </row>
    <row r="350" spans="1:10" x14ac:dyDescent="0.3">
      <c r="A350" s="69"/>
      <c r="B350" s="69"/>
      <c r="C350" s="69"/>
      <c r="D350" s="69"/>
      <c r="E350" s="68"/>
      <c r="F350" s="68"/>
      <c r="G350" s="69"/>
      <c r="H350" s="67" t="str">
        <f t="shared" ca="1" si="10"/>
        <v/>
      </c>
      <c r="I350" s="74" t="str">
        <f t="shared" si="11"/>
        <v/>
      </c>
      <c r="J350" s="69"/>
    </row>
    <row r="351" spans="1:10" x14ac:dyDescent="0.3">
      <c r="A351" s="69"/>
      <c r="B351" s="69"/>
      <c r="C351" s="69"/>
      <c r="D351" s="69"/>
      <c r="E351" s="68"/>
      <c r="F351" s="68"/>
      <c r="G351" s="69"/>
      <c r="H351" s="67" t="str">
        <f t="shared" ca="1" si="10"/>
        <v/>
      </c>
      <c r="I351" s="74" t="str">
        <f t="shared" si="11"/>
        <v/>
      </c>
      <c r="J351" s="69"/>
    </row>
    <row r="352" spans="1:10" x14ac:dyDescent="0.3">
      <c r="A352" s="69"/>
      <c r="B352" s="69"/>
      <c r="C352" s="69"/>
      <c r="D352" s="69"/>
      <c r="E352" s="68"/>
      <c r="F352" s="68"/>
      <c r="G352" s="69"/>
      <c r="H352" s="67" t="str">
        <f t="shared" ca="1" si="10"/>
        <v/>
      </c>
      <c r="I352" s="74" t="str">
        <f t="shared" si="11"/>
        <v/>
      </c>
      <c r="J352" s="69"/>
    </row>
    <row r="353" spans="1:10" x14ac:dyDescent="0.3">
      <c r="A353" s="69"/>
      <c r="B353" s="69"/>
      <c r="C353" s="69"/>
      <c r="D353" s="69"/>
      <c r="E353" s="68"/>
      <c r="F353" s="68"/>
      <c r="G353" s="69"/>
      <c r="H353" s="67" t="str">
        <f t="shared" ca="1" si="10"/>
        <v/>
      </c>
      <c r="I353" s="74" t="str">
        <f t="shared" si="11"/>
        <v/>
      </c>
      <c r="J353" s="69"/>
    </row>
    <row r="354" spans="1:10" x14ac:dyDescent="0.3">
      <c r="A354" s="69"/>
      <c r="B354" s="69"/>
      <c r="C354" s="69"/>
      <c r="D354" s="69"/>
      <c r="E354" s="68"/>
      <c r="F354" s="68"/>
      <c r="G354" s="69"/>
      <c r="H354" s="67" t="str">
        <f t="shared" ca="1" si="10"/>
        <v/>
      </c>
      <c r="I354" s="74" t="str">
        <f t="shared" si="11"/>
        <v/>
      </c>
      <c r="J354" s="69"/>
    </row>
    <row r="355" spans="1:10" x14ac:dyDescent="0.3">
      <c r="A355" s="69"/>
      <c r="B355" s="69"/>
      <c r="C355" s="69"/>
      <c r="D355" s="69"/>
      <c r="E355" s="68"/>
      <c r="F355" s="68"/>
      <c r="G355" s="69"/>
      <c r="H355" s="67" t="str">
        <f t="shared" ca="1" si="10"/>
        <v/>
      </c>
      <c r="I355" s="74" t="str">
        <f t="shared" si="11"/>
        <v/>
      </c>
      <c r="J355" s="69"/>
    </row>
    <row r="356" spans="1:10" x14ac:dyDescent="0.3">
      <c r="A356" s="69"/>
      <c r="B356" s="69"/>
      <c r="C356" s="69"/>
      <c r="D356" s="69"/>
      <c r="E356" s="68"/>
      <c r="F356" s="68"/>
      <c r="G356" s="69"/>
      <c r="H356" s="67" t="str">
        <f t="shared" ca="1" si="10"/>
        <v/>
      </c>
      <c r="I356" s="74" t="str">
        <f t="shared" si="11"/>
        <v/>
      </c>
      <c r="J356" s="69"/>
    </row>
    <row r="357" spans="1:10" x14ac:dyDescent="0.3">
      <c r="A357" s="69"/>
      <c r="B357" s="69"/>
      <c r="C357" s="69"/>
      <c r="D357" s="69"/>
      <c r="E357" s="68"/>
      <c r="F357" s="68"/>
      <c r="G357" s="69"/>
      <c r="H357" s="67" t="str">
        <f t="shared" ca="1" si="10"/>
        <v/>
      </c>
      <c r="I357" s="74" t="str">
        <f t="shared" si="11"/>
        <v/>
      </c>
      <c r="J357" s="69"/>
    </row>
    <row r="358" spans="1:10" x14ac:dyDescent="0.3">
      <c r="A358" s="69"/>
      <c r="B358" s="69"/>
      <c r="C358" s="69"/>
      <c r="D358" s="69"/>
      <c r="E358" s="68"/>
      <c r="F358" s="68"/>
      <c r="G358" s="69"/>
      <c r="H358" s="67" t="str">
        <f t="shared" ca="1" si="10"/>
        <v/>
      </c>
      <c r="I358" s="74" t="str">
        <f t="shared" si="11"/>
        <v/>
      </c>
      <c r="J358" s="69"/>
    </row>
    <row r="359" spans="1:10" x14ac:dyDescent="0.3">
      <c r="A359" s="69"/>
      <c r="B359" s="69"/>
      <c r="C359" s="69"/>
      <c r="D359" s="69"/>
      <c r="E359" s="68"/>
      <c r="F359" s="68"/>
      <c r="G359" s="69"/>
      <c r="H359" s="67" t="str">
        <f t="shared" ca="1" si="10"/>
        <v/>
      </c>
      <c r="I359" s="74" t="str">
        <f t="shared" si="11"/>
        <v/>
      </c>
      <c r="J359" s="69"/>
    </row>
    <row r="360" spans="1:10" x14ac:dyDescent="0.3">
      <c r="A360" s="69"/>
      <c r="B360" s="69"/>
      <c r="C360" s="69"/>
      <c r="D360" s="69"/>
      <c r="E360" s="68"/>
      <c r="F360" s="68"/>
      <c r="G360" s="69"/>
      <c r="H360" s="67" t="str">
        <f t="shared" ca="1" si="10"/>
        <v/>
      </c>
      <c r="I360" s="74" t="str">
        <f t="shared" si="11"/>
        <v/>
      </c>
      <c r="J360" s="69"/>
    </row>
    <row r="361" spans="1:10" x14ac:dyDescent="0.3">
      <c r="A361" s="69"/>
      <c r="B361" s="69"/>
      <c r="C361" s="69"/>
      <c r="D361" s="69"/>
      <c r="E361" s="68"/>
      <c r="F361" s="68"/>
      <c r="G361" s="69"/>
      <c r="H361" s="67" t="str">
        <f t="shared" ca="1" si="10"/>
        <v/>
      </c>
      <c r="I361" s="74" t="str">
        <f t="shared" si="11"/>
        <v/>
      </c>
      <c r="J361" s="69"/>
    </row>
    <row r="362" spans="1:10" x14ac:dyDescent="0.3">
      <c r="A362" s="69"/>
      <c r="B362" s="69"/>
      <c r="C362" s="69"/>
      <c r="D362" s="69"/>
      <c r="E362" s="68"/>
      <c r="F362" s="68"/>
      <c r="G362" s="69"/>
      <c r="H362" s="67" t="str">
        <f t="shared" ca="1" si="10"/>
        <v/>
      </c>
      <c r="I362" s="74" t="str">
        <f t="shared" si="11"/>
        <v/>
      </c>
      <c r="J362" s="69"/>
    </row>
    <row r="363" spans="1:10" x14ac:dyDescent="0.3">
      <c r="A363" s="69"/>
      <c r="B363" s="69"/>
      <c r="C363" s="69"/>
      <c r="D363" s="69"/>
      <c r="E363" s="68"/>
      <c r="F363" s="68"/>
      <c r="G363" s="69"/>
      <c r="H363" s="67" t="str">
        <f t="shared" ca="1" si="10"/>
        <v/>
      </c>
      <c r="I363" s="74" t="str">
        <f t="shared" si="11"/>
        <v/>
      </c>
      <c r="J363" s="69"/>
    </row>
    <row r="364" spans="1:10" x14ac:dyDescent="0.3">
      <c r="A364" s="69"/>
      <c r="B364" s="69"/>
      <c r="C364" s="69"/>
      <c r="D364" s="69"/>
      <c r="E364" s="68"/>
      <c r="F364" s="68"/>
      <c r="G364" s="69"/>
      <c r="H364" s="67" t="str">
        <f t="shared" ca="1" si="10"/>
        <v/>
      </c>
      <c r="I364" s="74" t="str">
        <f t="shared" si="11"/>
        <v/>
      </c>
      <c r="J364" s="69"/>
    </row>
    <row r="365" spans="1:10" x14ac:dyDescent="0.3">
      <c r="A365" s="69"/>
      <c r="B365" s="69"/>
      <c r="C365" s="69"/>
      <c r="D365" s="69"/>
      <c r="E365" s="68"/>
      <c r="F365" s="68"/>
      <c r="G365" s="69"/>
      <c r="H365" s="67" t="str">
        <f t="shared" ca="1" si="10"/>
        <v/>
      </c>
      <c r="I365" s="74" t="str">
        <f t="shared" si="11"/>
        <v/>
      </c>
      <c r="J365" s="69"/>
    </row>
    <row r="366" spans="1:10" x14ac:dyDescent="0.3">
      <c r="A366" s="69"/>
      <c r="B366" s="69"/>
      <c r="C366" s="69"/>
      <c r="D366" s="69"/>
      <c r="E366" s="68"/>
      <c r="F366" s="68"/>
      <c r="G366" s="69"/>
      <c r="H366" s="67" t="str">
        <f t="shared" ca="1" si="10"/>
        <v/>
      </c>
      <c r="I366" s="74" t="str">
        <f t="shared" si="11"/>
        <v/>
      </c>
      <c r="J366" s="69"/>
    </row>
    <row r="367" spans="1:10" x14ac:dyDescent="0.3">
      <c r="A367" s="69"/>
      <c r="B367" s="69"/>
      <c r="C367" s="69"/>
      <c r="D367" s="69"/>
      <c r="E367" s="68"/>
      <c r="F367" s="68"/>
      <c r="G367" s="69"/>
      <c r="H367" s="67" t="str">
        <f t="shared" ca="1" si="10"/>
        <v/>
      </c>
      <c r="I367" s="74" t="str">
        <f t="shared" si="11"/>
        <v/>
      </c>
      <c r="J367" s="69"/>
    </row>
    <row r="368" spans="1:10" x14ac:dyDescent="0.3">
      <c r="A368" s="69"/>
      <c r="B368" s="69"/>
      <c r="C368" s="69"/>
      <c r="D368" s="69"/>
      <c r="E368" s="68"/>
      <c r="F368" s="68"/>
      <c r="G368" s="69"/>
      <c r="H368" s="67" t="str">
        <f t="shared" ca="1" si="10"/>
        <v/>
      </c>
      <c r="I368" s="74" t="str">
        <f t="shared" si="11"/>
        <v/>
      </c>
      <c r="J368" s="69"/>
    </row>
    <row r="369" spans="1:10" x14ac:dyDescent="0.3">
      <c r="A369" s="69"/>
      <c r="B369" s="69"/>
      <c r="C369" s="69"/>
      <c r="D369" s="69"/>
      <c r="E369" s="68"/>
      <c r="F369" s="68"/>
      <c r="G369" s="69"/>
      <c r="H369" s="67" t="str">
        <f t="shared" ca="1" si="10"/>
        <v/>
      </c>
      <c r="I369" s="74" t="str">
        <f t="shared" si="11"/>
        <v/>
      </c>
      <c r="J369" s="69"/>
    </row>
    <row r="370" spans="1:10" x14ac:dyDescent="0.3">
      <c r="A370" s="69"/>
      <c r="B370" s="69"/>
      <c r="C370" s="69"/>
      <c r="D370" s="69"/>
      <c r="E370" s="68"/>
      <c r="F370" s="68"/>
      <c r="G370" s="69"/>
      <c r="H370" s="67" t="str">
        <f t="shared" ca="1" si="10"/>
        <v/>
      </c>
      <c r="I370" s="74" t="str">
        <f t="shared" si="11"/>
        <v/>
      </c>
      <c r="J370" s="69"/>
    </row>
    <row r="371" spans="1:10" x14ac:dyDescent="0.3">
      <c r="A371" s="69"/>
      <c r="B371" s="69"/>
      <c r="C371" s="69"/>
      <c r="D371" s="69"/>
      <c r="E371" s="68"/>
      <c r="F371" s="68"/>
      <c r="G371" s="69"/>
      <c r="H371" s="67" t="str">
        <f t="shared" ca="1" si="10"/>
        <v/>
      </c>
      <c r="I371" s="74" t="str">
        <f t="shared" si="11"/>
        <v/>
      </c>
      <c r="J371" s="69"/>
    </row>
    <row r="372" spans="1:10" x14ac:dyDescent="0.3">
      <c r="A372" s="69"/>
      <c r="B372" s="69"/>
      <c r="C372" s="69"/>
      <c r="D372" s="69"/>
      <c r="E372" s="68"/>
      <c r="F372" s="68"/>
      <c r="G372" s="69"/>
      <c r="H372" s="67" t="str">
        <f t="shared" ca="1" si="10"/>
        <v/>
      </c>
      <c r="I372" s="74" t="str">
        <f t="shared" si="11"/>
        <v/>
      </c>
      <c r="J372" s="69"/>
    </row>
    <row r="373" spans="1:10" x14ac:dyDescent="0.3">
      <c r="A373" s="69"/>
      <c r="B373" s="69"/>
      <c r="C373" s="69"/>
      <c r="D373" s="69"/>
      <c r="E373" s="68"/>
      <c r="F373" s="68"/>
      <c r="G373" s="69"/>
      <c r="H373" s="67" t="str">
        <f t="shared" ca="1" si="10"/>
        <v/>
      </c>
      <c r="I373" s="74" t="str">
        <f t="shared" si="11"/>
        <v/>
      </c>
      <c r="J373" s="69"/>
    </row>
    <row r="374" spans="1:10" x14ac:dyDescent="0.3">
      <c r="A374" s="69"/>
      <c r="B374" s="69"/>
      <c r="C374" s="69"/>
      <c r="D374" s="69"/>
      <c r="E374" s="68"/>
      <c r="F374" s="68"/>
      <c r="G374" s="69"/>
      <c r="H374" s="67" t="str">
        <f t="shared" ca="1" si="10"/>
        <v/>
      </c>
      <c r="I374" s="74" t="str">
        <f t="shared" si="11"/>
        <v/>
      </c>
      <c r="J374" s="69"/>
    </row>
    <row r="375" spans="1:10" x14ac:dyDescent="0.3">
      <c r="A375" s="69"/>
      <c r="B375" s="69"/>
      <c r="C375" s="69"/>
      <c r="D375" s="69"/>
      <c r="E375" s="68"/>
      <c r="F375" s="68"/>
      <c r="G375" s="69"/>
      <c r="H375" s="67" t="str">
        <f t="shared" ca="1" si="10"/>
        <v/>
      </c>
      <c r="I375" s="74" t="str">
        <f t="shared" si="11"/>
        <v/>
      </c>
      <c r="J375" s="69"/>
    </row>
    <row r="376" spans="1:10" x14ac:dyDescent="0.3">
      <c r="A376" s="69"/>
      <c r="B376" s="69"/>
      <c r="C376" s="69"/>
      <c r="D376" s="69"/>
      <c r="E376" s="68"/>
      <c r="F376" s="68"/>
      <c r="G376" s="69"/>
      <c r="H376" s="67" t="str">
        <f t="shared" ca="1" si="10"/>
        <v/>
      </c>
      <c r="I376" s="74" t="str">
        <f t="shared" si="11"/>
        <v/>
      </c>
      <c r="J376" s="69"/>
    </row>
    <row r="377" spans="1:10" x14ac:dyDescent="0.3">
      <c r="A377" s="69"/>
      <c r="B377" s="69"/>
      <c r="C377" s="69"/>
      <c r="D377" s="69"/>
      <c r="E377" s="68"/>
      <c r="F377" s="68"/>
      <c r="G377" s="69"/>
      <c r="H377" s="67" t="str">
        <f t="shared" ca="1" si="10"/>
        <v/>
      </c>
      <c r="I377" s="74" t="str">
        <f t="shared" si="11"/>
        <v/>
      </c>
      <c r="J377" s="69"/>
    </row>
    <row r="378" spans="1:10" x14ac:dyDescent="0.3">
      <c r="A378" s="69"/>
      <c r="B378" s="69"/>
      <c r="C378" s="69"/>
      <c r="D378" s="69"/>
      <c r="E378" s="68"/>
      <c r="F378" s="68"/>
      <c r="G378" s="69"/>
      <c r="H378" s="67" t="str">
        <f t="shared" ca="1" si="10"/>
        <v/>
      </c>
      <c r="I378" s="74" t="str">
        <f t="shared" si="11"/>
        <v/>
      </c>
      <c r="J378" s="69"/>
    </row>
    <row r="379" spans="1:10" x14ac:dyDescent="0.3">
      <c r="A379" s="69"/>
      <c r="B379" s="69"/>
      <c r="C379" s="69"/>
      <c r="D379" s="69"/>
      <c r="E379" s="68"/>
      <c r="F379" s="68"/>
      <c r="G379" s="69"/>
      <c r="H379" s="67" t="str">
        <f t="shared" ca="1" si="10"/>
        <v/>
      </c>
      <c r="I379" s="74" t="str">
        <f t="shared" si="11"/>
        <v/>
      </c>
      <c r="J379" s="69"/>
    </row>
    <row r="380" spans="1:10" x14ac:dyDescent="0.3">
      <c r="A380" s="69"/>
      <c r="B380" s="69"/>
      <c r="C380" s="69"/>
      <c r="D380" s="69"/>
      <c r="E380" s="68"/>
      <c r="F380" s="68"/>
      <c r="G380" s="69"/>
      <c r="H380" s="67" t="str">
        <f t="shared" ca="1" si="10"/>
        <v/>
      </c>
      <c r="I380" s="74" t="str">
        <f t="shared" si="11"/>
        <v/>
      </c>
      <c r="J380" s="69"/>
    </row>
    <row r="381" spans="1:10" x14ac:dyDescent="0.3">
      <c r="A381" s="69"/>
      <c r="B381" s="69"/>
      <c r="C381" s="69"/>
      <c r="D381" s="69"/>
      <c r="E381" s="68"/>
      <c r="F381" s="68"/>
      <c r="G381" s="69"/>
      <c r="H381" s="67" t="str">
        <f t="shared" ca="1" si="10"/>
        <v/>
      </c>
      <c r="I381" s="74" t="str">
        <f t="shared" si="11"/>
        <v/>
      </c>
      <c r="J381" s="69"/>
    </row>
    <row r="382" spans="1:10" x14ac:dyDescent="0.3">
      <c r="A382" s="69"/>
      <c r="B382" s="69"/>
      <c r="C382" s="69"/>
      <c r="D382" s="69"/>
      <c r="E382" s="68"/>
      <c r="F382" s="68"/>
      <c r="G382" s="69"/>
      <c r="H382" s="67" t="str">
        <f t="shared" ca="1" si="10"/>
        <v/>
      </c>
      <c r="I382" s="74" t="str">
        <f t="shared" si="11"/>
        <v/>
      </c>
      <c r="J382" s="69"/>
    </row>
    <row r="383" spans="1:10" x14ac:dyDescent="0.3">
      <c r="A383" s="69"/>
      <c r="B383" s="69"/>
      <c r="C383" s="69"/>
      <c r="D383" s="69"/>
      <c r="E383" s="68"/>
      <c r="F383" s="68"/>
      <c r="G383" s="69"/>
      <c r="H383" s="67" t="str">
        <f t="shared" ca="1" si="10"/>
        <v/>
      </c>
      <c r="I383" s="74" t="str">
        <f t="shared" si="11"/>
        <v/>
      </c>
      <c r="J383" s="69"/>
    </row>
    <row r="384" spans="1:10" x14ac:dyDescent="0.3">
      <c r="A384" s="69"/>
      <c r="B384" s="69"/>
      <c r="C384" s="69"/>
      <c r="D384" s="69"/>
      <c r="E384" s="68"/>
      <c r="F384" s="68"/>
      <c r="G384" s="69"/>
      <c r="H384" s="67" t="str">
        <f t="shared" ca="1" si="10"/>
        <v/>
      </c>
      <c r="I384" s="74" t="str">
        <f t="shared" si="11"/>
        <v/>
      </c>
      <c r="J384" s="69"/>
    </row>
    <row r="385" spans="1:10" x14ac:dyDescent="0.3">
      <c r="A385" s="69"/>
      <c r="B385" s="69"/>
      <c r="C385" s="69"/>
      <c r="D385" s="69"/>
      <c r="E385" s="68"/>
      <c r="F385" s="68"/>
      <c r="G385" s="69"/>
      <c r="H385" s="67" t="str">
        <f t="shared" ca="1" si="10"/>
        <v/>
      </c>
      <c r="I385" s="74" t="str">
        <f t="shared" si="11"/>
        <v/>
      </c>
      <c r="J385" s="69"/>
    </row>
    <row r="386" spans="1:10" x14ac:dyDescent="0.3">
      <c r="A386" s="69"/>
      <c r="B386" s="69"/>
      <c r="C386" s="69"/>
      <c r="D386" s="69"/>
      <c r="E386" s="68"/>
      <c r="F386" s="68"/>
      <c r="G386" s="69"/>
      <c r="H386" s="67" t="str">
        <f t="shared" ca="1" si="10"/>
        <v/>
      </c>
      <c r="I386" s="74" t="str">
        <f t="shared" si="11"/>
        <v/>
      </c>
      <c r="J386" s="69"/>
    </row>
    <row r="387" spans="1:10" x14ac:dyDescent="0.3">
      <c r="A387" s="69"/>
      <c r="B387" s="69"/>
      <c r="C387" s="69"/>
      <c r="D387" s="69"/>
      <c r="E387" s="68"/>
      <c r="F387" s="68"/>
      <c r="G387" s="69"/>
      <c r="H387" s="67" t="str">
        <f t="shared" ca="1" si="10"/>
        <v/>
      </c>
      <c r="I387" s="74" t="str">
        <f t="shared" si="11"/>
        <v/>
      </c>
      <c r="J387" s="69"/>
    </row>
    <row r="388" spans="1:10" x14ac:dyDescent="0.3">
      <c r="A388" s="69"/>
      <c r="B388" s="69"/>
      <c r="C388" s="69"/>
      <c r="D388" s="69"/>
      <c r="E388" s="68"/>
      <c r="F388" s="68"/>
      <c r="G388" s="69"/>
      <c r="H388" s="67" t="str">
        <f t="shared" ca="1" si="10"/>
        <v/>
      </c>
      <c r="I388" s="74" t="str">
        <f t="shared" si="11"/>
        <v/>
      </c>
      <c r="J388" s="69"/>
    </row>
    <row r="389" spans="1:10" x14ac:dyDescent="0.3">
      <c r="A389" s="69"/>
      <c r="B389" s="69"/>
      <c r="C389" s="69"/>
      <c r="D389" s="69"/>
      <c r="E389" s="68"/>
      <c r="F389" s="68"/>
      <c r="G389" s="69"/>
      <c r="H389" s="67" t="str">
        <f t="shared" ref="H389:H452" ca="1" si="12">IF(E389="","",IF(G389&lt;&gt;"Completed",IF(E389&lt;TODAY(),"Overdue",""),IF(F389&lt;=E389,"Yes","No")))</f>
        <v/>
      </c>
      <c r="I389" s="74" t="str">
        <f t="shared" ref="I389:I452" si="13">IF(OR(E389="",F389=""),"",F389-E389)</f>
        <v/>
      </c>
      <c r="J389" s="69"/>
    </row>
    <row r="390" spans="1:10" x14ac:dyDescent="0.3">
      <c r="A390" s="69"/>
      <c r="B390" s="69"/>
      <c r="C390" s="69"/>
      <c r="D390" s="69"/>
      <c r="E390" s="68"/>
      <c r="F390" s="68"/>
      <c r="G390" s="69"/>
      <c r="H390" s="67" t="str">
        <f t="shared" ca="1" si="12"/>
        <v/>
      </c>
      <c r="I390" s="74" t="str">
        <f t="shared" si="13"/>
        <v/>
      </c>
      <c r="J390" s="69"/>
    </row>
    <row r="391" spans="1:10" x14ac:dyDescent="0.3">
      <c r="A391" s="69"/>
      <c r="B391" s="69"/>
      <c r="C391" s="69"/>
      <c r="D391" s="69"/>
      <c r="E391" s="68"/>
      <c r="F391" s="68"/>
      <c r="G391" s="69"/>
      <c r="H391" s="67" t="str">
        <f t="shared" ca="1" si="12"/>
        <v/>
      </c>
      <c r="I391" s="74" t="str">
        <f t="shared" si="13"/>
        <v/>
      </c>
      <c r="J391" s="69"/>
    </row>
    <row r="392" spans="1:10" x14ac:dyDescent="0.3">
      <c r="A392" s="69"/>
      <c r="B392" s="69"/>
      <c r="C392" s="69"/>
      <c r="D392" s="69"/>
      <c r="E392" s="68"/>
      <c r="F392" s="68"/>
      <c r="G392" s="69"/>
      <c r="H392" s="67" t="str">
        <f t="shared" ca="1" si="12"/>
        <v/>
      </c>
      <c r="I392" s="74" t="str">
        <f t="shared" si="13"/>
        <v/>
      </c>
      <c r="J392" s="69"/>
    </row>
    <row r="393" spans="1:10" x14ac:dyDescent="0.3">
      <c r="A393" s="69"/>
      <c r="B393" s="69"/>
      <c r="C393" s="69"/>
      <c r="D393" s="69"/>
      <c r="E393" s="68"/>
      <c r="F393" s="68"/>
      <c r="G393" s="69"/>
      <c r="H393" s="67" t="str">
        <f t="shared" ca="1" si="12"/>
        <v/>
      </c>
      <c r="I393" s="74" t="str">
        <f t="shared" si="13"/>
        <v/>
      </c>
      <c r="J393" s="69"/>
    </row>
    <row r="394" spans="1:10" x14ac:dyDescent="0.3">
      <c r="A394" s="69"/>
      <c r="B394" s="69"/>
      <c r="C394" s="69"/>
      <c r="D394" s="69"/>
      <c r="E394" s="68"/>
      <c r="F394" s="68"/>
      <c r="G394" s="69"/>
      <c r="H394" s="67" t="str">
        <f t="shared" ca="1" si="12"/>
        <v/>
      </c>
      <c r="I394" s="74" t="str">
        <f t="shared" si="13"/>
        <v/>
      </c>
      <c r="J394" s="69"/>
    </row>
    <row r="395" spans="1:10" x14ac:dyDescent="0.3">
      <c r="A395" s="69"/>
      <c r="B395" s="69"/>
      <c r="C395" s="69"/>
      <c r="D395" s="69"/>
      <c r="E395" s="68"/>
      <c r="F395" s="68"/>
      <c r="G395" s="69"/>
      <c r="H395" s="67" t="str">
        <f t="shared" ca="1" si="12"/>
        <v/>
      </c>
      <c r="I395" s="74" t="str">
        <f t="shared" si="13"/>
        <v/>
      </c>
      <c r="J395" s="69"/>
    </row>
    <row r="396" spans="1:10" x14ac:dyDescent="0.3">
      <c r="A396" s="69"/>
      <c r="B396" s="69"/>
      <c r="C396" s="69"/>
      <c r="D396" s="69"/>
      <c r="E396" s="68"/>
      <c r="F396" s="68"/>
      <c r="G396" s="69"/>
      <c r="H396" s="67" t="str">
        <f t="shared" ca="1" si="12"/>
        <v/>
      </c>
      <c r="I396" s="74" t="str">
        <f t="shared" si="13"/>
        <v/>
      </c>
      <c r="J396" s="69"/>
    </row>
    <row r="397" spans="1:10" x14ac:dyDescent="0.3">
      <c r="A397" s="69"/>
      <c r="B397" s="69"/>
      <c r="C397" s="69"/>
      <c r="D397" s="69"/>
      <c r="E397" s="68"/>
      <c r="F397" s="68"/>
      <c r="G397" s="69"/>
      <c r="H397" s="67" t="str">
        <f t="shared" ca="1" si="12"/>
        <v/>
      </c>
      <c r="I397" s="74" t="str">
        <f t="shared" si="13"/>
        <v/>
      </c>
      <c r="J397" s="69"/>
    </row>
    <row r="398" spans="1:10" x14ac:dyDescent="0.3">
      <c r="A398" s="69"/>
      <c r="B398" s="69"/>
      <c r="C398" s="69"/>
      <c r="D398" s="69"/>
      <c r="E398" s="68"/>
      <c r="F398" s="68"/>
      <c r="G398" s="69"/>
      <c r="H398" s="67" t="str">
        <f t="shared" ca="1" si="12"/>
        <v/>
      </c>
      <c r="I398" s="74" t="str">
        <f t="shared" si="13"/>
        <v/>
      </c>
      <c r="J398" s="69"/>
    </row>
    <row r="399" spans="1:10" x14ac:dyDescent="0.3">
      <c r="A399" s="69"/>
      <c r="B399" s="69"/>
      <c r="C399" s="69"/>
      <c r="D399" s="69"/>
      <c r="E399" s="68"/>
      <c r="F399" s="68"/>
      <c r="G399" s="69"/>
      <c r="H399" s="67" t="str">
        <f t="shared" ca="1" si="12"/>
        <v/>
      </c>
      <c r="I399" s="74" t="str">
        <f t="shared" si="13"/>
        <v/>
      </c>
      <c r="J399" s="69"/>
    </row>
    <row r="400" spans="1:10" x14ac:dyDescent="0.3">
      <c r="A400" s="69"/>
      <c r="B400" s="69"/>
      <c r="C400" s="69"/>
      <c r="D400" s="69"/>
      <c r="E400" s="68"/>
      <c r="F400" s="68"/>
      <c r="G400" s="69"/>
      <c r="H400" s="67" t="str">
        <f t="shared" ca="1" si="12"/>
        <v/>
      </c>
      <c r="I400" s="74" t="str">
        <f t="shared" si="13"/>
        <v/>
      </c>
      <c r="J400" s="69"/>
    </row>
    <row r="401" spans="1:10" x14ac:dyDescent="0.3">
      <c r="A401" s="69"/>
      <c r="B401" s="69"/>
      <c r="C401" s="69"/>
      <c r="D401" s="69"/>
      <c r="E401" s="68"/>
      <c r="F401" s="68"/>
      <c r="G401" s="69"/>
      <c r="H401" s="67" t="str">
        <f t="shared" ca="1" si="12"/>
        <v/>
      </c>
      <c r="I401" s="74" t="str">
        <f t="shared" si="13"/>
        <v/>
      </c>
      <c r="J401" s="69"/>
    </row>
    <row r="402" spans="1:10" x14ac:dyDescent="0.3">
      <c r="A402" s="69"/>
      <c r="B402" s="69"/>
      <c r="C402" s="69"/>
      <c r="D402" s="69"/>
      <c r="E402" s="68"/>
      <c r="F402" s="68"/>
      <c r="G402" s="69"/>
      <c r="H402" s="67" t="str">
        <f t="shared" ca="1" si="12"/>
        <v/>
      </c>
      <c r="I402" s="74" t="str">
        <f t="shared" si="13"/>
        <v/>
      </c>
      <c r="J402" s="69"/>
    </row>
    <row r="403" spans="1:10" x14ac:dyDescent="0.3">
      <c r="A403" s="69"/>
      <c r="B403" s="69"/>
      <c r="C403" s="69"/>
      <c r="D403" s="69"/>
      <c r="E403" s="68"/>
      <c r="F403" s="68"/>
      <c r="G403" s="69"/>
      <c r="H403" s="67" t="str">
        <f t="shared" ca="1" si="12"/>
        <v/>
      </c>
      <c r="I403" s="74" t="str">
        <f t="shared" si="13"/>
        <v/>
      </c>
      <c r="J403" s="69"/>
    </row>
    <row r="404" spans="1:10" x14ac:dyDescent="0.3">
      <c r="A404" s="69"/>
      <c r="B404" s="69"/>
      <c r="C404" s="69"/>
      <c r="D404" s="69"/>
      <c r="E404" s="68"/>
      <c r="F404" s="68"/>
      <c r="G404" s="69"/>
      <c r="H404" s="67" t="str">
        <f t="shared" ca="1" si="12"/>
        <v/>
      </c>
      <c r="I404" s="74" t="str">
        <f t="shared" si="13"/>
        <v/>
      </c>
      <c r="J404" s="69"/>
    </row>
    <row r="405" spans="1:10" x14ac:dyDescent="0.3">
      <c r="A405" s="69"/>
      <c r="B405" s="69"/>
      <c r="C405" s="69"/>
      <c r="D405" s="69"/>
      <c r="E405" s="68"/>
      <c r="F405" s="68"/>
      <c r="G405" s="69"/>
      <c r="H405" s="67" t="str">
        <f t="shared" ca="1" si="12"/>
        <v/>
      </c>
      <c r="I405" s="74" t="str">
        <f t="shared" si="13"/>
        <v/>
      </c>
      <c r="J405" s="69"/>
    </row>
    <row r="406" spans="1:10" x14ac:dyDescent="0.3">
      <c r="A406" s="69"/>
      <c r="B406" s="69"/>
      <c r="C406" s="69"/>
      <c r="D406" s="69"/>
      <c r="E406" s="68"/>
      <c r="F406" s="68"/>
      <c r="G406" s="69"/>
      <c r="H406" s="67" t="str">
        <f t="shared" ca="1" si="12"/>
        <v/>
      </c>
      <c r="I406" s="74" t="str">
        <f t="shared" si="13"/>
        <v/>
      </c>
      <c r="J406" s="69"/>
    </row>
    <row r="407" spans="1:10" x14ac:dyDescent="0.3">
      <c r="A407" s="69"/>
      <c r="B407" s="69"/>
      <c r="C407" s="69"/>
      <c r="D407" s="69"/>
      <c r="E407" s="68"/>
      <c r="F407" s="68"/>
      <c r="G407" s="69"/>
      <c r="H407" s="67" t="str">
        <f t="shared" ca="1" si="12"/>
        <v/>
      </c>
      <c r="I407" s="74" t="str">
        <f t="shared" si="13"/>
        <v/>
      </c>
      <c r="J407" s="69"/>
    </row>
    <row r="408" spans="1:10" x14ac:dyDescent="0.3">
      <c r="A408" s="69"/>
      <c r="B408" s="69"/>
      <c r="C408" s="69"/>
      <c r="D408" s="69"/>
      <c r="E408" s="68"/>
      <c r="F408" s="68"/>
      <c r="G408" s="69"/>
      <c r="H408" s="67" t="str">
        <f t="shared" ca="1" si="12"/>
        <v/>
      </c>
      <c r="I408" s="74" t="str">
        <f t="shared" si="13"/>
        <v/>
      </c>
      <c r="J408" s="69"/>
    </row>
    <row r="409" spans="1:10" x14ac:dyDescent="0.3">
      <c r="A409" s="69"/>
      <c r="B409" s="69"/>
      <c r="C409" s="69"/>
      <c r="D409" s="69"/>
      <c r="E409" s="68"/>
      <c r="F409" s="68"/>
      <c r="G409" s="69"/>
      <c r="H409" s="67" t="str">
        <f t="shared" ca="1" si="12"/>
        <v/>
      </c>
      <c r="I409" s="74" t="str">
        <f t="shared" si="13"/>
        <v/>
      </c>
      <c r="J409" s="69"/>
    </row>
    <row r="410" spans="1:10" x14ac:dyDescent="0.3">
      <c r="A410" s="69"/>
      <c r="B410" s="69"/>
      <c r="C410" s="69"/>
      <c r="D410" s="69"/>
      <c r="E410" s="68"/>
      <c r="F410" s="68"/>
      <c r="G410" s="69"/>
      <c r="H410" s="67" t="str">
        <f t="shared" ca="1" si="12"/>
        <v/>
      </c>
      <c r="I410" s="74" t="str">
        <f t="shared" si="13"/>
        <v/>
      </c>
      <c r="J410" s="69"/>
    </row>
    <row r="411" spans="1:10" x14ac:dyDescent="0.3">
      <c r="A411" s="69"/>
      <c r="B411" s="69"/>
      <c r="C411" s="69"/>
      <c r="D411" s="69"/>
      <c r="E411" s="68"/>
      <c r="F411" s="68"/>
      <c r="G411" s="69"/>
      <c r="H411" s="67" t="str">
        <f t="shared" ca="1" si="12"/>
        <v/>
      </c>
      <c r="I411" s="74" t="str">
        <f t="shared" si="13"/>
        <v/>
      </c>
      <c r="J411" s="69"/>
    </row>
    <row r="412" spans="1:10" x14ac:dyDescent="0.3">
      <c r="A412" s="69"/>
      <c r="B412" s="69"/>
      <c r="C412" s="69"/>
      <c r="D412" s="69"/>
      <c r="E412" s="68"/>
      <c r="F412" s="68"/>
      <c r="G412" s="69"/>
      <c r="H412" s="67" t="str">
        <f t="shared" ca="1" si="12"/>
        <v/>
      </c>
      <c r="I412" s="74" t="str">
        <f t="shared" si="13"/>
        <v/>
      </c>
      <c r="J412" s="69"/>
    </row>
    <row r="413" spans="1:10" x14ac:dyDescent="0.3">
      <c r="A413" s="69"/>
      <c r="B413" s="69"/>
      <c r="C413" s="69"/>
      <c r="D413" s="69"/>
      <c r="E413" s="68"/>
      <c r="F413" s="68"/>
      <c r="G413" s="69"/>
      <c r="H413" s="67" t="str">
        <f t="shared" ca="1" si="12"/>
        <v/>
      </c>
      <c r="I413" s="74" t="str">
        <f t="shared" si="13"/>
        <v/>
      </c>
      <c r="J413" s="69"/>
    </row>
    <row r="414" spans="1:10" x14ac:dyDescent="0.3">
      <c r="A414" s="69"/>
      <c r="B414" s="69"/>
      <c r="C414" s="69"/>
      <c r="D414" s="69"/>
      <c r="E414" s="68"/>
      <c r="F414" s="68"/>
      <c r="G414" s="69"/>
      <c r="H414" s="67" t="str">
        <f t="shared" ca="1" si="12"/>
        <v/>
      </c>
      <c r="I414" s="74" t="str">
        <f t="shared" si="13"/>
        <v/>
      </c>
      <c r="J414" s="69"/>
    </row>
    <row r="415" spans="1:10" x14ac:dyDescent="0.3">
      <c r="A415" s="69"/>
      <c r="B415" s="69"/>
      <c r="C415" s="69"/>
      <c r="D415" s="69"/>
      <c r="E415" s="68"/>
      <c r="F415" s="68"/>
      <c r="G415" s="69"/>
      <c r="H415" s="67" t="str">
        <f t="shared" ca="1" si="12"/>
        <v/>
      </c>
      <c r="I415" s="74" t="str">
        <f t="shared" si="13"/>
        <v/>
      </c>
      <c r="J415" s="69"/>
    </row>
    <row r="416" spans="1:10" x14ac:dyDescent="0.3">
      <c r="A416" s="69"/>
      <c r="B416" s="69"/>
      <c r="C416" s="69"/>
      <c r="D416" s="69"/>
      <c r="E416" s="68"/>
      <c r="F416" s="68"/>
      <c r="G416" s="69"/>
      <c r="H416" s="67" t="str">
        <f t="shared" ca="1" si="12"/>
        <v/>
      </c>
      <c r="I416" s="74" t="str">
        <f t="shared" si="13"/>
        <v/>
      </c>
      <c r="J416" s="69"/>
    </row>
    <row r="417" spans="1:10" x14ac:dyDescent="0.3">
      <c r="A417" s="69"/>
      <c r="B417" s="69"/>
      <c r="C417" s="69"/>
      <c r="D417" s="69"/>
      <c r="E417" s="68"/>
      <c r="F417" s="68"/>
      <c r="G417" s="69"/>
      <c r="H417" s="67" t="str">
        <f t="shared" ca="1" si="12"/>
        <v/>
      </c>
      <c r="I417" s="74" t="str">
        <f t="shared" si="13"/>
        <v/>
      </c>
      <c r="J417" s="69"/>
    </row>
    <row r="418" spans="1:10" x14ac:dyDescent="0.3">
      <c r="A418" s="69"/>
      <c r="B418" s="69"/>
      <c r="C418" s="69"/>
      <c r="D418" s="69"/>
      <c r="E418" s="68"/>
      <c r="F418" s="68"/>
      <c r="G418" s="69"/>
      <c r="H418" s="67" t="str">
        <f t="shared" ca="1" si="12"/>
        <v/>
      </c>
      <c r="I418" s="74" t="str">
        <f t="shared" si="13"/>
        <v/>
      </c>
      <c r="J418" s="69"/>
    </row>
    <row r="419" spans="1:10" x14ac:dyDescent="0.3">
      <c r="A419" s="69"/>
      <c r="B419" s="69"/>
      <c r="C419" s="69"/>
      <c r="D419" s="69"/>
      <c r="E419" s="68"/>
      <c r="F419" s="68"/>
      <c r="G419" s="69"/>
      <c r="H419" s="67" t="str">
        <f t="shared" ca="1" si="12"/>
        <v/>
      </c>
      <c r="I419" s="74" t="str">
        <f t="shared" si="13"/>
        <v/>
      </c>
      <c r="J419" s="69"/>
    </row>
    <row r="420" spans="1:10" x14ac:dyDescent="0.3">
      <c r="A420" s="69"/>
      <c r="B420" s="69"/>
      <c r="C420" s="69"/>
      <c r="D420" s="69"/>
      <c r="E420" s="68"/>
      <c r="F420" s="68"/>
      <c r="G420" s="69"/>
      <c r="H420" s="67" t="str">
        <f t="shared" ca="1" si="12"/>
        <v/>
      </c>
      <c r="I420" s="74" t="str">
        <f t="shared" si="13"/>
        <v/>
      </c>
      <c r="J420" s="69"/>
    </row>
    <row r="421" spans="1:10" x14ac:dyDescent="0.3">
      <c r="A421" s="69"/>
      <c r="B421" s="69"/>
      <c r="C421" s="69"/>
      <c r="D421" s="69"/>
      <c r="E421" s="68"/>
      <c r="F421" s="68"/>
      <c r="G421" s="69"/>
      <c r="H421" s="67" t="str">
        <f t="shared" ca="1" si="12"/>
        <v/>
      </c>
      <c r="I421" s="74" t="str">
        <f t="shared" si="13"/>
        <v/>
      </c>
      <c r="J421" s="69"/>
    </row>
    <row r="422" spans="1:10" x14ac:dyDescent="0.3">
      <c r="A422" s="69"/>
      <c r="B422" s="69"/>
      <c r="C422" s="69"/>
      <c r="D422" s="69"/>
      <c r="E422" s="68"/>
      <c r="F422" s="68"/>
      <c r="G422" s="69"/>
      <c r="H422" s="67" t="str">
        <f t="shared" ca="1" si="12"/>
        <v/>
      </c>
      <c r="I422" s="74" t="str">
        <f t="shared" si="13"/>
        <v/>
      </c>
      <c r="J422" s="69"/>
    </row>
    <row r="423" spans="1:10" x14ac:dyDescent="0.3">
      <c r="A423" s="69"/>
      <c r="B423" s="69"/>
      <c r="C423" s="69"/>
      <c r="D423" s="69"/>
      <c r="E423" s="68"/>
      <c r="F423" s="68"/>
      <c r="G423" s="69"/>
      <c r="H423" s="67" t="str">
        <f t="shared" ca="1" si="12"/>
        <v/>
      </c>
      <c r="I423" s="74" t="str">
        <f t="shared" si="13"/>
        <v/>
      </c>
      <c r="J423" s="69"/>
    </row>
    <row r="424" spans="1:10" x14ac:dyDescent="0.3">
      <c r="A424" s="69"/>
      <c r="B424" s="69"/>
      <c r="C424" s="69"/>
      <c r="D424" s="69"/>
      <c r="E424" s="68"/>
      <c r="F424" s="68"/>
      <c r="G424" s="69"/>
      <c r="H424" s="67" t="str">
        <f t="shared" ca="1" si="12"/>
        <v/>
      </c>
      <c r="I424" s="74" t="str">
        <f t="shared" si="13"/>
        <v/>
      </c>
      <c r="J424" s="69"/>
    </row>
    <row r="425" spans="1:10" x14ac:dyDescent="0.3">
      <c r="A425" s="69"/>
      <c r="B425" s="69"/>
      <c r="C425" s="69"/>
      <c r="D425" s="69"/>
      <c r="E425" s="68"/>
      <c r="F425" s="68"/>
      <c r="G425" s="69"/>
      <c r="H425" s="67" t="str">
        <f t="shared" ca="1" si="12"/>
        <v/>
      </c>
      <c r="I425" s="74" t="str">
        <f t="shared" si="13"/>
        <v/>
      </c>
      <c r="J425" s="69"/>
    </row>
    <row r="426" spans="1:10" x14ac:dyDescent="0.3">
      <c r="A426" s="69"/>
      <c r="B426" s="69"/>
      <c r="C426" s="69"/>
      <c r="D426" s="69"/>
      <c r="E426" s="68"/>
      <c r="F426" s="68"/>
      <c r="G426" s="69"/>
      <c r="H426" s="67" t="str">
        <f t="shared" ca="1" si="12"/>
        <v/>
      </c>
      <c r="I426" s="74" t="str">
        <f t="shared" si="13"/>
        <v/>
      </c>
      <c r="J426" s="69"/>
    </row>
    <row r="427" spans="1:10" x14ac:dyDescent="0.3">
      <c r="A427" s="69"/>
      <c r="B427" s="69"/>
      <c r="C427" s="69"/>
      <c r="D427" s="69"/>
      <c r="E427" s="68"/>
      <c r="F427" s="68"/>
      <c r="G427" s="69"/>
      <c r="H427" s="67" t="str">
        <f t="shared" ca="1" si="12"/>
        <v/>
      </c>
      <c r="I427" s="74" t="str">
        <f t="shared" si="13"/>
        <v/>
      </c>
      <c r="J427" s="69"/>
    </row>
    <row r="428" spans="1:10" x14ac:dyDescent="0.3">
      <c r="A428" s="69"/>
      <c r="B428" s="69"/>
      <c r="C428" s="69"/>
      <c r="D428" s="69"/>
      <c r="E428" s="68"/>
      <c r="F428" s="68"/>
      <c r="G428" s="69"/>
      <c r="H428" s="67" t="str">
        <f t="shared" ca="1" si="12"/>
        <v/>
      </c>
      <c r="I428" s="74" t="str">
        <f t="shared" si="13"/>
        <v/>
      </c>
      <c r="J428" s="69"/>
    </row>
    <row r="429" spans="1:10" x14ac:dyDescent="0.3">
      <c r="A429" s="69"/>
      <c r="B429" s="69"/>
      <c r="C429" s="69"/>
      <c r="D429" s="69"/>
      <c r="E429" s="68"/>
      <c r="F429" s="68"/>
      <c r="G429" s="69"/>
      <c r="H429" s="67" t="str">
        <f t="shared" ca="1" si="12"/>
        <v/>
      </c>
      <c r="I429" s="74" t="str">
        <f t="shared" si="13"/>
        <v/>
      </c>
      <c r="J429" s="69"/>
    </row>
    <row r="430" spans="1:10" x14ac:dyDescent="0.3">
      <c r="A430" s="69"/>
      <c r="B430" s="69"/>
      <c r="C430" s="69"/>
      <c r="D430" s="69"/>
      <c r="E430" s="68"/>
      <c r="F430" s="68"/>
      <c r="G430" s="69"/>
      <c r="H430" s="67" t="str">
        <f t="shared" ca="1" si="12"/>
        <v/>
      </c>
      <c r="I430" s="74" t="str">
        <f t="shared" si="13"/>
        <v/>
      </c>
      <c r="J430" s="69"/>
    </row>
    <row r="431" spans="1:10" x14ac:dyDescent="0.3">
      <c r="A431" s="69"/>
      <c r="B431" s="69"/>
      <c r="C431" s="69"/>
      <c r="D431" s="69"/>
      <c r="E431" s="68"/>
      <c r="F431" s="68"/>
      <c r="G431" s="69"/>
      <c r="H431" s="67" t="str">
        <f t="shared" ca="1" si="12"/>
        <v/>
      </c>
      <c r="I431" s="74" t="str">
        <f t="shared" si="13"/>
        <v/>
      </c>
      <c r="J431" s="69"/>
    </row>
    <row r="432" spans="1:10" x14ac:dyDescent="0.3">
      <c r="A432" s="69"/>
      <c r="B432" s="69"/>
      <c r="C432" s="69"/>
      <c r="D432" s="69"/>
      <c r="E432" s="68"/>
      <c r="F432" s="68"/>
      <c r="G432" s="69"/>
      <c r="H432" s="67" t="str">
        <f t="shared" ca="1" si="12"/>
        <v/>
      </c>
      <c r="I432" s="74" t="str">
        <f t="shared" si="13"/>
        <v/>
      </c>
      <c r="J432" s="69"/>
    </row>
    <row r="433" spans="1:10" x14ac:dyDescent="0.3">
      <c r="A433" s="69"/>
      <c r="B433" s="69"/>
      <c r="C433" s="69"/>
      <c r="D433" s="69"/>
      <c r="E433" s="68"/>
      <c r="F433" s="68"/>
      <c r="G433" s="69"/>
      <c r="H433" s="67" t="str">
        <f t="shared" ca="1" si="12"/>
        <v/>
      </c>
      <c r="I433" s="74" t="str">
        <f t="shared" si="13"/>
        <v/>
      </c>
      <c r="J433" s="69"/>
    </row>
    <row r="434" spans="1:10" x14ac:dyDescent="0.3">
      <c r="A434" s="69"/>
      <c r="B434" s="69"/>
      <c r="C434" s="69"/>
      <c r="D434" s="69"/>
      <c r="E434" s="68"/>
      <c r="F434" s="68"/>
      <c r="G434" s="69"/>
      <c r="H434" s="67" t="str">
        <f t="shared" ca="1" si="12"/>
        <v/>
      </c>
      <c r="I434" s="74" t="str">
        <f t="shared" si="13"/>
        <v/>
      </c>
      <c r="J434" s="69"/>
    </row>
    <row r="435" spans="1:10" x14ac:dyDescent="0.3">
      <c r="A435" s="69"/>
      <c r="B435" s="69"/>
      <c r="C435" s="69"/>
      <c r="D435" s="69"/>
      <c r="E435" s="68"/>
      <c r="F435" s="68"/>
      <c r="G435" s="69"/>
      <c r="H435" s="67" t="str">
        <f t="shared" ca="1" si="12"/>
        <v/>
      </c>
      <c r="I435" s="74" t="str">
        <f t="shared" si="13"/>
        <v/>
      </c>
      <c r="J435" s="69"/>
    </row>
    <row r="436" spans="1:10" x14ac:dyDescent="0.3">
      <c r="A436" s="69"/>
      <c r="B436" s="69"/>
      <c r="C436" s="69"/>
      <c r="D436" s="69"/>
      <c r="E436" s="68"/>
      <c r="F436" s="68"/>
      <c r="G436" s="69"/>
      <c r="H436" s="67" t="str">
        <f t="shared" ca="1" si="12"/>
        <v/>
      </c>
      <c r="I436" s="74" t="str">
        <f t="shared" si="13"/>
        <v/>
      </c>
      <c r="J436" s="69"/>
    </row>
    <row r="437" spans="1:10" x14ac:dyDescent="0.3">
      <c r="A437" s="69"/>
      <c r="B437" s="69"/>
      <c r="C437" s="69"/>
      <c r="D437" s="69"/>
      <c r="E437" s="68"/>
      <c r="F437" s="68"/>
      <c r="G437" s="69"/>
      <c r="H437" s="67" t="str">
        <f t="shared" ca="1" si="12"/>
        <v/>
      </c>
      <c r="I437" s="74" t="str">
        <f t="shared" si="13"/>
        <v/>
      </c>
      <c r="J437" s="69"/>
    </row>
    <row r="438" spans="1:10" x14ac:dyDescent="0.3">
      <c r="A438" s="69"/>
      <c r="B438" s="69"/>
      <c r="C438" s="69"/>
      <c r="D438" s="69"/>
      <c r="E438" s="68"/>
      <c r="F438" s="68"/>
      <c r="G438" s="69"/>
      <c r="H438" s="67" t="str">
        <f t="shared" ca="1" si="12"/>
        <v/>
      </c>
      <c r="I438" s="74" t="str">
        <f t="shared" si="13"/>
        <v/>
      </c>
      <c r="J438" s="69"/>
    </row>
    <row r="439" spans="1:10" x14ac:dyDescent="0.3">
      <c r="A439" s="69"/>
      <c r="B439" s="69"/>
      <c r="C439" s="69"/>
      <c r="D439" s="69"/>
      <c r="E439" s="68"/>
      <c r="F439" s="68"/>
      <c r="G439" s="69"/>
      <c r="H439" s="67" t="str">
        <f t="shared" ca="1" si="12"/>
        <v/>
      </c>
      <c r="I439" s="74" t="str">
        <f t="shared" si="13"/>
        <v/>
      </c>
      <c r="J439" s="69"/>
    </row>
    <row r="440" spans="1:10" x14ac:dyDescent="0.3">
      <c r="A440" s="69"/>
      <c r="B440" s="69"/>
      <c r="C440" s="69"/>
      <c r="D440" s="69"/>
      <c r="E440" s="68"/>
      <c r="F440" s="68"/>
      <c r="G440" s="69"/>
      <c r="H440" s="67" t="str">
        <f t="shared" ca="1" si="12"/>
        <v/>
      </c>
      <c r="I440" s="74" t="str">
        <f t="shared" si="13"/>
        <v/>
      </c>
      <c r="J440" s="69"/>
    </row>
    <row r="441" spans="1:10" x14ac:dyDescent="0.3">
      <c r="A441" s="69"/>
      <c r="B441" s="69"/>
      <c r="C441" s="69"/>
      <c r="D441" s="69"/>
      <c r="E441" s="68"/>
      <c r="F441" s="68"/>
      <c r="G441" s="69"/>
      <c r="H441" s="67" t="str">
        <f t="shared" ca="1" si="12"/>
        <v/>
      </c>
      <c r="I441" s="74" t="str">
        <f t="shared" si="13"/>
        <v/>
      </c>
      <c r="J441" s="69"/>
    </row>
    <row r="442" spans="1:10" x14ac:dyDescent="0.3">
      <c r="A442" s="69"/>
      <c r="B442" s="69"/>
      <c r="C442" s="69"/>
      <c r="D442" s="69"/>
      <c r="E442" s="68"/>
      <c r="F442" s="68"/>
      <c r="G442" s="69"/>
      <c r="H442" s="67" t="str">
        <f t="shared" ca="1" si="12"/>
        <v/>
      </c>
      <c r="I442" s="74" t="str">
        <f t="shared" si="13"/>
        <v/>
      </c>
      <c r="J442" s="69"/>
    </row>
    <row r="443" spans="1:10" x14ac:dyDescent="0.3">
      <c r="A443" s="69"/>
      <c r="B443" s="69"/>
      <c r="C443" s="69"/>
      <c r="D443" s="69"/>
      <c r="E443" s="68"/>
      <c r="F443" s="68"/>
      <c r="G443" s="69"/>
      <c r="H443" s="67" t="str">
        <f t="shared" ca="1" si="12"/>
        <v/>
      </c>
      <c r="I443" s="74" t="str">
        <f t="shared" si="13"/>
        <v/>
      </c>
      <c r="J443" s="69"/>
    </row>
    <row r="444" spans="1:10" x14ac:dyDescent="0.3">
      <c r="A444" s="69"/>
      <c r="B444" s="69"/>
      <c r="C444" s="69"/>
      <c r="D444" s="69"/>
      <c r="E444" s="68"/>
      <c r="F444" s="68"/>
      <c r="G444" s="69"/>
      <c r="H444" s="67" t="str">
        <f t="shared" ca="1" si="12"/>
        <v/>
      </c>
      <c r="I444" s="74" t="str">
        <f t="shared" si="13"/>
        <v/>
      </c>
      <c r="J444" s="69"/>
    </row>
    <row r="445" spans="1:10" x14ac:dyDescent="0.3">
      <c r="A445" s="69"/>
      <c r="B445" s="69"/>
      <c r="C445" s="69"/>
      <c r="D445" s="69"/>
      <c r="E445" s="68"/>
      <c r="F445" s="68"/>
      <c r="G445" s="69"/>
      <c r="H445" s="67" t="str">
        <f t="shared" ca="1" si="12"/>
        <v/>
      </c>
      <c r="I445" s="74" t="str">
        <f t="shared" si="13"/>
        <v/>
      </c>
      <c r="J445" s="69"/>
    </row>
    <row r="446" spans="1:10" x14ac:dyDescent="0.3">
      <c r="A446" s="69"/>
      <c r="B446" s="69"/>
      <c r="C446" s="69"/>
      <c r="D446" s="69"/>
      <c r="E446" s="68"/>
      <c r="F446" s="68"/>
      <c r="G446" s="69"/>
      <c r="H446" s="67" t="str">
        <f t="shared" ca="1" si="12"/>
        <v/>
      </c>
      <c r="I446" s="74" t="str">
        <f t="shared" si="13"/>
        <v/>
      </c>
      <c r="J446" s="69"/>
    </row>
    <row r="447" spans="1:10" x14ac:dyDescent="0.3">
      <c r="A447" s="69"/>
      <c r="B447" s="69"/>
      <c r="C447" s="69"/>
      <c r="D447" s="69"/>
      <c r="E447" s="68"/>
      <c r="F447" s="68"/>
      <c r="G447" s="69"/>
      <c r="H447" s="67" t="str">
        <f t="shared" ca="1" si="12"/>
        <v/>
      </c>
      <c r="I447" s="74" t="str">
        <f t="shared" si="13"/>
        <v/>
      </c>
      <c r="J447" s="69"/>
    </row>
    <row r="448" spans="1:10" x14ac:dyDescent="0.3">
      <c r="A448" s="69"/>
      <c r="B448" s="69"/>
      <c r="C448" s="69"/>
      <c r="D448" s="69"/>
      <c r="E448" s="68"/>
      <c r="F448" s="68"/>
      <c r="G448" s="69"/>
      <c r="H448" s="67" t="str">
        <f t="shared" ca="1" si="12"/>
        <v/>
      </c>
      <c r="I448" s="74" t="str">
        <f t="shared" si="13"/>
        <v/>
      </c>
      <c r="J448" s="69"/>
    </row>
    <row r="449" spans="1:10" x14ac:dyDescent="0.3">
      <c r="A449" s="69"/>
      <c r="B449" s="69"/>
      <c r="C449" s="69"/>
      <c r="D449" s="69"/>
      <c r="E449" s="68"/>
      <c r="F449" s="68"/>
      <c r="G449" s="69"/>
      <c r="H449" s="67" t="str">
        <f t="shared" ca="1" si="12"/>
        <v/>
      </c>
      <c r="I449" s="74" t="str">
        <f t="shared" si="13"/>
        <v/>
      </c>
      <c r="J449" s="69"/>
    </row>
    <row r="450" spans="1:10" x14ac:dyDescent="0.3">
      <c r="A450" s="69"/>
      <c r="B450" s="69"/>
      <c r="C450" s="69"/>
      <c r="D450" s="69"/>
      <c r="E450" s="68"/>
      <c r="F450" s="68"/>
      <c r="G450" s="69"/>
      <c r="H450" s="67" t="str">
        <f t="shared" ca="1" si="12"/>
        <v/>
      </c>
      <c r="I450" s="74" t="str">
        <f t="shared" si="13"/>
        <v/>
      </c>
      <c r="J450" s="69"/>
    </row>
    <row r="451" spans="1:10" x14ac:dyDescent="0.3">
      <c r="A451" s="69"/>
      <c r="B451" s="69"/>
      <c r="C451" s="69"/>
      <c r="D451" s="69"/>
      <c r="E451" s="68"/>
      <c r="F451" s="68"/>
      <c r="G451" s="69"/>
      <c r="H451" s="67" t="str">
        <f t="shared" ca="1" si="12"/>
        <v/>
      </c>
      <c r="I451" s="74" t="str">
        <f t="shared" si="13"/>
        <v/>
      </c>
      <c r="J451" s="69"/>
    </row>
    <row r="452" spans="1:10" x14ac:dyDescent="0.3">
      <c r="A452" s="69"/>
      <c r="B452" s="69"/>
      <c r="C452" s="69"/>
      <c r="D452" s="69"/>
      <c r="E452" s="68"/>
      <c r="F452" s="68"/>
      <c r="G452" s="69"/>
      <c r="H452" s="67" t="str">
        <f t="shared" ca="1" si="12"/>
        <v/>
      </c>
      <c r="I452" s="74" t="str">
        <f t="shared" si="13"/>
        <v/>
      </c>
      <c r="J452" s="69"/>
    </row>
    <row r="453" spans="1:10" x14ac:dyDescent="0.3">
      <c r="A453" s="69"/>
      <c r="B453" s="69"/>
      <c r="C453" s="69"/>
      <c r="D453" s="69"/>
      <c r="E453" s="68"/>
      <c r="F453" s="68"/>
      <c r="G453" s="69"/>
      <c r="H453" s="67" t="str">
        <f t="shared" ref="H453:H516" ca="1" si="14">IF(E453="","",IF(G453&lt;&gt;"Completed",IF(E453&lt;TODAY(),"Overdue",""),IF(F453&lt;=E453,"Yes","No")))</f>
        <v/>
      </c>
      <c r="I453" s="74" t="str">
        <f t="shared" ref="I453:I504" si="15">IF(OR(E453="",F453=""),"",F453-E453)</f>
        <v/>
      </c>
      <c r="J453" s="69"/>
    </row>
    <row r="454" spans="1:10" x14ac:dyDescent="0.3">
      <c r="A454" s="69"/>
      <c r="B454" s="69"/>
      <c r="C454" s="69"/>
      <c r="D454" s="69"/>
      <c r="E454" s="68"/>
      <c r="F454" s="68"/>
      <c r="G454" s="69"/>
      <c r="H454" s="67" t="str">
        <f t="shared" ca="1" si="14"/>
        <v/>
      </c>
      <c r="I454" s="74" t="str">
        <f t="shared" si="15"/>
        <v/>
      </c>
      <c r="J454" s="69"/>
    </row>
    <row r="455" spans="1:10" x14ac:dyDescent="0.3">
      <c r="A455" s="69"/>
      <c r="B455" s="69"/>
      <c r="C455" s="69"/>
      <c r="D455" s="69"/>
      <c r="E455" s="68"/>
      <c r="F455" s="68"/>
      <c r="G455" s="69"/>
      <c r="H455" s="67" t="str">
        <f t="shared" ca="1" si="14"/>
        <v/>
      </c>
      <c r="I455" s="74" t="str">
        <f t="shared" si="15"/>
        <v/>
      </c>
      <c r="J455" s="69"/>
    </row>
    <row r="456" spans="1:10" x14ac:dyDescent="0.3">
      <c r="A456" s="69"/>
      <c r="B456" s="69"/>
      <c r="C456" s="69"/>
      <c r="D456" s="69"/>
      <c r="E456" s="68"/>
      <c r="F456" s="68"/>
      <c r="G456" s="69"/>
      <c r="H456" s="67" t="str">
        <f t="shared" ca="1" si="14"/>
        <v/>
      </c>
      <c r="I456" s="74" t="str">
        <f t="shared" si="15"/>
        <v/>
      </c>
      <c r="J456" s="69"/>
    </row>
    <row r="457" spans="1:10" x14ac:dyDescent="0.3">
      <c r="A457" s="69"/>
      <c r="B457" s="69"/>
      <c r="C457" s="69"/>
      <c r="D457" s="69"/>
      <c r="E457" s="68"/>
      <c r="F457" s="68"/>
      <c r="G457" s="69"/>
      <c r="H457" s="67" t="str">
        <f t="shared" ca="1" si="14"/>
        <v/>
      </c>
      <c r="I457" s="74" t="str">
        <f t="shared" si="15"/>
        <v/>
      </c>
      <c r="J457" s="69"/>
    </row>
    <row r="458" spans="1:10" x14ac:dyDescent="0.3">
      <c r="A458" s="69"/>
      <c r="B458" s="69"/>
      <c r="C458" s="69"/>
      <c r="D458" s="69"/>
      <c r="E458" s="68"/>
      <c r="F458" s="68"/>
      <c r="G458" s="69"/>
      <c r="H458" s="67" t="str">
        <f t="shared" ca="1" si="14"/>
        <v/>
      </c>
      <c r="I458" s="74" t="str">
        <f t="shared" si="15"/>
        <v/>
      </c>
      <c r="J458" s="69"/>
    </row>
    <row r="459" spans="1:10" x14ac:dyDescent="0.3">
      <c r="A459" s="69"/>
      <c r="B459" s="69"/>
      <c r="C459" s="69"/>
      <c r="D459" s="69"/>
      <c r="E459" s="68"/>
      <c r="F459" s="68"/>
      <c r="G459" s="69"/>
      <c r="H459" s="67" t="str">
        <f t="shared" ca="1" si="14"/>
        <v/>
      </c>
      <c r="I459" s="74" t="str">
        <f t="shared" si="15"/>
        <v/>
      </c>
      <c r="J459" s="69"/>
    </row>
    <row r="460" spans="1:10" x14ac:dyDescent="0.3">
      <c r="A460" s="69"/>
      <c r="B460" s="69"/>
      <c r="C460" s="69"/>
      <c r="D460" s="69"/>
      <c r="E460" s="68"/>
      <c r="F460" s="68"/>
      <c r="G460" s="69"/>
      <c r="H460" s="67" t="str">
        <f t="shared" ca="1" si="14"/>
        <v/>
      </c>
      <c r="I460" s="74" t="str">
        <f t="shared" si="15"/>
        <v/>
      </c>
      <c r="J460" s="69"/>
    </row>
    <row r="461" spans="1:10" x14ac:dyDescent="0.3">
      <c r="A461" s="69"/>
      <c r="B461" s="69"/>
      <c r="C461" s="69"/>
      <c r="D461" s="69"/>
      <c r="E461" s="68"/>
      <c r="F461" s="68"/>
      <c r="G461" s="69"/>
      <c r="H461" s="67" t="str">
        <f t="shared" ca="1" si="14"/>
        <v/>
      </c>
      <c r="I461" s="74" t="str">
        <f t="shared" si="15"/>
        <v/>
      </c>
      <c r="J461" s="69"/>
    </row>
    <row r="462" spans="1:10" x14ac:dyDescent="0.3">
      <c r="A462" s="69"/>
      <c r="B462" s="69"/>
      <c r="C462" s="69"/>
      <c r="D462" s="69"/>
      <c r="E462" s="68"/>
      <c r="F462" s="68"/>
      <c r="G462" s="69"/>
      <c r="H462" s="67" t="str">
        <f t="shared" ca="1" si="14"/>
        <v/>
      </c>
      <c r="I462" s="74" t="str">
        <f t="shared" si="15"/>
        <v/>
      </c>
      <c r="J462" s="69"/>
    </row>
    <row r="463" spans="1:10" x14ac:dyDescent="0.3">
      <c r="A463" s="69"/>
      <c r="B463" s="69"/>
      <c r="C463" s="69"/>
      <c r="D463" s="69"/>
      <c r="E463" s="68"/>
      <c r="F463" s="68"/>
      <c r="G463" s="69"/>
      <c r="H463" s="67" t="str">
        <f t="shared" ca="1" si="14"/>
        <v/>
      </c>
      <c r="I463" s="74" t="str">
        <f t="shared" si="15"/>
        <v/>
      </c>
      <c r="J463" s="69"/>
    </row>
    <row r="464" spans="1:10" x14ac:dyDescent="0.3">
      <c r="A464" s="69"/>
      <c r="B464" s="69"/>
      <c r="C464" s="69"/>
      <c r="D464" s="69"/>
      <c r="E464" s="68"/>
      <c r="F464" s="68"/>
      <c r="G464" s="69"/>
      <c r="H464" s="67" t="str">
        <f t="shared" ca="1" si="14"/>
        <v/>
      </c>
      <c r="I464" s="74" t="str">
        <f t="shared" si="15"/>
        <v/>
      </c>
      <c r="J464" s="69"/>
    </row>
    <row r="465" spans="1:10" x14ac:dyDescent="0.3">
      <c r="A465" s="69"/>
      <c r="B465" s="69"/>
      <c r="C465" s="69"/>
      <c r="D465" s="69"/>
      <c r="E465" s="68"/>
      <c r="F465" s="68"/>
      <c r="G465" s="69"/>
      <c r="H465" s="67" t="str">
        <f t="shared" ca="1" si="14"/>
        <v/>
      </c>
      <c r="I465" s="74" t="str">
        <f t="shared" si="15"/>
        <v/>
      </c>
      <c r="J465" s="69"/>
    </row>
    <row r="466" spans="1:10" x14ac:dyDescent="0.3">
      <c r="A466" s="69"/>
      <c r="B466" s="69"/>
      <c r="C466" s="69"/>
      <c r="D466" s="69"/>
      <c r="E466" s="68"/>
      <c r="F466" s="68"/>
      <c r="G466" s="69"/>
      <c r="H466" s="67" t="str">
        <f t="shared" ca="1" si="14"/>
        <v/>
      </c>
      <c r="I466" s="74" t="str">
        <f t="shared" si="15"/>
        <v/>
      </c>
      <c r="J466" s="69"/>
    </row>
    <row r="467" spans="1:10" x14ac:dyDescent="0.3">
      <c r="A467" s="69"/>
      <c r="B467" s="69"/>
      <c r="C467" s="69"/>
      <c r="D467" s="69"/>
      <c r="E467" s="68"/>
      <c r="F467" s="68"/>
      <c r="G467" s="69"/>
      <c r="H467" s="67" t="str">
        <f t="shared" ca="1" si="14"/>
        <v/>
      </c>
      <c r="I467" s="74" t="str">
        <f t="shared" si="15"/>
        <v/>
      </c>
      <c r="J467" s="69"/>
    </row>
    <row r="468" spans="1:10" x14ac:dyDescent="0.3">
      <c r="A468" s="69"/>
      <c r="B468" s="69"/>
      <c r="C468" s="69"/>
      <c r="D468" s="69"/>
      <c r="E468" s="68"/>
      <c r="F468" s="68"/>
      <c r="G468" s="69"/>
      <c r="H468" s="67" t="str">
        <f t="shared" ca="1" si="14"/>
        <v/>
      </c>
      <c r="I468" s="74" t="str">
        <f t="shared" si="15"/>
        <v/>
      </c>
      <c r="J468" s="69"/>
    </row>
    <row r="469" spans="1:10" x14ac:dyDescent="0.3">
      <c r="A469" s="69"/>
      <c r="B469" s="69"/>
      <c r="C469" s="69"/>
      <c r="D469" s="69"/>
      <c r="E469" s="68"/>
      <c r="F469" s="68"/>
      <c r="G469" s="69"/>
      <c r="H469" s="67" t="str">
        <f t="shared" ca="1" si="14"/>
        <v/>
      </c>
      <c r="I469" s="74" t="str">
        <f t="shared" si="15"/>
        <v/>
      </c>
      <c r="J469" s="69"/>
    </row>
    <row r="470" spans="1:10" x14ac:dyDescent="0.3">
      <c r="A470" s="69"/>
      <c r="B470" s="69"/>
      <c r="C470" s="69"/>
      <c r="D470" s="69"/>
      <c r="E470" s="68"/>
      <c r="F470" s="68"/>
      <c r="G470" s="69"/>
      <c r="H470" s="67" t="str">
        <f t="shared" ca="1" si="14"/>
        <v/>
      </c>
      <c r="I470" s="74" t="str">
        <f t="shared" si="15"/>
        <v/>
      </c>
      <c r="J470" s="69"/>
    </row>
    <row r="471" spans="1:10" x14ac:dyDescent="0.3">
      <c r="A471" s="69"/>
      <c r="B471" s="69"/>
      <c r="C471" s="69"/>
      <c r="D471" s="69"/>
      <c r="E471" s="68"/>
      <c r="F471" s="68"/>
      <c r="G471" s="69"/>
      <c r="H471" s="67" t="str">
        <f t="shared" ca="1" si="14"/>
        <v/>
      </c>
      <c r="I471" s="74" t="str">
        <f t="shared" si="15"/>
        <v/>
      </c>
      <c r="J471" s="69"/>
    </row>
    <row r="472" spans="1:10" x14ac:dyDescent="0.3">
      <c r="A472" s="69"/>
      <c r="B472" s="69"/>
      <c r="C472" s="69"/>
      <c r="D472" s="69"/>
      <c r="E472" s="68"/>
      <c r="F472" s="68"/>
      <c r="G472" s="69"/>
      <c r="H472" s="67" t="str">
        <f t="shared" ca="1" si="14"/>
        <v/>
      </c>
      <c r="I472" s="74" t="str">
        <f t="shared" si="15"/>
        <v/>
      </c>
      <c r="J472" s="69"/>
    </row>
    <row r="473" spans="1:10" x14ac:dyDescent="0.3">
      <c r="A473" s="69"/>
      <c r="B473" s="69"/>
      <c r="C473" s="69"/>
      <c r="D473" s="69"/>
      <c r="E473" s="68"/>
      <c r="F473" s="68"/>
      <c r="G473" s="69"/>
      <c r="H473" s="67" t="str">
        <f t="shared" ca="1" si="14"/>
        <v/>
      </c>
      <c r="I473" s="74" t="str">
        <f t="shared" si="15"/>
        <v/>
      </c>
      <c r="J473" s="69"/>
    </row>
    <row r="474" spans="1:10" x14ac:dyDescent="0.3">
      <c r="A474" s="69"/>
      <c r="B474" s="69"/>
      <c r="C474" s="69"/>
      <c r="D474" s="69"/>
      <c r="E474" s="68"/>
      <c r="F474" s="68"/>
      <c r="G474" s="69"/>
      <c r="H474" s="67" t="str">
        <f t="shared" ca="1" si="14"/>
        <v/>
      </c>
      <c r="I474" s="74" t="str">
        <f t="shared" si="15"/>
        <v/>
      </c>
      <c r="J474" s="69"/>
    </row>
    <row r="475" spans="1:10" x14ac:dyDescent="0.3">
      <c r="A475" s="69"/>
      <c r="B475" s="69"/>
      <c r="C475" s="69"/>
      <c r="D475" s="69"/>
      <c r="E475" s="68"/>
      <c r="F475" s="68"/>
      <c r="G475" s="69"/>
      <c r="H475" s="67" t="str">
        <f t="shared" ca="1" si="14"/>
        <v/>
      </c>
      <c r="I475" s="74" t="str">
        <f t="shared" si="15"/>
        <v/>
      </c>
      <c r="J475" s="69"/>
    </row>
    <row r="476" spans="1:10" x14ac:dyDescent="0.3">
      <c r="A476" s="69"/>
      <c r="B476" s="69"/>
      <c r="C476" s="69"/>
      <c r="D476" s="69"/>
      <c r="E476" s="68"/>
      <c r="F476" s="68"/>
      <c r="G476" s="69"/>
      <c r="H476" s="67" t="str">
        <f t="shared" ca="1" si="14"/>
        <v/>
      </c>
      <c r="I476" s="74" t="str">
        <f t="shared" si="15"/>
        <v/>
      </c>
      <c r="J476" s="69"/>
    </row>
    <row r="477" spans="1:10" x14ac:dyDescent="0.3">
      <c r="A477" s="69"/>
      <c r="B477" s="69"/>
      <c r="C477" s="69"/>
      <c r="D477" s="69"/>
      <c r="E477" s="68"/>
      <c r="F477" s="68"/>
      <c r="G477" s="69"/>
      <c r="H477" s="67" t="str">
        <f t="shared" ca="1" si="14"/>
        <v/>
      </c>
      <c r="I477" s="74" t="str">
        <f t="shared" si="15"/>
        <v/>
      </c>
      <c r="J477" s="69"/>
    </row>
    <row r="478" spans="1:10" x14ac:dyDescent="0.3">
      <c r="A478" s="69"/>
      <c r="B478" s="69"/>
      <c r="C478" s="69"/>
      <c r="D478" s="69"/>
      <c r="E478" s="68"/>
      <c r="F478" s="68"/>
      <c r="G478" s="69"/>
      <c r="H478" s="67" t="str">
        <f t="shared" ca="1" si="14"/>
        <v/>
      </c>
      <c r="I478" s="74" t="str">
        <f t="shared" si="15"/>
        <v/>
      </c>
      <c r="J478" s="69"/>
    </row>
    <row r="479" spans="1:10" x14ac:dyDescent="0.3">
      <c r="A479" s="69"/>
      <c r="B479" s="69"/>
      <c r="C479" s="69"/>
      <c r="D479" s="69"/>
      <c r="E479" s="68"/>
      <c r="F479" s="68"/>
      <c r="G479" s="69"/>
      <c r="H479" s="67" t="str">
        <f t="shared" ca="1" si="14"/>
        <v/>
      </c>
      <c r="I479" s="74" t="str">
        <f t="shared" si="15"/>
        <v/>
      </c>
      <c r="J479" s="69"/>
    </row>
    <row r="480" spans="1:10" x14ac:dyDescent="0.3">
      <c r="A480" s="69"/>
      <c r="B480" s="69"/>
      <c r="C480" s="69"/>
      <c r="D480" s="69"/>
      <c r="E480" s="68"/>
      <c r="F480" s="68"/>
      <c r="G480" s="69"/>
      <c r="H480" s="67" t="str">
        <f t="shared" ca="1" si="14"/>
        <v/>
      </c>
      <c r="I480" s="74" t="str">
        <f t="shared" si="15"/>
        <v/>
      </c>
      <c r="J480" s="69"/>
    </row>
    <row r="481" spans="1:10" x14ac:dyDescent="0.3">
      <c r="A481" s="69"/>
      <c r="B481" s="69"/>
      <c r="C481" s="69"/>
      <c r="D481" s="69"/>
      <c r="E481" s="68"/>
      <c r="F481" s="68"/>
      <c r="G481" s="69"/>
      <c r="H481" s="67" t="str">
        <f t="shared" ca="1" si="14"/>
        <v/>
      </c>
      <c r="I481" s="74" t="str">
        <f t="shared" si="15"/>
        <v/>
      </c>
      <c r="J481" s="69"/>
    </row>
    <row r="482" spans="1:10" x14ac:dyDescent="0.3">
      <c r="A482" s="69"/>
      <c r="B482" s="69"/>
      <c r="C482" s="69"/>
      <c r="D482" s="69"/>
      <c r="E482" s="68"/>
      <c r="F482" s="68"/>
      <c r="G482" s="69"/>
      <c r="H482" s="67" t="str">
        <f t="shared" ca="1" si="14"/>
        <v/>
      </c>
      <c r="I482" s="74" t="str">
        <f t="shared" si="15"/>
        <v/>
      </c>
      <c r="J482" s="69"/>
    </row>
    <row r="483" spans="1:10" x14ac:dyDescent="0.3">
      <c r="A483" s="69"/>
      <c r="B483" s="69"/>
      <c r="C483" s="69"/>
      <c r="D483" s="69"/>
      <c r="E483" s="68"/>
      <c r="F483" s="68"/>
      <c r="G483" s="69"/>
      <c r="H483" s="67" t="str">
        <f t="shared" ca="1" si="14"/>
        <v/>
      </c>
      <c r="I483" s="74" t="str">
        <f t="shared" si="15"/>
        <v/>
      </c>
      <c r="J483" s="69"/>
    </row>
    <row r="484" spans="1:10" x14ac:dyDescent="0.3">
      <c r="A484" s="69"/>
      <c r="B484" s="69"/>
      <c r="C484" s="69"/>
      <c r="D484" s="69"/>
      <c r="E484" s="68"/>
      <c r="F484" s="68"/>
      <c r="G484" s="69"/>
      <c r="H484" s="67" t="str">
        <f t="shared" ca="1" si="14"/>
        <v/>
      </c>
      <c r="I484" s="74" t="str">
        <f t="shared" si="15"/>
        <v/>
      </c>
      <c r="J484" s="69"/>
    </row>
    <row r="485" spans="1:10" x14ac:dyDescent="0.3">
      <c r="A485" s="69"/>
      <c r="B485" s="69"/>
      <c r="C485" s="69"/>
      <c r="D485" s="69"/>
      <c r="E485" s="68"/>
      <c r="F485" s="68"/>
      <c r="G485" s="69"/>
      <c r="H485" s="67" t="str">
        <f t="shared" ca="1" si="14"/>
        <v/>
      </c>
      <c r="I485" s="74" t="str">
        <f t="shared" si="15"/>
        <v/>
      </c>
      <c r="J485" s="69"/>
    </row>
    <row r="486" spans="1:10" x14ac:dyDescent="0.3">
      <c r="A486" s="69"/>
      <c r="B486" s="69"/>
      <c r="C486" s="69"/>
      <c r="D486" s="69"/>
      <c r="E486" s="68"/>
      <c r="F486" s="68"/>
      <c r="G486" s="69"/>
      <c r="H486" s="67" t="str">
        <f t="shared" ca="1" si="14"/>
        <v/>
      </c>
      <c r="I486" s="74" t="str">
        <f t="shared" si="15"/>
        <v/>
      </c>
      <c r="J486" s="69"/>
    </row>
    <row r="487" spans="1:10" x14ac:dyDescent="0.3">
      <c r="A487" s="69"/>
      <c r="B487" s="69"/>
      <c r="C487" s="69"/>
      <c r="D487" s="69"/>
      <c r="E487" s="68"/>
      <c r="F487" s="68"/>
      <c r="G487" s="69"/>
      <c r="H487" s="67" t="str">
        <f t="shared" ca="1" si="14"/>
        <v/>
      </c>
      <c r="I487" s="74" t="str">
        <f t="shared" si="15"/>
        <v/>
      </c>
      <c r="J487" s="69"/>
    </row>
    <row r="488" spans="1:10" x14ac:dyDescent="0.3">
      <c r="A488" s="69"/>
      <c r="B488" s="69"/>
      <c r="C488" s="69"/>
      <c r="D488" s="69"/>
      <c r="E488" s="68"/>
      <c r="F488" s="68"/>
      <c r="G488" s="69"/>
      <c r="H488" s="67" t="str">
        <f t="shared" ca="1" si="14"/>
        <v/>
      </c>
      <c r="I488" s="74" t="str">
        <f t="shared" si="15"/>
        <v/>
      </c>
      <c r="J488" s="69"/>
    </row>
    <row r="489" spans="1:10" x14ac:dyDescent="0.3">
      <c r="A489" s="69"/>
      <c r="B489" s="69"/>
      <c r="C489" s="69"/>
      <c r="D489" s="69"/>
      <c r="E489" s="68"/>
      <c r="F489" s="68"/>
      <c r="G489" s="69"/>
      <c r="H489" s="67" t="str">
        <f t="shared" ca="1" si="14"/>
        <v/>
      </c>
      <c r="I489" s="74" t="str">
        <f t="shared" si="15"/>
        <v/>
      </c>
      <c r="J489" s="69"/>
    </row>
    <row r="490" spans="1:10" x14ac:dyDescent="0.3">
      <c r="A490" s="69"/>
      <c r="B490" s="69"/>
      <c r="C490" s="69"/>
      <c r="D490" s="69"/>
      <c r="E490" s="68"/>
      <c r="F490" s="68"/>
      <c r="G490" s="69"/>
      <c r="H490" s="67" t="str">
        <f t="shared" ca="1" si="14"/>
        <v/>
      </c>
      <c r="I490" s="74" t="str">
        <f t="shared" si="15"/>
        <v/>
      </c>
      <c r="J490" s="69"/>
    </row>
    <row r="491" spans="1:10" x14ac:dyDescent="0.3">
      <c r="A491" s="69"/>
      <c r="B491" s="69"/>
      <c r="C491" s="69"/>
      <c r="D491" s="69"/>
      <c r="E491" s="68"/>
      <c r="F491" s="68"/>
      <c r="G491" s="69"/>
      <c r="H491" s="67" t="str">
        <f t="shared" ca="1" si="14"/>
        <v/>
      </c>
      <c r="I491" s="74" t="str">
        <f t="shared" si="15"/>
        <v/>
      </c>
      <c r="J491" s="69"/>
    </row>
    <row r="492" spans="1:10" x14ac:dyDescent="0.3">
      <c r="A492" s="69"/>
      <c r="B492" s="69"/>
      <c r="C492" s="69"/>
      <c r="D492" s="69"/>
      <c r="E492" s="68"/>
      <c r="F492" s="68"/>
      <c r="G492" s="69"/>
      <c r="H492" s="67" t="str">
        <f t="shared" ca="1" si="14"/>
        <v/>
      </c>
      <c r="I492" s="74" t="str">
        <f t="shared" si="15"/>
        <v/>
      </c>
      <c r="J492" s="69"/>
    </row>
    <row r="493" spans="1:10" x14ac:dyDescent="0.3">
      <c r="A493" s="69"/>
      <c r="B493" s="69"/>
      <c r="C493" s="69"/>
      <c r="D493" s="69"/>
      <c r="E493" s="68"/>
      <c r="F493" s="68"/>
      <c r="G493" s="69"/>
      <c r="H493" s="67" t="str">
        <f t="shared" ca="1" si="14"/>
        <v/>
      </c>
      <c r="I493" s="74" t="str">
        <f t="shared" si="15"/>
        <v/>
      </c>
      <c r="J493" s="69"/>
    </row>
    <row r="494" spans="1:10" x14ac:dyDescent="0.3">
      <c r="A494" s="69"/>
      <c r="B494" s="69"/>
      <c r="C494" s="69"/>
      <c r="D494" s="69"/>
      <c r="E494" s="68"/>
      <c r="F494" s="68"/>
      <c r="G494" s="69"/>
      <c r="H494" s="67" t="str">
        <f t="shared" ca="1" si="14"/>
        <v/>
      </c>
      <c r="I494" s="74" t="str">
        <f t="shared" si="15"/>
        <v/>
      </c>
      <c r="J494" s="69"/>
    </row>
    <row r="495" spans="1:10" x14ac:dyDescent="0.3">
      <c r="A495" s="69"/>
      <c r="B495" s="69"/>
      <c r="C495" s="69"/>
      <c r="D495" s="69"/>
      <c r="E495" s="68"/>
      <c r="F495" s="68"/>
      <c r="G495" s="69"/>
      <c r="H495" s="67" t="str">
        <f t="shared" ca="1" si="14"/>
        <v/>
      </c>
      <c r="I495" s="74" t="str">
        <f t="shared" si="15"/>
        <v/>
      </c>
      <c r="J495" s="69"/>
    </row>
    <row r="496" spans="1:10" x14ac:dyDescent="0.3">
      <c r="A496" s="69"/>
      <c r="B496" s="69"/>
      <c r="C496" s="69"/>
      <c r="D496" s="69"/>
      <c r="E496" s="68"/>
      <c r="F496" s="68"/>
      <c r="G496" s="69"/>
      <c r="H496" s="67" t="str">
        <f t="shared" ca="1" si="14"/>
        <v/>
      </c>
      <c r="I496" s="74" t="str">
        <f t="shared" si="15"/>
        <v/>
      </c>
      <c r="J496" s="69"/>
    </row>
    <row r="497" spans="1:10" x14ac:dyDescent="0.3">
      <c r="A497" s="69"/>
      <c r="B497" s="69"/>
      <c r="C497" s="69"/>
      <c r="D497" s="69"/>
      <c r="E497" s="68"/>
      <c r="F497" s="68"/>
      <c r="G497" s="69"/>
      <c r="H497" s="67" t="str">
        <f t="shared" ca="1" si="14"/>
        <v/>
      </c>
      <c r="I497" s="74" t="str">
        <f t="shared" si="15"/>
        <v/>
      </c>
      <c r="J497" s="69"/>
    </row>
    <row r="498" spans="1:10" x14ac:dyDescent="0.3">
      <c r="A498" s="69"/>
      <c r="B498" s="69"/>
      <c r="C498" s="69"/>
      <c r="D498" s="69"/>
      <c r="E498" s="68"/>
      <c r="F498" s="68"/>
      <c r="G498" s="69"/>
      <c r="H498" s="67" t="str">
        <f t="shared" ca="1" si="14"/>
        <v/>
      </c>
      <c r="I498" s="74" t="str">
        <f t="shared" si="15"/>
        <v/>
      </c>
      <c r="J498" s="69"/>
    </row>
    <row r="499" spans="1:10" x14ac:dyDescent="0.3">
      <c r="A499" s="69"/>
      <c r="B499" s="69"/>
      <c r="C499" s="69"/>
      <c r="D499" s="69"/>
      <c r="E499" s="68"/>
      <c r="F499" s="68"/>
      <c r="G499" s="69"/>
      <c r="H499" s="67" t="str">
        <f t="shared" ca="1" si="14"/>
        <v/>
      </c>
      <c r="I499" s="74" t="str">
        <f t="shared" si="15"/>
        <v/>
      </c>
      <c r="J499" s="69"/>
    </row>
    <row r="500" spans="1:10" x14ac:dyDescent="0.3">
      <c r="A500" s="69"/>
      <c r="B500" s="69"/>
      <c r="C500" s="69"/>
      <c r="D500" s="69"/>
      <c r="E500" s="68"/>
      <c r="F500" s="68"/>
      <c r="G500" s="69"/>
      <c r="H500" s="67" t="str">
        <f t="shared" ca="1" si="14"/>
        <v/>
      </c>
      <c r="I500" s="74" t="str">
        <f t="shared" si="15"/>
        <v/>
      </c>
      <c r="J500" s="69"/>
    </row>
    <row r="501" spans="1:10" x14ac:dyDescent="0.3">
      <c r="A501" s="69"/>
      <c r="B501" s="69"/>
      <c r="C501" s="69"/>
      <c r="D501" s="69"/>
      <c r="E501" s="68"/>
      <c r="F501" s="68"/>
      <c r="G501" s="69"/>
      <c r="H501" s="67" t="str">
        <f t="shared" ca="1" si="14"/>
        <v/>
      </c>
      <c r="I501" s="74" t="str">
        <f t="shared" si="15"/>
        <v/>
      </c>
      <c r="J501" s="69"/>
    </row>
    <row r="502" spans="1:10" x14ac:dyDescent="0.3">
      <c r="A502" s="69"/>
      <c r="B502" s="69"/>
      <c r="C502" s="69"/>
      <c r="D502" s="69"/>
      <c r="E502" s="68"/>
      <c r="F502" s="68"/>
      <c r="G502" s="69"/>
      <c r="H502" s="67" t="str">
        <f t="shared" ca="1" si="14"/>
        <v/>
      </c>
      <c r="I502" s="74" t="str">
        <f t="shared" si="15"/>
        <v/>
      </c>
      <c r="J502" s="69"/>
    </row>
    <row r="503" spans="1:10" x14ac:dyDescent="0.3">
      <c r="A503" s="69"/>
      <c r="B503" s="69"/>
      <c r="C503" s="69"/>
      <c r="D503" s="69"/>
      <c r="E503" s="68"/>
      <c r="F503" s="68"/>
      <c r="G503" s="69"/>
      <c r="H503" s="67" t="str">
        <f t="shared" ca="1" si="14"/>
        <v/>
      </c>
      <c r="I503" s="74" t="str">
        <f t="shared" si="15"/>
        <v/>
      </c>
      <c r="J503" s="69"/>
    </row>
    <row r="504" spans="1:10" x14ac:dyDescent="0.3">
      <c r="A504" s="69"/>
      <c r="B504" s="69"/>
      <c r="C504" s="69"/>
      <c r="D504" s="69"/>
      <c r="E504" s="68"/>
      <c r="F504" s="68"/>
      <c r="G504" s="69"/>
      <c r="H504" s="67" t="str">
        <f t="shared" ca="1" si="14"/>
        <v/>
      </c>
      <c r="I504" s="74" t="str">
        <f t="shared" si="15"/>
        <v/>
      </c>
      <c r="J504" s="69"/>
    </row>
  </sheetData>
  <conditionalFormatting sqref="H5:H504">
    <cfRule type="cellIs" dxfId="2" priority="2" operator="equal">
      <formula>"Yes"</formula>
    </cfRule>
    <cfRule type="cellIs" dxfId="1" priority="3" operator="equal">
      <formula>"No"</formula>
    </cfRule>
    <cfRule type="cellIs" dxfId="0" priority="4" operator="equal">
      <formula>"Overdue"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entry" error="Pick a value from the list" xr:uid="{00000000-0002-0000-0E00-000000000000}">
          <x14:formula1>
            <xm:f>Projects!$A$5:$A$104</xm:f>
          </x14:formula1>
          <x14:formula2>
            <xm:f>0</xm:f>
          </x14:formula2>
          <xm:sqref>B5:B504</xm:sqref>
        </x14:dataValidation>
        <x14:dataValidation type="list" allowBlank="1" errorTitle="Invalid entry" error="Pick a value from the list" xr:uid="{00000000-0002-0000-0E00-000001000000}">
          <x14:formula1>
            <xm:f>Settings!$M$4:$M$6</xm:f>
          </x14:formula1>
          <x14:formula2>
            <xm:f>0</xm:f>
          </x14:formula2>
          <xm:sqref>G5:G504</xm:sqref>
        </x14:dataValidation>
        <x14:dataValidation type="list" allowBlank="1" errorTitle="Invalid entry" error="Pick a value from the list" xr:uid="{00000000-0002-0000-0E00-000002000000}">
          <x14:formula1>
            <xm:f>Settings!$P$4:$P$30</xm:f>
          </x14:formula1>
          <x14:formula2>
            <xm:f>0</xm:f>
          </x14:formula2>
          <xm:sqref>D5:D504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48235"/>
  </sheetPr>
  <dimension ref="A1:J5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12" customWidth="1"/>
    <col min="2" max="2" width="10" customWidth="1"/>
    <col min="3" max="3" width="32" customWidth="1"/>
    <col min="4" max="5" width="12" customWidth="1"/>
    <col min="6" max="6" width="10" customWidth="1"/>
    <col min="7" max="7" width="12" customWidth="1"/>
    <col min="8" max="8" width="10" customWidth="1"/>
    <col min="9" max="9" width="12" customWidth="1"/>
    <col min="10" max="10" width="40" customWidth="1"/>
  </cols>
  <sheetData>
    <row r="1" spans="1:10" ht="21" x14ac:dyDescent="0.4">
      <c r="A1" s="40" t="s">
        <v>688</v>
      </c>
    </row>
    <row r="2" spans="1:10" x14ac:dyDescent="0.3">
      <c r="A2" s="41" t="s">
        <v>689</v>
      </c>
    </row>
    <row r="4" spans="1:10" ht="31.5" customHeight="1" x14ac:dyDescent="0.3">
      <c r="A4" s="42" t="s">
        <v>690</v>
      </c>
      <c r="B4" s="42" t="s">
        <v>308</v>
      </c>
      <c r="C4" s="42" t="s">
        <v>691</v>
      </c>
      <c r="D4" s="42" t="s">
        <v>692</v>
      </c>
      <c r="E4" s="42" t="s">
        <v>693</v>
      </c>
      <c r="F4" s="42" t="s">
        <v>694</v>
      </c>
      <c r="G4" s="42" t="s">
        <v>695</v>
      </c>
      <c r="H4" s="42" t="s">
        <v>696</v>
      </c>
      <c r="I4" s="42" t="s">
        <v>697</v>
      </c>
      <c r="J4" s="42" t="s">
        <v>698</v>
      </c>
    </row>
    <row r="5" spans="1:10" x14ac:dyDescent="0.3">
      <c r="A5" s="69" t="s">
        <v>699</v>
      </c>
      <c r="B5" s="69" t="s">
        <v>345</v>
      </c>
      <c r="C5" s="69" t="s">
        <v>700</v>
      </c>
      <c r="D5" s="68">
        <v>46038</v>
      </c>
      <c r="E5" s="69" t="s">
        <v>188</v>
      </c>
      <c r="F5" s="69">
        <v>0</v>
      </c>
      <c r="G5" s="69" t="s">
        <v>328</v>
      </c>
      <c r="H5" s="69">
        <v>0</v>
      </c>
      <c r="I5" s="73">
        <v>0</v>
      </c>
      <c r="J5" s="69"/>
    </row>
    <row r="6" spans="1:10" x14ac:dyDescent="0.3">
      <c r="A6" s="69" t="s">
        <v>701</v>
      </c>
      <c r="B6" s="69" t="s">
        <v>329</v>
      </c>
      <c r="C6" s="69" t="s">
        <v>702</v>
      </c>
      <c r="D6" s="68">
        <v>46075</v>
      </c>
      <c r="E6" s="69" t="s">
        <v>188</v>
      </c>
      <c r="F6" s="69">
        <v>0</v>
      </c>
      <c r="G6" s="69" t="s">
        <v>328</v>
      </c>
      <c r="H6" s="69">
        <v>0</v>
      </c>
      <c r="I6" s="73">
        <v>0</v>
      </c>
      <c r="J6" s="69"/>
    </row>
    <row r="7" spans="1:10" x14ac:dyDescent="0.3">
      <c r="A7" s="69" t="s">
        <v>703</v>
      </c>
      <c r="B7" s="69" t="s">
        <v>271</v>
      </c>
      <c r="C7" s="69" t="s">
        <v>704</v>
      </c>
      <c r="D7" s="68">
        <v>46102</v>
      </c>
      <c r="E7" s="69" t="s">
        <v>159</v>
      </c>
      <c r="F7" s="69">
        <v>0</v>
      </c>
      <c r="G7" s="69" t="s">
        <v>328</v>
      </c>
      <c r="H7" s="69">
        <v>0</v>
      </c>
      <c r="I7" s="73">
        <v>0</v>
      </c>
      <c r="J7" s="69"/>
    </row>
    <row r="8" spans="1:10" x14ac:dyDescent="0.3">
      <c r="A8" s="69" t="s">
        <v>705</v>
      </c>
      <c r="B8" s="69" t="s">
        <v>341</v>
      </c>
      <c r="C8" s="69" t="s">
        <v>706</v>
      </c>
      <c r="D8" s="68">
        <v>46130</v>
      </c>
      <c r="E8" s="69" t="s">
        <v>201</v>
      </c>
      <c r="F8" s="69">
        <v>0</v>
      </c>
      <c r="G8" s="69" t="s">
        <v>328</v>
      </c>
      <c r="H8" s="69">
        <v>0</v>
      </c>
      <c r="I8" s="73">
        <v>0</v>
      </c>
      <c r="J8" s="69"/>
    </row>
    <row r="9" spans="1:10" x14ac:dyDescent="0.3">
      <c r="A9" s="69" t="s">
        <v>707</v>
      </c>
      <c r="B9" s="69" t="s">
        <v>332</v>
      </c>
      <c r="C9" s="69" t="s">
        <v>704</v>
      </c>
      <c r="D9" s="68">
        <v>46150</v>
      </c>
      <c r="E9" s="69" t="s">
        <v>194</v>
      </c>
      <c r="F9" s="69">
        <v>0</v>
      </c>
      <c r="G9" s="69" t="s">
        <v>328</v>
      </c>
      <c r="H9" s="69">
        <v>0</v>
      </c>
      <c r="I9" s="73">
        <v>0</v>
      </c>
      <c r="J9" s="69"/>
    </row>
    <row r="10" spans="1:10" x14ac:dyDescent="0.3">
      <c r="A10" s="69" t="s">
        <v>708</v>
      </c>
      <c r="B10" s="69" t="s">
        <v>341</v>
      </c>
      <c r="C10" s="69" t="s">
        <v>706</v>
      </c>
      <c r="D10" s="68">
        <v>46196</v>
      </c>
      <c r="E10" s="69" t="s">
        <v>188</v>
      </c>
      <c r="F10" s="69">
        <v>0</v>
      </c>
      <c r="G10" s="69" t="s">
        <v>328</v>
      </c>
      <c r="H10" s="69">
        <v>0</v>
      </c>
      <c r="I10" s="73">
        <v>0</v>
      </c>
      <c r="J10" s="69"/>
    </row>
    <row r="11" spans="1:10" x14ac:dyDescent="0.3">
      <c r="A11" s="69" t="s">
        <v>709</v>
      </c>
      <c r="B11" s="69" t="s">
        <v>335</v>
      </c>
      <c r="C11" s="69" t="s">
        <v>700</v>
      </c>
      <c r="D11" s="68">
        <v>46218</v>
      </c>
      <c r="E11" s="69" t="s">
        <v>188</v>
      </c>
      <c r="F11" s="69">
        <v>0</v>
      </c>
      <c r="G11" s="69" t="s">
        <v>328</v>
      </c>
      <c r="H11" s="69">
        <v>0</v>
      </c>
      <c r="I11" s="73">
        <v>0</v>
      </c>
      <c r="J11" s="69"/>
    </row>
    <row r="12" spans="1:10" x14ac:dyDescent="0.3">
      <c r="A12" s="69" t="s">
        <v>710</v>
      </c>
      <c r="B12" s="69" t="s">
        <v>271</v>
      </c>
      <c r="C12" s="69" t="s">
        <v>700</v>
      </c>
      <c r="D12" s="68">
        <v>46245</v>
      </c>
      <c r="E12" s="69" t="s">
        <v>188</v>
      </c>
      <c r="F12" s="69">
        <v>0</v>
      </c>
      <c r="G12" s="69" t="s">
        <v>328</v>
      </c>
      <c r="H12" s="69">
        <v>0</v>
      </c>
      <c r="I12" s="73">
        <v>0</v>
      </c>
      <c r="J12" s="69"/>
    </row>
    <row r="13" spans="1:10" x14ac:dyDescent="0.3">
      <c r="A13" s="69" t="s">
        <v>711</v>
      </c>
      <c r="B13" s="69" t="s">
        <v>292</v>
      </c>
      <c r="C13" s="69" t="s">
        <v>712</v>
      </c>
      <c r="D13" s="68">
        <v>46283</v>
      </c>
      <c r="E13" s="69" t="s">
        <v>183</v>
      </c>
      <c r="F13" s="69">
        <v>0</v>
      </c>
      <c r="G13" s="69" t="s">
        <v>328</v>
      </c>
      <c r="H13" s="69">
        <v>0</v>
      </c>
      <c r="I13" s="73">
        <v>0</v>
      </c>
      <c r="J13" s="69"/>
    </row>
    <row r="14" spans="1:10" x14ac:dyDescent="0.3">
      <c r="A14" s="69" t="s">
        <v>713</v>
      </c>
      <c r="B14" s="69" t="s">
        <v>341</v>
      </c>
      <c r="C14" s="69" t="s">
        <v>714</v>
      </c>
      <c r="D14" s="68">
        <v>46317</v>
      </c>
      <c r="E14" s="69" t="s">
        <v>201</v>
      </c>
      <c r="F14" s="69">
        <v>0</v>
      </c>
      <c r="G14" s="69" t="s">
        <v>328</v>
      </c>
      <c r="H14" s="69">
        <v>0</v>
      </c>
      <c r="I14" s="73">
        <v>0</v>
      </c>
      <c r="J14" s="69"/>
    </row>
    <row r="15" spans="1:10" x14ac:dyDescent="0.3">
      <c r="A15" s="69" t="s">
        <v>715</v>
      </c>
      <c r="B15" s="69" t="s">
        <v>341</v>
      </c>
      <c r="C15" s="69" t="s">
        <v>714</v>
      </c>
      <c r="D15" s="68">
        <v>46034</v>
      </c>
      <c r="E15" s="69" t="s">
        <v>183</v>
      </c>
      <c r="F15" s="69">
        <v>0</v>
      </c>
      <c r="G15" s="69" t="s">
        <v>328</v>
      </c>
      <c r="H15" s="69">
        <v>0</v>
      </c>
      <c r="I15" s="73">
        <v>0</v>
      </c>
      <c r="J15" s="69"/>
    </row>
    <row r="16" spans="1:10" x14ac:dyDescent="0.3">
      <c r="A16" s="69" t="s">
        <v>716</v>
      </c>
      <c r="B16" s="69" t="s">
        <v>329</v>
      </c>
      <c r="C16" s="69" t="s">
        <v>704</v>
      </c>
      <c r="D16" s="68">
        <v>46067</v>
      </c>
      <c r="E16" s="69" t="s">
        <v>194</v>
      </c>
      <c r="F16" s="69">
        <v>0</v>
      </c>
      <c r="G16" s="69" t="s">
        <v>328</v>
      </c>
      <c r="H16" s="69">
        <v>0</v>
      </c>
      <c r="I16" s="73">
        <v>0</v>
      </c>
      <c r="J16" s="69"/>
    </row>
    <row r="17" spans="1:10" x14ac:dyDescent="0.3">
      <c r="A17" s="69" t="s">
        <v>717</v>
      </c>
      <c r="B17" s="69" t="s">
        <v>271</v>
      </c>
      <c r="C17" s="69" t="s">
        <v>718</v>
      </c>
      <c r="D17" s="68">
        <v>46092</v>
      </c>
      <c r="E17" s="69" t="s">
        <v>164</v>
      </c>
      <c r="F17" s="69">
        <v>0</v>
      </c>
      <c r="G17" s="69" t="s">
        <v>328</v>
      </c>
      <c r="H17" s="69">
        <v>0</v>
      </c>
      <c r="I17" s="73">
        <v>0</v>
      </c>
      <c r="J17" s="69"/>
    </row>
    <row r="18" spans="1:10" x14ac:dyDescent="0.3">
      <c r="A18" s="69" t="s">
        <v>719</v>
      </c>
      <c r="B18" s="69" t="s">
        <v>335</v>
      </c>
      <c r="C18" s="69" t="s">
        <v>720</v>
      </c>
      <c r="D18" s="68">
        <v>46133</v>
      </c>
      <c r="E18" s="69" t="s">
        <v>159</v>
      </c>
      <c r="F18" s="69">
        <v>0</v>
      </c>
      <c r="G18" s="69" t="s">
        <v>328</v>
      </c>
      <c r="H18" s="69">
        <v>0</v>
      </c>
      <c r="I18" s="73">
        <v>0</v>
      </c>
      <c r="J18" s="69"/>
    </row>
    <row r="19" spans="1:10" x14ac:dyDescent="0.3">
      <c r="A19" s="69" t="s">
        <v>721</v>
      </c>
      <c r="B19" s="69" t="s">
        <v>292</v>
      </c>
      <c r="C19" s="69" t="s">
        <v>702</v>
      </c>
      <c r="D19" s="68">
        <v>46164</v>
      </c>
      <c r="E19" s="69" t="s">
        <v>164</v>
      </c>
      <c r="F19" s="69">
        <v>0</v>
      </c>
      <c r="G19" s="69" t="s">
        <v>328</v>
      </c>
      <c r="H19" s="69">
        <v>0</v>
      </c>
      <c r="I19" s="73">
        <v>0</v>
      </c>
      <c r="J19" s="69"/>
    </row>
    <row r="20" spans="1:10" x14ac:dyDescent="0.3">
      <c r="A20" s="69" t="s">
        <v>722</v>
      </c>
      <c r="B20" s="69" t="s">
        <v>345</v>
      </c>
      <c r="C20" s="69" t="s">
        <v>702</v>
      </c>
      <c r="D20" s="68">
        <v>46178</v>
      </c>
      <c r="E20" s="69" t="s">
        <v>170</v>
      </c>
      <c r="F20" s="69">
        <v>0</v>
      </c>
      <c r="G20" s="69" t="s">
        <v>328</v>
      </c>
      <c r="H20" s="69">
        <v>0</v>
      </c>
      <c r="I20" s="73">
        <v>0</v>
      </c>
      <c r="J20" s="69"/>
    </row>
    <row r="21" spans="1:10" x14ac:dyDescent="0.3">
      <c r="A21" s="69" t="s">
        <v>723</v>
      </c>
      <c r="B21" s="69" t="s">
        <v>292</v>
      </c>
      <c r="C21" s="69" t="s">
        <v>706</v>
      </c>
      <c r="D21" s="68">
        <v>46225</v>
      </c>
      <c r="E21" s="69" t="s">
        <v>159</v>
      </c>
      <c r="F21" s="69">
        <v>0</v>
      </c>
      <c r="G21" s="69" t="s">
        <v>328</v>
      </c>
      <c r="H21" s="69">
        <v>0</v>
      </c>
      <c r="I21" s="73">
        <v>0</v>
      </c>
      <c r="J21" s="69"/>
    </row>
    <row r="22" spans="1:10" x14ac:dyDescent="0.3">
      <c r="A22" s="69" t="s">
        <v>724</v>
      </c>
      <c r="B22" s="69" t="s">
        <v>332</v>
      </c>
      <c r="C22" s="69" t="s">
        <v>700</v>
      </c>
      <c r="D22" s="68">
        <v>46253</v>
      </c>
      <c r="E22" s="69" t="s">
        <v>183</v>
      </c>
      <c r="F22" s="69">
        <v>0</v>
      </c>
      <c r="G22" s="69" t="s">
        <v>328</v>
      </c>
      <c r="H22" s="69">
        <v>0</v>
      </c>
      <c r="I22" s="73">
        <v>0</v>
      </c>
      <c r="J22" s="69"/>
    </row>
    <row r="23" spans="1:10" x14ac:dyDescent="0.3">
      <c r="A23" s="69" t="s">
        <v>725</v>
      </c>
      <c r="B23" s="69" t="s">
        <v>332</v>
      </c>
      <c r="C23" s="69" t="s">
        <v>718</v>
      </c>
      <c r="D23" s="68">
        <v>46268</v>
      </c>
      <c r="E23" s="69" t="s">
        <v>188</v>
      </c>
      <c r="F23" s="69">
        <v>0</v>
      </c>
      <c r="G23" s="69" t="s">
        <v>328</v>
      </c>
      <c r="H23" s="69">
        <v>0</v>
      </c>
      <c r="I23" s="73">
        <v>0</v>
      </c>
      <c r="J23" s="69"/>
    </row>
    <row r="24" spans="1:10" x14ac:dyDescent="0.3">
      <c r="A24" s="69" t="s">
        <v>726</v>
      </c>
      <c r="B24" s="69" t="s">
        <v>271</v>
      </c>
      <c r="C24" s="69" t="s">
        <v>720</v>
      </c>
      <c r="D24" s="68">
        <v>46315</v>
      </c>
      <c r="E24" s="69" t="s">
        <v>159</v>
      </c>
      <c r="F24" s="69">
        <v>0</v>
      </c>
      <c r="G24" s="69" t="s">
        <v>328</v>
      </c>
      <c r="H24" s="69">
        <v>0</v>
      </c>
      <c r="I24" s="73">
        <v>0</v>
      </c>
      <c r="J24" s="69"/>
    </row>
    <row r="25" spans="1:10" x14ac:dyDescent="0.3">
      <c r="A25" s="69" t="s">
        <v>727</v>
      </c>
      <c r="B25" s="69" t="s">
        <v>292</v>
      </c>
      <c r="C25" s="69" t="s">
        <v>718</v>
      </c>
      <c r="D25" s="68">
        <v>46038</v>
      </c>
      <c r="E25" s="69" t="s">
        <v>164</v>
      </c>
      <c r="F25" s="69">
        <v>0</v>
      </c>
      <c r="G25" s="69" t="s">
        <v>328</v>
      </c>
      <c r="H25" s="69">
        <v>0</v>
      </c>
      <c r="I25" s="73">
        <v>0</v>
      </c>
      <c r="J25" s="69"/>
    </row>
    <row r="26" spans="1:10" x14ac:dyDescent="0.3">
      <c r="A26" s="69" t="s">
        <v>728</v>
      </c>
      <c r="B26" s="69" t="s">
        <v>292</v>
      </c>
      <c r="C26" s="69" t="s">
        <v>702</v>
      </c>
      <c r="D26" s="68">
        <v>46070</v>
      </c>
      <c r="E26" s="69" t="s">
        <v>194</v>
      </c>
      <c r="F26" s="69">
        <v>0</v>
      </c>
      <c r="G26" s="69" t="s">
        <v>328</v>
      </c>
      <c r="H26" s="69">
        <v>0</v>
      </c>
      <c r="I26" s="73">
        <v>0</v>
      </c>
      <c r="J26" s="69"/>
    </row>
    <row r="27" spans="1:10" x14ac:dyDescent="0.3">
      <c r="A27" s="69" t="s">
        <v>729</v>
      </c>
      <c r="B27" s="69" t="s">
        <v>329</v>
      </c>
      <c r="C27" s="69" t="s">
        <v>720</v>
      </c>
      <c r="D27" s="68">
        <v>46089</v>
      </c>
      <c r="E27" s="69" t="s">
        <v>170</v>
      </c>
      <c r="F27" s="69">
        <v>0</v>
      </c>
      <c r="G27" s="69" t="s">
        <v>328</v>
      </c>
      <c r="H27" s="69">
        <v>0</v>
      </c>
      <c r="I27" s="73">
        <v>0</v>
      </c>
      <c r="J27" s="69"/>
    </row>
    <row r="28" spans="1:10" x14ac:dyDescent="0.3">
      <c r="A28" s="69" t="s">
        <v>730</v>
      </c>
      <c r="B28" s="69" t="s">
        <v>292</v>
      </c>
      <c r="C28" s="69" t="s">
        <v>704</v>
      </c>
      <c r="D28" s="68">
        <v>46114</v>
      </c>
      <c r="E28" s="69" t="s">
        <v>164</v>
      </c>
      <c r="F28" s="69">
        <v>0</v>
      </c>
      <c r="G28" s="69" t="s">
        <v>328</v>
      </c>
      <c r="H28" s="69">
        <v>0</v>
      </c>
      <c r="I28" s="73">
        <v>0</v>
      </c>
      <c r="J28" s="69"/>
    </row>
    <row r="29" spans="1:10" x14ac:dyDescent="0.3">
      <c r="A29" s="69" t="s">
        <v>731</v>
      </c>
      <c r="B29" s="69" t="s">
        <v>329</v>
      </c>
      <c r="C29" s="69" t="s">
        <v>702</v>
      </c>
      <c r="D29" s="68">
        <v>46159</v>
      </c>
      <c r="E29" s="69" t="s">
        <v>159</v>
      </c>
      <c r="F29" s="69">
        <v>1</v>
      </c>
      <c r="G29" s="69" t="s">
        <v>338</v>
      </c>
      <c r="H29" s="69">
        <v>17</v>
      </c>
      <c r="I29" s="73">
        <v>765</v>
      </c>
      <c r="J29" s="69" t="s">
        <v>732</v>
      </c>
    </row>
    <row r="30" spans="1:10" x14ac:dyDescent="0.3">
      <c r="A30" s="69" t="s">
        <v>733</v>
      </c>
      <c r="B30" s="69" t="s">
        <v>335</v>
      </c>
      <c r="C30" s="69" t="s">
        <v>720</v>
      </c>
      <c r="D30" s="68">
        <v>46198</v>
      </c>
      <c r="E30" s="69" t="s">
        <v>170</v>
      </c>
      <c r="F30" s="69">
        <v>0</v>
      </c>
      <c r="G30" s="69" t="s">
        <v>328</v>
      </c>
      <c r="H30" s="69">
        <v>0</v>
      </c>
      <c r="I30" s="73">
        <v>0</v>
      </c>
      <c r="J30" s="69"/>
    </row>
    <row r="31" spans="1:10" x14ac:dyDescent="0.3">
      <c r="A31" s="69" t="s">
        <v>734</v>
      </c>
      <c r="B31" s="69" t="s">
        <v>329</v>
      </c>
      <c r="C31" s="69" t="s">
        <v>700</v>
      </c>
      <c r="D31" s="68">
        <v>46225</v>
      </c>
      <c r="E31" s="69" t="s">
        <v>201</v>
      </c>
      <c r="F31" s="69">
        <v>3</v>
      </c>
      <c r="G31" s="69" t="s">
        <v>338</v>
      </c>
      <c r="H31" s="69">
        <v>13</v>
      </c>
      <c r="I31" s="73">
        <v>585</v>
      </c>
      <c r="J31" s="69" t="s">
        <v>735</v>
      </c>
    </row>
    <row r="32" spans="1:10" x14ac:dyDescent="0.3">
      <c r="A32" s="69" t="s">
        <v>736</v>
      </c>
      <c r="B32" s="69" t="s">
        <v>282</v>
      </c>
      <c r="C32" s="69" t="s">
        <v>704</v>
      </c>
      <c r="D32" s="68">
        <v>46258</v>
      </c>
      <c r="E32" s="69" t="s">
        <v>159</v>
      </c>
      <c r="F32" s="69">
        <v>0</v>
      </c>
      <c r="G32" s="69" t="s">
        <v>328</v>
      </c>
      <c r="H32" s="69">
        <v>0</v>
      </c>
      <c r="I32" s="73">
        <v>0</v>
      </c>
      <c r="J32" s="69"/>
    </row>
    <row r="33" spans="1:10" x14ac:dyDescent="0.3">
      <c r="A33" s="69" t="s">
        <v>737</v>
      </c>
      <c r="B33" s="69" t="s">
        <v>271</v>
      </c>
      <c r="C33" s="69" t="s">
        <v>706</v>
      </c>
      <c r="D33" s="68">
        <v>46279</v>
      </c>
      <c r="E33" s="69" t="s">
        <v>183</v>
      </c>
      <c r="F33" s="69">
        <v>0</v>
      </c>
      <c r="G33" s="69" t="s">
        <v>328</v>
      </c>
      <c r="H33" s="69">
        <v>0</v>
      </c>
      <c r="I33" s="73">
        <v>0</v>
      </c>
      <c r="J33" s="69"/>
    </row>
    <row r="34" spans="1:10" x14ac:dyDescent="0.3">
      <c r="A34" s="69" t="s">
        <v>738</v>
      </c>
      <c r="B34" s="69" t="s">
        <v>332</v>
      </c>
      <c r="C34" s="69" t="s">
        <v>720</v>
      </c>
      <c r="D34" s="68">
        <v>46316</v>
      </c>
      <c r="E34" s="69" t="s">
        <v>159</v>
      </c>
      <c r="F34" s="69">
        <v>0</v>
      </c>
      <c r="G34" s="69" t="s">
        <v>328</v>
      </c>
      <c r="H34" s="69">
        <v>0</v>
      </c>
      <c r="I34" s="73">
        <v>0</v>
      </c>
      <c r="J34" s="69"/>
    </row>
    <row r="35" spans="1:10" x14ac:dyDescent="0.3">
      <c r="A35" s="69" t="s">
        <v>739</v>
      </c>
      <c r="B35" s="69" t="s">
        <v>345</v>
      </c>
      <c r="C35" s="69" t="s">
        <v>720</v>
      </c>
      <c r="D35" s="68">
        <v>46045</v>
      </c>
      <c r="E35" s="69" t="s">
        <v>170</v>
      </c>
      <c r="F35" s="69">
        <v>0</v>
      </c>
      <c r="G35" s="69" t="s">
        <v>328</v>
      </c>
      <c r="H35" s="69">
        <v>0</v>
      </c>
      <c r="I35" s="73">
        <v>0</v>
      </c>
      <c r="J35" s="69"/>
    </row>
    <row r="36" spans="1:10" x14ac:dyDescent="0.3">
      <c r="A36" s="69" t="s">
        <v>740</v>
      </c>
      <c r="B36" s="69" t="s">
        <v>329</v>
      </c>
      <c r="C36" s="69" t="s">
        <v>712</v>
      </c>
      <c r="D36" s="68">
        <v>46075</v>
      </c>
      <c r="E36" s="69" t="s">
        <v>170</v>
      </c>
      <c r="F36" s="69">
        <v>0</v>
      </c>
      <c r="G36" s="69" t="s">
        <v>328</v>
      </c>
      <c r="H36" s="69">
        <v>0</v>
      </c>
      <c r="I36" s="73">
        <v>0</v>
      </c>
      <c r="J36" s="69"/>
    </row>
    <row r="37" spans="1:10" x14ac:dyDescent="0.3">
      <c r="A37" s="69" t="s">
        <v>741</v>
      </c>
      <c r="B37" s="69" t="s">
        <v>292</v>
      </c>
      <c r="C37" s="69" t="s">
        <v>720</v>
      </c>
      <c r="D37" s="68">
        <v>46095</v>
      </c>
      <c r="E37" s="69" t="s">
        <v>201</v>
      </c>
      <c r="F37" s="69">
        <v>0</v>
      </c>
      <c r="G37" s="69" t="s">
        <v>328</v>
      </c>
      <c r="H37" s="69">
        <v>0</v>
      </c>
      <c r="I37" s="73">
        <v>0</v>
      </c>
      <c r="J37" s="69"/>
    </row>
    <row r="38" spans="1:10" x14ac:dyDescent="0.3">
      <c r="A38" s="69" t="s">
        <v>742</v>
      </c>
      <c r="B38" s="69" t="s">
        <v>282</v>
      </c>
      <c r="C38" s="69" t="s">
        <v>700</v>
      </c>
      <c r="D38" s="68">
        <v>46115</v>
      </c>
      <c r="E38" s="69" t="s">
        <v>188</v>
      </c>
      <c r="F38" s="69">
        <v>5</v>
      </c>
      <c r="G38" s="69" t="s">
        <v>338</v>
      </c>
      <c r="H38" s="69">
        <v>25</v>
      </c>
      <c r="I38" s="73">
        <v>1125</v>
      </c>
      <c r="J38" s="69" t="s">
        <v>743</v>
      </c>
    </row>
    <row r="39" spans="1:10" x14ac:dyDescent="0.3">
      <c r="A39" s="69" t="s">
        <v>744</v>
      </c>
      <c r="B39" s="69" t="s">
        <v>282</v>
      </c>
      <c r="C39" s="69" t="s">
        <v>718</v>
      </c>
      <c r="D39" s="68">
        <v>46151</v>
      </c>
      <c r="E39" s="69" t="s">
        <v>194</v>
      </c>
      <c r="F39" s="69">
        <v>0</v>
      </c>
      <c r="G39" s="69" t="s">
        <v>328</v>
      </c>
      <c r="H39" s="69">
        <v>0</v>
      </c>
      <c r="I39" s="73">
        <v>0</v>
      </c>
      <c r="J39" s="69"/>
    </row>
    <row r="40" spans="1:10" x14ac:dyDescent="0.3">
      <c r="A40" s="69" t="s">
        <v>745</v>
      </c>
      <c r="B40" s="69" t="s">
        <v>292</v>
      </c>
      <c r="C40" s="69" t="s">
        <v>714</v>
      </c>
      <c r="D40" s="68">
        <v>46200</v>
      </c>
      <c r="E40" s="69" t="s">
        <v>201</v>
      </c>
      <c r="F40" s="69">
        <v>0</v>
      </c>
      <c r="G40" s="69" t="s">
        <v>328</v>
      </c>
      <c r="H40" s="69">
        <v>0</v>
      </c>
      <c r="I40" s="73">
        <v>0</v>
      </c>
      <c r="J40" s="69"/>
    </row>
    <row r="41" spans="1:10" x14ac:dyDescent="0.3">
      <c r="A41" s="69" t="s">
        <v>746</v>
      </c>
      <c r="B41" s="69" t="s">
        <v>271</v>
      </c>
      <c r="C41" s="69" t="s">
        <v>712</v>
      </c>
      <c r="D41" s="68">
        <v>46213</v>
      </c>
      <c r="E41" s="69" t="s">
        <v>183</v>
      </c>
      <c r="F41" s="69">
        <v>0</v>
      </c>
      <c r="G41" s="69" t="s">
        <v>328</v>
      </c>
      <c r="H41" s="69">
        <v>0</v>
      </c>
      <c r="I41" s="73">
        <v>0</v>
      </c>
      <c r="J41" s="69"/>
    </row>
    <row r="42" spans="1:10" x14ac:dyDescent="0.3">
      <c r="A42" s="69" t="s">
        <v>747</v>
      </c>
      <c r="B42" s="69" t="s">
        <v>271</v>
      </c>
      <c r="C42" s="69" t="s">
        <v>700</v>
      </c>
      <c r="D42" s="68">
        <v>46240</v>
      </c>
      <c r="E42" s="69" t="s">
        <v>170</v>
      </c>
      <c r="F42" s="69">
        <v>0</v>
      </c>
      <c r="G42" s="69" t="s">
        <v>328</v>
      </c>
      <c r="H42" s="69">
        <v>0</v>
      </c>
      <c r="I42" s="73">
        <v>0</v>
      </c>
      <c r="J42" s="69"/>
    </row>
    <row r="43" spans="1:10" x14ac:dyDescent="0.3">
      <c r="A43" s="69" t="s">
        <v>748</v>
      </c>
      <c r="B43" s="69" t="s">
        <v>345</v>
      </c>
      <c r="C43" s="69" t="s">
        <v>712</v>
      </c>
      <c r="D43" s="68">
        <v>46284</v>
      </c>
      <c r="E43" s="69" t="s">
        <v>164</v>
      </c>
      <c r="F43" s="69">
        <v>0</v>
      </c>
      <c r="G43" s="69" t="s">
        <v>328</v>
      </c>
      <c r="H43" s="69">
        <v>0</v>
      </c>
      <c r="I43" s="73">
        <v>0</v>
      </c>
      <c r="J43" s="69"/>
    </row>
    <row r="44" spans="1:10" x14ac:dyDescent="0.3">
      <c r="A44" s="69" t="s">
        <v>749</v>
      </c>
      <c r="B44" s="69" t="s">
        <v>345</v>
      </c>
      <c r="C44" s="69" t="s">
        <v>718</v>
      </c>
      <c r="D44" s="68">
        <v>46303</v>
      </c>
      <c r="E44" s="69" t="s">
        <v>176</v>
      </c>
      <c r="F44" s="69">
        <v>0</v>
      </c>
      <c r="G44" s="69" t="s">
        <v>328</v>
      </c>
      <c r="H44" s="69">
        <v>0</v>
      </c>
      <c r="I44" s="73">
        <v>0</v>
      </c>
      <c r="J44" s="69"/>
    </row>
    <row r="45" spans="1:10" x14ac:dyDescent="0.3">
      <c r="A45" s="69" t="s">
        <v>750</v>
      </c>
      <c r="B45" s="69" t="s">
        <v>271</v>
      </c>
      <c r="C45" s="69" t="s">
        <v>718</v>
      </c>
      <c r="D45" s="68">
        <v>46038</v>
      </c>
      <c r="E45" s="69" t="s">
        <v>176</v>
      </c>
      <c r="F45" s="69">
        <v>0</v>
      </c>
      <c r="G45" s="69" t="s">
        <v>328</v>
      </c>
      <c r="H45" s="69">
        <v>0</v>
      </c>
      <c r="I45" s="73">
        <v>0</v>
      </c>
      <c r="J45" s="69"/>
    </row>
    <row r="46" spans="1:10" x14ac:dyDescent="0.3">
      <c r="A46" s="69" t="s">
        <v>751</v>
      </c>
      <c r="B46" s="69" t="s">
        <v>292</v>
      </c>
      <c r="C46" s="69" t="s">
        <v>720</v>
      </c>
      <c r="D46" s="68">
        <v>46072</v>
      </c>
      <c r="E46" s="69" t="s">
        <v>164</v>
      </c>
      <c r="F46" s="69">
        <v>5</v>
      </c>
      <c r="G46" s="69" t="s">
        <v>338</v>
      </c>
      <c r="H46" s="69">
        <v>4</v>
      </c>
      <c r="I46" s="73">
        <v>180</v>
      </c>
      <c r="J46" s="69" t="s">
        <v>732</v>
      </c>
    </row>
    <row r="47" spans="1:10" x14ac:dyDescent="0.3">
      <c r="A47" s="69" t="s">
        <v>752</v>
      </c>
      <c r="B47" s="69" t="s">
        <v>335</v>
      </c>
      <c r="C47" s="69" t="s">
        <v>718</v>
      </c>
      <c r="D47" s="68">
        <v>46101</v>
      </c>
      <c r="E47" s="69" t="s">
        <v>183</v>
      </c>
      <c r="F47" s="69">
        <v>0</v>
      </c>
      <c r="G47" s="69" t="s">
        <v>328</v>
      </c>
      <c r="H47" s="69">
        <v>0</v>
      </c>
      <c r="I47" s="73">
        <v>0</v>
      </c>
      <c r="J47" s="69"/>
    </row>
    <row r="48" spans="1:10" x14ac:dyDescent="0.3">
      <c r="A48" s="69" t="s">
        <v>753</v>
      </c>
      <c r="B48" s="69" t="s">
        <v>345</v>
      </c>
      <c r="C48" s="69" t="s">
        <v>714</v>
      </c>
      <c r="D48" s="68">
        <v>46120</v>
      </c>
      <c r="E48" s="69" t="s">
        <v>176</v>
      </c>
      <c r="F48" s="69">
        <v>5</v>
      </c>
      <c r="G48" s="69" t="s">
        <v>338</v>
      </c>
      <c r="H48" s="69">
        <v>24</v>
      </c>
      <c r="I48" s="73">
        <v>1080</v>
      </c>
      <c r="J48" s="69" t="s">
        <v>754</v>
      </c>
    </row>
    <row r="49" spans="1:10" x14ac:dyDescent="0.3">
      <c r="A49" s="69" t="s">
        <v>755</v>
      </c>
      <c r="B49" s="69" t="s">
        <v>282</v>
      </c>
      <c r="C49" s="69" t="s">
        <v>712</v>
      </c>
      <c r="D49" s="68">
        <v>46162</v>
      </c>
      <c r="E49" s="69" t="s">
        <v>188</v>
      </c>
      <c r="F49" s="69">
        <v>0</v>
      </c>
      <c r="G49" s="69" t="s">
        <v>328</v>
      </c>
      <c r="H49" s="69">
        <v>0</v>
      </c>
      <c r="I49" s="73">
        <v>0</v>
      </c>
      <c r="J49" s="69"/>
    </row>
    <row r="50" spans="1:10" x14ac:dyDescent="0.3">
      <c r="A50" s="69" t="s">
        <v>756</v>
      </c>
      <c r="B50" s="69" t="s">
        <v>332</v>
      </c>
      <c r="C50" s="69" t="s">
        <v>714</v>
      </c>
      <c r="D50" s="68">
        <v>46176</v>
      </c>
      <c r="E50" s="69" t="s">
        <v>201</v>
      </c>
      <c r="F50" s="69">
        <v>0</v>
      </c>
      <c r="G50" s="69" t="s">
        <v>328</v>
      </c>
      <c r="H50" s="69">
        <v>0</v>
      </c>
      <c r="I50" s="73">
        <v>0</v>
      </c>
      <c r="J50" s="69"/>
    </row>
    <row r="51" spans="1:10" x14ac:dyDescent="0.3">
      <c r="A51" s="69" t="s">
        <v>757</v>
      </c>
      <c r="B51" s="69" t="s">
        <v>329</v>
      </c>
      <c r="C51" s="69" t="s">
        <v>712</v>
      </c>
      <c r="D51" s="68">
        <v>46225</v>
      </c>
      <c r="E51" s="69" t="s">
        <v>201</v>
      </c>
      <c r="F51" s="69">
        <v>0</v>
      </c>
      <c r="G51" s="69" t="s">
        <v>328</v>
      </c>
      <c r="H51" s="69">
        <v>0</v>
      </c>
      <c r="I51" s="73">
        <v>0</v>
      </c>
      <c r="J51" s="69"/>
    </row>
    <row r="52" spans="1:10" x14ac:dyDescent="0.3">
      <c r="A52" s="69" t="s">
        <v>758</v>
      </c>
      <c r="B52" s="69" t="s">
        <v>332</v>
      </c>
      <c r="C52" s="69" t="s">
        <v>712</v>
      </c>
      <c r="D52" s="68">
        <v>46255</v>
      </c>
      <c r="E52" s="69" t="s">
        <v>159</v>
      </c>
      <c r="F52" s="69">
        <v>0</v>
      </c>
      <c r="G52" s="69" t="s">
        <v>328</v>
      </c>
      <c r="H52" s="69">
        <v>0</v>
      </c>
      <c r="I52" s="73">
        <v>0</v>
      </c>
      <c r="J52" s="69"/>
    </row>
    <row r="53" spans="1:10" x14ac:dyDescent="0.3">
      <c r="A53" s="69"/>
      <c r="B53" s="69"/>
      <c r="C53" s="69"/>
      <c r="D53" s="68"/>
      <c r="E53" s="69"/>
      <c r="F53" s="69"/>
      <c r="G53" s="69"/>
      <c r="H53" s="69"/>
      <c r="I53" s="73"/>
      <c r="J53" s="69"/>
    </row>
    <row r="54" spans="1:10" x14ac:dyDescent="0.3">
      <c r="A54" s="69"/>
      <c r="B54" s="69"/>
      <c r="C54" s="69"/>
      <c r="D54" s="68"/>
      <c r="E54" s="69"/>
      <c r="F54" s="69"/>
      <c r="G54" s="69"/>
      <c r="H54" s="69"/>
      <c r="I54" s="73"/>
      <c r="J54" s="69"/>
    </row>
    <row r="55" spans="1:10" x14ac:dyDescent="0.3">
      <c r="A55" s="69"/>
      <c r="B55" s="69"/>
      <c r="C55" s="69"/>
      <c r="D55" s="68"/>
      <c r="E55" s="69"/>
      <c r="F55" s="69"/>
      <c r="G55" s="69"/>
      <c r="H55" s="69"/>
      <c r="I55" s="73"/>
      <c r="J55" s="69"/>
    </row>
    <row r="56" spans="1:10" x14ac:dyDescent="0.3">
      <c r="A56" s="69"/>
      <c r="B56" s="69"/>
      <c r="C56" s="69"/>
      <c r="D56" s="68"/>
      <c r="E56" s="69"/>
      <c r="F56" s="69"/>
      <c r="G56" s="69"/>
      <c r="H56" s="69"/>
      <c r="I56" s="73"/>
      <c r="J56" s="69"/>
    </row>
    <row r="57" spans="1:10" x14ac:dyDescent="0.3">
      <c r="A57" s="69"/>
      <c r="B57" s="69"/>
      <c r="C57" s="69"/>
      <c r="D57" s="68"/>
      <c r="E57" s="69"/>
      <c r="F57" s="69"/>
      <c r="G57" s="69"/>
      <c r="H57" s="69"/>
      <c r="I57" s="73"/>
      <c r="J57" s="69"/>
    </row>
    <row r="58" spans="1:10" x14ac:dyDescent="0.3">
      <c r="A58" s="69"/>
      <c r="B58" s="69"/>
      <c r="C58" s="69"/>
      <c r="D58" s="68"/>
      <c r="E58" s="69"/>
      <c r="F58" s="69"/>
      <c r="G58" s="69"/>
      <c r="H58" s="69"/>
      <c r="I58" s="73"/>
      <c r="J58" s="69"/>
    </row>
    <row r="59" spans="1:10" x14ac:dyDescent="0.3">
      <c r="A59" s="69"/>
      <c r="B59" s="69"/>
      <c r="C59" s="69"/>
      <c r="D59" s="68"/>
      <c r="E59" s="69"/>
      <c r="F59" s="69"/>
      <c r="G59" s="69"/>
      <c r="H59" s="69"/>
      <c r="I59" s="73"/>
      <c r="J59" s="69"/>
    </row>
    <row r="60" spans="1:10" x14ac:dyDescent="0.3">
      <c r="A60" s="69"/>
      <c r="B60" s="69"/>
      <c r="C60" s="69"/>
      <c r="D60" s="68"/>
      <c r="E60" s="69"/>
      <c r="F60" s="69"/>
      <c r="G60" s="69"/>
      <c r="H60" s="69"/>
      <c r="I60" s="73"/>
      <c r="J60" s="69"/>
    </row>
    <row r="61" spans="1:10" x14ac:dyDescent="0.3">
      <c r="A61" s="69"/>
      <c r="B61" s="69"/>
      <c r="C61" s="69"/>
      <c r="D61" s="68"/>
      <c r="E61" s="69"/>
      <c r="F61" s="69"/>
      <c r="G61" s="69"/>
      <c r="H61" s="69"/>
      <c r="I61" s="73"/>
      <c r="J61" s="69"/>
    </row>
    <row r="62" spans="1:10" x14ac:dyDescent="0.3">
      <c r="A62" s="69"/>
      <c r="B62" s="69"/>
      <c r="C62" s="69"/>
      <c r="D62" s="68"/>
      <c r="E62" s="69"/>
      <c r="F62" s="69"/>
      <c r="G62" s="69"/>
      <c r="H62" s="69"/>
      <c r="I62" s="73"/>
      <c r="J62" s="69"/>
    </row>
    <row r="63" spans="1:10" x14ac:dyDescent="0.3">
      <c r="A63" s="69"/>
      <c r="B63" s="69"/>
      <c r="C63" s="69"/>
      <c r="D63" s="68"/>
      <c r="E63" s="69"/>
      <c r="F63" s="69"/>
      <c r="G63" s="69"/>
      <c r="H63" s="69"/>
      <c r="I63" s="73"/>
      <c r="J63" s="69"/>
    </row>
    <row r="64" spans="1:10" x14ac:dyDescent="0.3">
      <c r="A64" s="69"/>
      <c r="B64" s="69"/>
      <c r="C64" s="69"/>
      <c r="D64" s="68"/>
      <c r="E64" s="69"/>
      <c r="F64" s="69"/>
      <c r="G64" s="69"/>
      <c r="H64" s="69"/>
      <c r="I64" s="73"/>
      <c r="J64" s="69"/>
    </row>
    <row r="65" spans="1:10" x14ac:dyDescent="0.3">
      <c r="A65" s="69"/>
      <c r="B65" s="69"/>
      <c r="C65" s="69"/>
      <c r="D65" s="68"/>
      <c r="E65" s="69"/>
      <c r="F65" s="69"/>
      <c r="G65" s="69"/>
      <c r="H65" s="69"/>
      <c r="I65" s="73"/>
      <c r="J65" s="69"/>
    </row>
    <row r="66" spans="1:10" x14ac:dyDescent="0.3">
      <c r="A66" s="69"/>
      <c r="B66" s="69"/>
      <c r="C66" s="69"/>
      <c r="D66" s="68"/>
      <c r="E66" s="69"/>
      <c r="F66" s="69"/>
      <c r="G66" s="69"/>
      <c r="H66" s="69"/>
      <c r="I66" s="73"/>
      <c r="J66" s="69"/>
    </row>
    <row r="67" spans="1:10" x14ac:dyDescent="0.3">
      <c r="A67" s="69"/>
      <c r="B67" s="69"/>
      <c r="C67" s="69"/>
      <c r="D67" s="68"/>
      <c r="E67" s="69"/>
      <c r="F67" s="69"/>
      <c r="G67" s="69"/>
      <c r="H67" s="69"/>
      <c r="I67" s="73"/>
      <c r="J67" s="69"/>
    </row>
    <row r="68" spans="1:10" x14ac:dyDescent="0.3">
      <c r="A68" s="69"/>
      <c r="B68" s="69"/>
      <c r="C68" s="69"/>
      <c r="D68" s="68"/>
      <c r="E68" s="69"/>
      <c r="F68" s="69"/>
      <c r="G68" s="69"/>
      <c r="H68" s="69"/>
      <c r="I68" s="73"/>
      <c r="J68" s="69"/>
    </row>
    <row r="69" spans="1:10" x14ac:dyDescent="0.3">
      <c r="A69" s="69"/>
      <c r="B69" s="69"/>
      <c r="C69" s="69"/>
      <c r="D69" s="68"/>
      <c r="E69" s="69"/>
      <c r="F69" s="69"/>
      <c r="G69" s="69"/>
      <c r="H69" s="69"/>
      <c r="I69" s="73"/>
      <c r="J69" s="69"/>
    </row>
    <row r="70" spans="1:10" x14ac:dyDescent="0.3">
      <c r="A70" s="69"/>
      <c r="B70" s="69"/>
      <c r="C70" s="69"/>
      <c r="D70" s="68"/>
      <c r="E70" s="69"/>
      <c r="F70" s="69"/>
      <c r="G70" s="69"/>
      <c r="H70" s="69"/>
      <c r="I70" s="73"/>
      <c r="J70" s="69"/>
    </row>
    <row r="71" spans="1:10" x14ac:dyDescent="0.3">
      <c r="A71" s="69"/>
      <c r="B71" s="69"/>
      <c r="C71" s="69"/>
      <c r="D71" s="68"/>
      <c r="E71" s="69"/>
      <c r="F71" s="69"/>
      <c r="G71" s="69"/>
      <c r="H71" s="69"/>
      <c r="I71" s="73"/>
      <c r="J71" s="69"/>
    </row>
    <row r="72" spans="1:10" x14ac:dyDescent="0.3">
      <c r="A72" s="69"/>
      <c r="B72" s="69"/>
      <c r="C72" s="69"/>
      <c r="D72" s="68"/>
      <c r="E72" s="69"/>
      <c r="F72" s="69"/>
      <c r="G72" s="69"/>
      <c r="H72" s="69"/>
      <c r="I72" s="73"/>
      <c r="J72" s="69"/>
    </row>
    <row r="73" spans="1:10" x14ac:dyDescent="0.3">
      <c r="A73" s="69"/>
      <c r="B73" s="69"/>
      <c r="C73" s="69"/>
      <c r="D73" s="68"/>
      <c r="E73" s="69"/>
      <c r="F73" s="69"/>
      <c r="G73" s="69"/>
      <c r="H73" s="69"/>
      <c r="I73" s="73"/>
      <c r="J73" s="69"/>
    </row>
    <row r="74" spans="1:10" x14ac:dyDescent="0.3">
      <c r="A74" s="69"/>
      <c r="B74" s="69"/>
      <c r="C74" s="69"/>
      <c r="D74" s="68"/>
      <c r="E74" s="69"/>
      <c r="F74" s="69"/>
      <c r="G74" s="69"/>
      <c r="H74" s="69"/>
      <c r="I74" s="73"/>
      <c r="J74" s="69"/>
    </row>
    <row r="75" spans="1:10" x14ac:dyDescent="0.3">
      <c r="A75" s="69"/>
      <c r="B75" s="69"/>
      <c r="C75" s="69"/>
      <c r="D75" s="68"/>
      <c r="E75" s="69"/>
      <c r="F75" s="69"/>
      <c r="G75" s="69"/>
      <c r="H75" s="69"/>
      <c r="I75" s="73"/>
      <c r="J75" s="69"/>
    </row>
    <row r="76" spans="1:10" x14ac:dyDescent="0.3">
      <c r="A76" s="69"/>
      <c r="B76" s="69"/>
      <c r="C76" s="69"/>
      <c r="D76" s="68"/>
      <c r="E76" s="69"/>
      <c r="F76" s="69"/>
      <c r="G76" s="69"/>
      <c r="H76" s="69"/>
      <c r="I76" s="73"/>
      <c r="J76" s="69"/>
    </row>
    <row r="77" spans="1:10" x14ac:dyDescent="0.3">
      <c r="A77" s="69"/>
      <c r="B77" s="69"/>
      <c r="C77" s="69"/>
      <c r="D77" s="68"/>
      <c r="E77" s="69"/>
      <c r="F77" s="69"/>
      <c r="G77" s="69"/>
      <c r="H77" s="69"/>
      <c r="I77" s="73"/>
      <c r="J77" s="69"/>
    </row>
    <row r="78" spans="1:10" x14ac:dyDescent="0.3">
      <c r="A78" s="69"/>
      <c r="B78" s="69"/>
      <c r="C78" s="69"/>
      <c r="D78" s="68"/>
      <c r="E78" s="69"/>
      <c r="F78" s="69"/>
      <c r="G78" s="69"/>
      <c r="H78" s="69"/>
      <c r="I78" s="73"/>
      <c r="J78" s="69"/>
    </row>
    <row r="79" spans="1:10" x14ac:dyDescent="0.3">
      <c r="A79" s="69"/>
      <c r="B79" s="69"/>
      <c r="C79" s="69"/>
      <c r="D79" s="68"/>
      <c r="E79" s="69"/>
      <c r="F79" s="69"/>
      <c r="G79" s="69"/>
      <c r="H79" s="69"/>
      <c r="I79" s="73"/>
      <c r="J79" s="69"/>
    </row>
    <row r="80" spans="1:10" x14ac:dyDescent="0.3">
      <c r="A80" s="69"/>
      <c r="B80" s="69"/>
      <c r="C80" s="69"/>
      <c r="D80" s="68"/>
      <c r="E80" s="69"/>
      <c r="F80" s="69"/>
      <c r="G80" s="69"/>
      <c r="H80" s="69"/>
      <c r="I80" s="73"/>
      <c r="J80" s="69"/>
    </row>
    <row r="81" spans="1:10" x14ac:dyDescent="0.3">
      <c r="A81" s="69"/>
      <c r="B81" s="69"/>
      <c r="C81" s="69"/>
      <c r="D81" s="68"/>
      <c r="E81" s="69"/>
      <c r="F81" s="69"/>
      <c r="G81" s="69"/>
      <c r="H81" s="69"/>
      <c r="I81" s="73"/>
      <c r="J81" s="69"/>
    </row>
    <row r="82" spans="1:10" x14ac:dyDescent="0.3">
      <c r="A82" s="69"/>
      <c r="B82" s="69"/>
      <c r="C82" s="69"/>
      <c r="D82" s="68"/>
      <c r="E82" s="69"/>
      <c r="F82" s="69"/>
      <c r="G82" s="69"/>
      <c r="H82" s="69"/>
      <c r="I82" s="73"/>
      <c r="J82" s="69"/>
    </row>
    <row r="83" spans="1:10" x14ac:dyDescent="0.3">
      <c r="A83" s="69"/>
      <c r="B83" s="69"/>
      <c r="C83" s="69"/>
      <c r="D83" s="68"/>
      <c r="E83" s="69"/>
      <c r="F83" s="69"/>
      <c r="G83" s="69"/>
      <c r="H83" s="69"/>
      <c r="I83" s="73"/>
      <c r="J83" s="69"/>
    </row>
    <row r="84" spans="1:10" x14ac:dyDescent="0.3">
      <c r="A84" s="69"/>
      <c r="B84" s="69"/>
      <c r="C84" s="69"/>
      <c r="D84" s="68"/>
      <c r="E84" s="69"/>
      <c r="F84" s="69"/>
      <c r="G84" s="69"/>
      <c r="H84" s="69"/>
      <c r="I84" s="73"/>
      <c r="J84" s="69"/>
    </row>
    <row r="85" spans="1:10" x14ac:dyDescent="0.3">
      <c r="A85" s="69"/>
      <c r="B85" s="69"/>
      <c r="C85" s="69"/>
      <c r="D85" s="68"/>
      <c r="E85" s="69"/>
      <c r="F85" s="69"/>
      <c r="G85" s="69"/>
      <c r="H85" s="69"/>
      <c r="I85" s="73"/>
      <c r="J85" s="69"/>
    </row>
    <row r="86" spans="1:10" x14ac:dyDescent="0.3">
      <c r="A86" s="69"/>
      <c r="B86" s="69"/>
      <c r="C86" s="69"/>
      <c r="D86" s="68"/>
      <c r="E86" s="69"/>
      <c r="F86" s="69"/>
      <c r="G86" s="69"/>
      <c r="H86" s="69"/>
      <c r="I86" s="73"/>
      <c r="J86" s="69"/>
    </row>
    <row r="87" spans="1:10" x14ac:dyDescent="0.3">
      <c r="A87" s="69"/>
      <c r="B87" s="69"/>
      <c r="C87" s="69"/>
      <c r="D87" s="68"/>
      <c r="E87" s="69"/>
      <c r="F87" s="69"/>
      <c r="G87" s="69"/>
      <c r="H87" s="69"/>
      <c r="I87" s="73"/>
      <c r="J87" s="69"/>
    </row>
    <row r="88" spans="1:10" x14ac:dyDescent="0.3">
      <c r="A88" s="69"/>
      <c r="B88" s="69"/>
      <c r="C88" s="69"/>
      <c r="D88" s="68"/>
      <c r="E88" s="69"/>
      <c r="F88" s="69"/>
      <c r="G88" s="69"/>
      <c r="H88" s="69"/>
      <c r="I88" s="73"/>
      <c r="J88" s="69"/>
    </row>
    <row r="89" spans="1:10" x14ac:dyDescent="0.3">
      <c r="A89" s="69"/>
      <c r="B89" s="69"/>
      <c r="C89" s="69"/>
      <c r="D89" s="68"/>
      <c r="E89" s="69"/>
      <c r="F89" s="69"/>
      <c r="G89" s="69"/>
      <c r="H89" s="69"/>
      <c r="I89" s="73"/>
      <c r="J89" s="69"/>
    </row>
    <row r="90" spans="1:10" x14ac:dyDescent="0.3">
      <c r="A90" s="69"/>
      <c r="B90" s="69"/>
      <c r="C90" s="69"/>
      <c r="D90" s="68"/>
      <c r="E90" s="69"/>
      <c r="F90" s="69"/>
      <c r="G90" s="69"/>
      <c r="H90" s="69"/>
      <c r="I90" s="73"/>
      <c r="J90" s="69"/>
    </row>
    <row r="91" spans="1:10" x14ac:dyDescent="0.3">
      <c r="A91" s="69"/>
      <c r="B91" s="69"/>
      <c r="C91" s="69"/>
      <c r="D91" s="68"/>
      <c r="E91" s="69"/>
      <c r="F91" s="69"/>
      <c r="G91" s="69"/>
      <c r="H91" s="69"/>
      <c r="I91" s="73"/>
      <c r="J91" s="69"/>
    </row>
    <row r="92" spans="1:10" x14ac:dyDescent="0.3">
      <c r="A92" s="69"/>
      <c r="B92" s="69"/>
      <c r="C92" s="69"/>
      <c r="D92" s="68"/>
      <c r="E92" s="69"/>
      <c r="F92" s="69"/>
      <c r="G92" s="69"/>
      <c r="H92" s="69"/>
      <c r="I92" s="73"/>
      <c r="J92" s="69"/>
    </row>
    <row r="93" spans="1:10" x14ac:dyDescent="0.3">
      <c r="A93" s="69"/>
      <c r="B93" s="69"/>
      <c r="C93" s="69"/>
      <c r="D93" s="68"/>
      <c r="E93" s="69"/>
      <c r="F93" s="69"/>
      <c r="G93" s="69"/>
      <c r="H93" s="69"/>
      <c r="I93" s="73"/>
      <c r="J93" s="69"/>
    </row>
    <row r="94" spans="1:10" x14ac:dyDescent="0.3">
      <c r="A94" s="69"/>
      <c r="B94" s="69"/>
      <c r="C94" s="69"/>
      <c r="D94" s="68"/>
      <c r="E94" s="69"/>
      <c r="F94" s="69"/>
      <c r="G94" s="69"/>
      <c r="H94" s="69"/>
      <c r="I94" s="73"/>
      <c r="J94" s="69"/>
    </row>
    <row r="95" spans="1:10" x14ac:dyDescent="0.3">
      <c r="A95" s="69"/>
      <c r="B95" s="69"/>
      <c r="C95" s="69"/>
      <c r="D95" s="68"/>
      <c r="E95" s="69"/>
      <c r="F95" s="69"/>
      <c r="G95" s="69"/>
      <c r="H95" s="69"/>
      <c r="I95" s="73"/>
      <c r="J95" s="69"/>
    </row>
    <row r="96" spans="1:10" x14ac:dyDescent="0.3">
      <c r="A96" s="69"/>
      <c r="B96" s="69"/>
      <c r="C96" s="69"/>
      <c r="D96" s="68"/>
      <c r="E96" s="69"/>
      <c r="F96" s="69"/>
      <c r="G96" s="69"/>
      <c r="H96" s="69"/>
      <c r="I96" s="73"/>
      <c r="J96" s="69"/>
    </row>
    <row r="97" spans="1:10" x14ac:dyDescent="0.3">
      <c r="A97" s="69"/>
      <c r="B97" s="69"/>
      <c r="C97" s="69"/>
      <c r="D97" s="68"/>
      <c r="E97" s="69"/>
      <c r="F97" s="69"/>
      <c r="G97" s="69"/>
      <c r="H97" s="69"/>
      <c r="I97" s="73"/>
      <c r="J97" s="69"/>
    </row>
    <row r="98" spans="1:10" x14ac:dyDescent="0.3">
      <c r="A98" s="69"/>
      <c r="B98" s="69"/>
      <c r="C98" s="69"/>
      <c r="D98" s="68"/>
      <c r="E98" s="69"/>
      <c r="F98" s="69"/>
      <c r="G98" s="69"/>
      <c r="H98" s="69"/>
      <c r="I98" s="73"/>
      <c r="J98" s="69"/>
    </row>
    <row r="99" spans="1:10" x14ac:dyDescent="0.3">
      <c r="A99" s="69"/>
      <c r="B99" s="69"/>
      <c r="C99" s="69"/>
      <c r="D99" s="68"/>
      <c r="E99" s="69"/>
      <c r="F99" s="69"/>
      <c r="G99" s="69"/>
      <c r="H99" s="69"/>
      <c r="I99" s="73"/>
      <c r="J99" s="69"/>
    </row>
    <row r="100" spans="1:10" x14ac:dyDescent="0.3">
      <c r="A100" s="69"/>
      <c r="B100" s="69"/>
      <c r="C100" s="69"/>
      <c r="D100" s="68"/>
      <c r="E100" s="69"/>
      <c r="F100" s="69"/>
      <c r="G100" s="69"/>
      <c r="H100" s="69"/>
      <c r="I100" s="73"/>
      <c r="J100" s="69"/>
    </row>
    <row r="101" spans="1:10" x14ac:dyDescent="0.3">
      <c r="A101" s="69"/>
      <c r="B101" s="69"/>
      <c r="C101" s="69"/>
      <c r="D101" s="68"/>
      <c r="E101" s="69"/>
      <c r="F101" s="69"/>
      <c r="G101" s="69"/>
      <c r="H101" s="69"/>
      <c r="I101" s="73"/>
      <c r="J101" s="69"/>
    </row>
    <row r="102" spans="1:10" x14ac:dyDescent="0.3">
      <c r="A102" s="69"/>
      <c r="B102" s="69"/>
      <c r="C102" s="69"/>
      <c r="D102" s="68"/>
      <c r="E102" s="69"/>
      <c r="F102" s="69"/>
      <c r="G102" s="69"/>
      <c r="H102" s="69"/>
      <c r="I102" s="73"/>
      <c r="J102" s="69"/>
    </row>
    <row r="103" spans="1:10" x14ac:dyDescent="0.3">
      <c r="A103" s="69"/>
      <c r="B103" s="69"/>
      <c r="C103" s="69"/>
      <c r="D103" s="68"/>
      <c r="E103" s="69"/>
      <c r="F103" s="69"/>
      <c r="G103" s="69"/>
      <c r="H103" s="69"/>
      <c r="I103" s="73"/>
      <c r="J103" s="69"/>
    </row>
    <row r="104" spans="1:10" x14ac:dyDescent="0.3">
      <c r="A104" s="69"/>
      <c r="B104" s="69"/>
      <c r="C104" s="69"/>
      <c r="D104" s="68"/>
      <c r="E104" s="69"/>
      <c r="F104" s="69"/>
      <c r="G104" s="69"/>
      <c r="H104" s="69"/>
      <c r="I104" s="73"/>
      <c r="J104" s="69"/>
    </row>
    <row r="105" spans="1:10" x14ac:dyDescent="0.3">
      <c r="A105" s="69"/>
      <c r="B105" s="69"/>
      <c r="C105" s="69"/>
      <c r="D105" s="68"/>
      <c r="E105" s="69"/>
      <c r="F105" s="69"/>
      <c r="G105" s="69"/>
      <c r="H105" s="69"/>
      <c r="I105" s="73"/>
      <c r="J105" s="69"/>
    </row>
    <row r="106" spans="1:10" x14ac:dyDescent="0.3">
      <c r="A106" s="69"/>
      <c r="B106" s="69"/>
      <c r="C106" s="69"/>
      <c r="D106" s="68"/>
      <c r="E106" s="69"/>
      <c r="F106" s="69"/>
      <c r="G106" s="69"/>
      <c r="H106" s="69"/>
      <c r="I106" s="73"/>
      <c r="J106" s="69"/>
    </row>
    <row r="107" spans="1:10" x14ac:dyDescent="0.3">
      <c r="A107" s="69"/>
      <c r="B107" s="69"/>
      <c r="C107" s="69"/>
      <c r="D107" s="68"/>
      <c r="E107" s="69"/>
      <c r="F107" s="69"/>
      <c r="G107" s="69"/>
      <c r="H107" s="69"/>
      <c r="I107" s="73"/>
      <c r="J107" s="69"/>
    </row>
    <row r="108" spans="1:10" x14ac:dyDescent="0.3">
      <c r="A108" s="69"/>
      <c r="B108" s="69"/>
      <c r="C108" s="69"/>
      <c r="D108" s="68"/>
      <c r="E108" s="69"/>
      <c r="F108" s="69"/>
      <c r="G108" s="69"/>
      <c r="H108" s="69"/>
      <c r="I108" s="73"/>
      <c r="J108" s="69"/>
    </row>
    <row r="109" spans="1:10" x14ac:dyDescent="0.3">
      <c r="A109" s="69"/>
      <c r="B109" s="69"/>
      <c r="C109" s="69"/>
      <c r="D109" s="68"/>
      <c r="E109" s="69"/>
      <c r="F109" s="69"/>
      <c r="G109" s="69"/>
      <c r="H109" s="69"/>
      <c r="I109" s="73"/>
      <c r="J109" s="69"/>
    </row>
    <row r="110" spans="1:10" x14ac:dyDescent="0.3">
      <c r="A110" s="69"/>
      <c r="B110" s="69"/>
      <c r="C110" s="69"/>
      <c r="D110" s="68"/>
      <c r="E110" s="69"/>
      <c r="F110" s="69"/>
      <c r="G110" s="69"/>
      <c r="H110" s="69"/>
      <c r="I110" s="73"/>
      <c r="J110" s="69"/>
    </row>
    <row r="111" spans="1:10" x14ac:dyDescent="0.3">
      <c r="A111" s="69"/>
      <c r="B111" s="69"/>
      <c r="C111" s="69"/>
      <c r="D111" s="68"/>
      <c r="E111" s="69"/>
      <c r="F111" s="69"/>
      <c r="G111" s="69"/>
      <c r="H111" s="69"/>
      <c r="I111" s="73"/>
      <c r="J111" s="69"/>
    </row>
    <row r="112" spans="1:10" x14ac:dyDescent="0.3">
      <c r="A112" s="69"/>
      <c r="B112" s="69"/>
      <c r="C112" s="69"/>
      <c r="D112" s="68"/>
      <c r="E112" s="69"/>
      <c r="F112" s="69"/>
      <c r="G112" s="69"/>
      <c r="H112" s="69"/>
      <c r="I112" s="73"/>
      <c r="J112" s="69"/>
    </row>
    <row r="113" spans="1:10" x14ac:dyDescent="0.3">
      <c r="A113" s="69"/>
      <c r="B113" s="69"/>
      <c r="C113" s="69"/>
      <c r="D113" s="68"/>
      <c r="E113" s="69"/>
      <c r="F113" s="69"/>
      <c r="G113" s="69"/>
      <c r="H113" s="69"/>
      <c r="I113" s="73"/>
      <c r="J113" s="69"/>
    </row>
    <row r="114" spans="1:10" x14ac:dyDescent="0.3">
      <c r="A114" s="69"/>
      <c r="B114" s="69"/>
      <c r="C114" s="69"/>
      <c r="D114" s="68"/>
      <c r="E114" s="69"/>
      <c r="F114" s="69"/>
      <c r="G114" s="69"/>
      <c r="H114" s="69"/>
      <c r="I114" s="73"/>
      <c r="J114" s="69"/>
    </row>
    <row r="115" spans="1:10" x14ac:dyDescent="0.3">
      <c r="A115" s="69"/>
      <c r="B115" s="69"/>
      <c r="C115" s="69"/>
      <c r="D115" s="68"/>
      <c r="E115" s="69"/>
      <c r="F115" s="69"/>
      <c r="G115" s="69"/>
      <c r="H115" s="69"/>
      <c r="I115" s="73"/>
      <c r="J115" s="69"/>
    </row>
    <row r="116" spans="1:10" x14ac:dyDescent="0.3">
      <c r="A116" s="69"/>
      <c r="B116" s="69"/>
      <c r="C116" s="69"/>
      <c r="D116" s="68"/>
      <c r="E116" s="69"/>
      <c r="F116" s="69"/>
      <c r="G116" s="69"/>
      <c r="H116" s="69"/>
      <c r="I116" s="73"/>
      <c r="J116" s="69"/>
    </row>
    <row r="117" spans="1:10" x14ac:dyDescent="0.3">
      <c r="A117" s="69"/>
      <c r="B117" s="69"/>
      <c r="C117" s="69"/>
      <c r="D117" s="68"/>
      <c r="E117" s="69"/>
      <c r="F117" s="69"/>
      <c r="G117" s="69"/>
      <c r="H117" s="69"/>
      <c r="I117" s="73"/>
      <c r="J117" s="69"/>
    </row>
    <row r="118" spans="1:10" x14ac:dyDescent="0.3">
      <c r="A118" s="69"/>
      <c r="B118" s="69"/>
      <c r="C118" s="69"/>
      <c r="D118" s="68"/>
      <c r="E118" s="69"/>
      <c r="F118" s="69"/>
      <c r="G118" s="69"/>
      <c r="H118" s="69"/>
      <c r="I118" s="73"/>
      <c r="J118" s="69"/>
    </row>
    <row r="119" spans="1:10" x14ac:dyDescent="0.3">
      <c r="A119" s="69"/>
      <c r="B119" s="69"/>
      <c r="C119" s="69"/>
      <c r="D119" s="68"/>
      <c r="E119" s="69"/>
      <c r="F119" s="69"/>
      <c r="G119" s="69"/>
      <c r="H119" s="69"/>
      <c r="I119" s="73"/>
      <c r="J119" s="69"/>
    </row>
    <row r="120" spans="1:10" x14ac:dyDescent="0.3">
      <c r="A120" s="69"/>
      <c r="B120" s="69"/>
      <c r="C120" s="69"/>
      <c r="D120" s="68"/>
      <c r="E120" s="69"/>
      <c r="F120" s="69"/>
      <c r="G120" s="69"/>
      <c r="H120" s="69"/>
      <c r="I120" s="73"/>
      <c r="J120" s="69"/>
    </row>
    <row r="121" spans="1:10" x14ac:dyDescent="0.3">
      <c r="A121" s="69"/>
      <c r="B121" s="69"/>
      <c r="C121" s="69"/>
      <c r="D121" s="68"/>
      <c r="E121" s="69"/>
      <c r="F121" s="69"/>
      <c r="G121" s="69"/>
      <c r="H121" s="69"/>
      <c r="I121" s="73"/>
      <c r="J121" s="69"/>
    </row>
    <row r="122" spans="1:10" x14ac:dyDescent="0.3">
      <c r="A122" s="69"/>
      <c r="B122" s="69"/>
      <c r="C122" s="69"/>
      <c r="D122" s="68"/>
      <c r="E122" s="69"/>
      <c r="F122" s="69"/>
      <c r="G122" s="69"/>
      <c r="H122" s="69"/>
      <c r="I122" s="73"/>
      <c r="J122" s="69"/>
    </row>
    <row r="123" spans="1:10" x14ac:dyDescent="0.3">
      <c r="A123" s="69"/>
      <c r="B123" s="69"/>
      <c r="C123" s="69"/>
      <c r="D123" s="68"/>
      <c r="E123" s="69"/>
      <c r="F123" s="69"/>
      <c r="G123" s="69"/>
      <c r="H123" s="69"/>
      <c r="I123" s="73"/>
      <c r="J123" s="69"/>
    </row>
    <row r="124" spans="1:10" x14ac:dyDescent="0.3">
      <c r="A124" s="69"/>
      <c r="B124" s="69"/>
      <c r="C124" s="69"/>
      <c r="D124" s="68"/>
      <c r="E124" s="69"/>
      <c r="F124" s="69"/>
      <c r="G124" s="69"/>
      <c r="H124" s="69"/>
      <c r="I124" s="73"/>
      <c r="J124" s="69"/>
    </row>
    <row r="125" spans="1:10" x14ac:dyDescent="0.3">
      <c r="A125" s="69"/>
      <c r="B125" s="69"/>
      <c r="C125" s="69"/>
      <c r="D125" s="68"/>
      <c r="E125" s="69"/>
      <c r="F125" s="69"/>
      <c r="G125" s="69"/>
      <c r="H125" s="69"/>
      <c r="I125" s="73"/>
      <c r="J125" s="69"/>
    </row>
    <row r="126" spans="1:10" x14ac:dyDescent="0.3">
      <c r="A126" s="69"/>
      <c r="B126" s="69"/>
      <c r="C126" s="69"/>
      <c r="D126" s="68"/>
      <c r="E126" s="69"/>
      <c r="F126" s="69"/>
      <c r="G126" s="69"/>
      <c r="H126" s="69"/>
      <c r="I126" s="73"/>
      <c r="J126" s="69"/>
    </row>
    <row r="127" spans="1:10" x14ac:dyDescent="0.3">
      <c r="A127" s="69"/>
      <c r="B127" s="69"/>
      <c r="C127" s="69"/>
      <c r="D127" s="68"/>
      <c r="E127" s="69"/>
      <c r="F127" s="69"/>
      <c r="G127" s="69"/>
      <c r="H127" s="69"/>
      <c r="I127" s="73"/>
      <c r="J127" s="69"/>
    </row>
    <row r="128" spans="1:10" x14ac:dyDescent="0.3">
      <c r="A128" s="69"/>
      <c r="B128" s="69"/>
      <c r="C128" s="69"/>
      <c r="D128" s="68"/>
      <c r="E128" s="69"/>
      <c r="F128" s="69"/>
      <c r="G128" s="69"/>
      <c r="H128" s="69"/>
      <c r="I128" s="73"/>
      <c r="J128" s="69"/>
    </row>
    <row r="129" spans="1:10" x14ac:dyDescent="0.3">
      <c r="A129" s="69"/>
      <c r="B129" s="69"/>
      <c r="C129" s="69"/>
      <c r="D129" s="68"/>
      <c r="E129" s="69"/>
      <c r="F129" s="69"/>
      <c r="G129" s="69"/>
      <c r="H129" s="69"/>
      <c r="I129" s="73"/>
      <c r="J129" s="69"/>
    </row>
    <row r="130" spans="1:10" x14ac:dyDescent="0.3">
      <c r="A130" s="69"/>
      <c r="B130" s="69"/>
      <c r="C130" s="69"/>
      <c r="D130" s="68"/>
      <c r="E130" s="69"/>
      <c r="F130" s="69"/>
      <c r="G130" s="69"/>
      <c r="H130" s="69"/>
      <c r="I130" s="73"/>
      <c r="J130" s="69"/>
    </row>
    <row r="131" spans="1:10" x14ac:dyDescent="0.3">
      <c r="A131" s="69"/>
      <c r="B131" s="69"/>
      <c r="C131" s="69"/>
      <c r="D131" s="68"/>
      <c r="E131" s="69"/>
      <c r="F131" s="69"/>
      <c r="G131" s="69"/>
      <c r="H131" s="69"/>
      <c r="I131" s="73"/>
      <c r="J131" s="69"/>
    </row>
    <row r="132" spans="1:10" x14ac:dyDescent="0.3">
      <c r="A132" s="69"/>
      <c r="B132" s="69"/>
      <c r="C132" s="69"/>
      <c r="D132" s="68"/>
      <c r="E132" s="69"/>
      <c r="F132" s="69"/>
      <c r="G132" s="69"/>
      <c r="H132" s="69"/>
      <c r="I132" s="73"/>
      <c r="J132" s="69"/>
    </row>
    <row r="133" spans="1:10" x14ac:dyDescent="0.3">
      <c r="A133" s="69"/>
      <c r="B133" s="69"/>
      <c r="C133" s="69"/>
      <c r="D133" s="68"/>
      <c r="E133" s="69"/>
      <c r="F133" s="69"/>
      <c r="G133" s="69"/>
      <c r="H133" s="69"/>
      <c r="I133" s="73"/>
      <c r="J133" s="69"/>
    </row>
    <row r="134" spans="1:10" x14ac:dyDescent="0.3">
      <c r="A134" s="69"/>
      <c r="B134" s="69"/>
      <c r="C134" s="69"/>
      <c r="D134" s="68"/>
      <c r="E134" s="69"/>
      <c r="F134" s="69"/>
      <c r="G134" s="69"/>
      <c r="H134" s="69"/>
      <c r="I134" s="73"/>
      <c r="J134" s="69"/>
    </row>
    <row r="135" spans="1:10" x14ac:dyDescent="0.3">
      <c r="A135" s="69"/>
      <c r="B135" s="69"/>
      <c r="C135" s="69"/>
      <c r="D135" s="68"/>
      <c r="E135" s="69"/>
      <c r="F135" s="69"/>
      <c r="G135" s="69"/>
      <c r="H135" s="69"/>
      <c r="I135" s="73"/>
      <c r="J135" s="69"/>
    </row>
    <row r="136" spans="1:10" x14ac:dyDescent="0.3">
      <c r="A136" s="69"/>
      <c r="B136" s="69"/>
      <c r="C136" s="69"/>
      <c r="D136" s="68"/>
      <c r="E136" s="69"/>
      <c r="F136" s="69"/>
      <c r="G136" s="69"/>
      <c r="H136" s="69"/>
      <c r="I136" s="73"/>
      <c r="J136" s="69"/>
    </row>
    <row r="137" spans="1:10" x14ac:dyDescent="0.3">
      <c r="A137" s="69"/>
      <c r="B137" s="69"/>
      <c r="C137" s="69"/>
      <c r="D137" s="68"/>
      <c r="E137" s="69"/>
      <c r="F137" s="69"/>
      <c r="G137" s="69"/>
      <c r="H137" s="69"/>
      <c r="I137" s="73"/>
      <c r="J137" s="69"/>
    </row>
    <row r="138" spans="1:10" x14ac:dyDescent="0.3">
      <c r="A138" s="69"/>
      <c r="B138" s="69"/>
      <c r="C138" s="69"/>
      <c r="D138" s="68"/>
      <c r="E138" s="69"/>
      <c r="F138" s="69"/>
      <c r="G138" s="69"/>
      <c r="H138" s="69"/>
      <c r="I138" s="73"/>
      <c r="J138" s="69"/>
    </row>
    <row r="139" spans="1:10" x14ac:dyDescent="0.3">
      <c r="A139" s="69"/>
      <c r="B139" s="69"/>
      <c r="C139" s="69"/>
      <c r="D139" s="68"/>
      <c r="E139" s="69"/>
      <c r="F139" s="69"/>
      <c r="G139" s="69"/>
      <c r="H139" s="69"/>
      <c r="I139" s="73"/>
      <c r="J139" s="69"/>
    </row>
    <row r="140" spans="1:10" x14ac:dyDescent="0.3">
      <c r="A140" s="69"/>
      <c r="B140" s="69"/>
      <c r="C140" s="69"/>
      <c r="D140" s="68"/>
      <c r="E140" s="69"/>
      <c r="F140" s="69"/>
      <c r="G140" s="69"/>
      <c r="H140" s="69"/>
      <c r="I140" s="73"/>
      <c r="J140" s="69"/>
    </row>
    <row r="141" spans="1:10" x14ac:dyDescent="0.3">
      <c r="A141" s="69"/>
      <c r="B141" s="69"/>
      <c r="C141" s="69"/>
      <c r="D141" s="68"/>
      <c r="E141" s="69"/>
      <c r="F141" s="69"/>
      <c r="G141" s="69"/>
      <c r="H141" s="69"/>
      <c r="I141" s="73"/>
      <c r="J141" s="69"/>
    </row>
    <row r="142" spans="1:10" x14ac:dyDescent="0.3">
      <c r="A142" s="69"/>
      <c r="B142" s="69"/>
      <c r="C142" s="69"/>
      <c r="D142" s="68"/>
      <c r="E142" s="69"/>
      <c r="F142" s="69"/>
      <c r="G142" s="69"/>
      <c r="H142" s="69"/>
      <c r="I142" s="73"/>
      <c r="J142" s="69"/>
    </row>
    <row r="143" spans="1:10" x14ac:dyDescent="0.3">
      <c r="A143" s="69"/>
      <c r="B143" s="69"/>
      <c r="C143" s="69"/>
      <c r="D143" s="68"/>
      <c r="E143" s="69"/>
      <c r="F143" s="69"/>
      <c r="G143" s="69"/>
      <c r="H143" s="69"/>
      <c r="I143" s="73"/>
      <c r="J143" s="69"/>
    </row>
    <row r="144" spans="1:10" x14ac:dyDescent="0.3">
      <c r="A144" s="69"/>
      <c r="B144" s="69"/>
      <c r="C144" s="69"/>
      <c r="D144" s="68"/>
      <c r="E144" s="69"/>
      <c r="F144" s="69"/>
      <c r="G144" s="69"/>
      <c r="H144" s="69"/>
      <c r="I144" s="73"/>
      <c r="J144" s="69"/>
    </row>
    <row r="145" spans="1:10" x14ac:dyDescent="0.3">
      <c r="A145" s="69"/>
      <c r="B145" s="69"/>
      <c r="C145" s="69"/>
      <c r="D145" s="68"/>
      <c r="E145" s="69"/>
      <c r="F145" s="69"/>
      <c r="G145" s="69"/>
      <c r="H145" s="69"/>
      <c r="I145" s="73"/>
      <c r="J145" s="69"/>
    </row>
    <row r="146" spans="1:10" x14ac:dyDescent="0.3">
      <c r="A146" s="69"/>
      <c r="B146" s="69"/>
      <c r="C146" s="69"/>
      <c r="D146" s="68"/>
      <c r="E146" s="69"/>
      <c r="F146" s="69"/>
      <c r="G146" s="69"/>
      <c r="H146" s="69"/>
      <c r="I146" s="73"/>
      <c r="J146" s="69"/>
    </row>
    <row r="147" spans="1:10" x14ac:dyDescent="0.3">
      <c r="A147" s="69"/>
      <c r="B147" s="69"/>
      <c r="C147" s="69"/>
      <c r="D147" s="68"/>
      <c r="E147" s="69"/>
      <c r="F147" s="69"/>
      <c r="G147" s="69"/>
      <c r="H147" s="69"/>
      <c r="I147" s="73"/>
      <c r="J147" s="69"/>
    </row>
    <row r="148" spans="1:10" x14ac:dyDescent="0.3">
      <c r="A148" s="69"/>
      <c r="B148" s="69"/>
      <c r="C148" s="69"/>
      <c r="D148" s="68"/>
      <c r="E148" s="69"/>
      <c r="F148" s="69"/>
      <c r="G148" s="69"/>
      <c r="H148" s="69"/>
      <c r="I148" s="73"/>
      <c r="J148" s="69"/>
    </row>
    <row r="149" spans="1:10" x14ac:dyDescent="0.3">
      <c r="A149" s="69"/>
      <c r="B149" s="69"/>
      <c r="C149" s="69"/>
      <c r="D149" s="68"/>
      <c r="E149" s="69"/>
      <c r="F149" s="69"/>
      <c r="G149" s="69"/>
      <c r="H149" s="69"/>
      <c r="I149" s="73"/>
      <c r="J149" s="69"/>
    </row>
    <row r="150" spans="1:10" x14ac:dyDescent="0.3">
      <c r="A150" s="69"/>
      <c r="B150" s="69"/>
      <c r="C150" s="69"/>
      <c r="D150" s="68"/>
      <c r="E150" s="69"/>
      <c r="F150" s="69"/>
      <c r="G150" s="69"/>
      <c r="H150" s="69"/>
      <c r="I150" s="73"/>
      <c r="J150" s="69"/>
    </row>
    <row r="151" spans="1:10" x14ac:dyDescent="0.3">
      <c r="A151" s="69"/>
      <c r="B151" s="69"/>
      <c r="C151" s="69"/>
      <c r="D151" s="68"/>
      <c r="E151" s="69"/>
      <c r="F151" s="69"/>
      <c r="G151" s="69"/>
      <c r="H151" s="69"/>
      <c r="I151" s="73"/>
      <c r="J151" s="69"/>
    </row>
    <row r="152" spans="1:10" x14ac:dyDescent="0.3">
      <c r="A152" s="69"/>
      <c r="B152" s="69"/>
      <c r="C152" s="69"/>
      <c r="D152" s="68"/>
      <c r="E152" s="69"/>
      <c r="F152" s="69"/>
      <c r="G152" s="69"/>
      <c r="H152" s="69"/>
      <c r="I152" s="73"/>
      <c r="J152" s="69"/>
    </row>
    <row r="153" spans="1:10" x14ac:dyDescent="0.3">
      <c r="A153" s="69"/>
      <c r="B153" s="69"/>
      <c r="C153" s="69"/>
      <c r="D153" s="68"/>
      <c r="E153" s="69"/>
      <c r="F153" s="69"/>
      <c r="G153" s="69"/>
      <c r="H153" s="69"/>
      <c r="I153" s="73"/>
      <c r="J153" s="69"/>
    </row>
    <row r="154" spans="1:10" x14ac:dyDescent="0.3">
      <c r="A154" s="69"/>
      <c r="B154" s="69"/>
      <c r="C154" s="69"/>
      <c r="D154" s="68"/>
      <c r="E154" s="69"/>
      <c r="F154" s="69"/>
      <c r="G154" s="69"/>
      <c r="H154" s="69"/>
      <c r="I154" s="73"/>
      <c r="J154" s="69"/>
    </row>
    <row r="155" spans="1:10" x14ac:dyDescent="0.3">
      <c r="A155" s="69"/>
      <c r="B155" s="69"/>
      <c r="C155" s="69"/>
      <c r="D155" s="68"/>
      <c r="E155" s="69"/>
      <c r="F155" s="69"/>
      <c r="G155" s="69"/>
      <c r="H155" s="69"/>
      <c r="I155" s="73"/>
      <c r="J155" s="69"/>
    </row>
    <row r="156" spans="1:10" x14ac:dyDescent="0.3">
      <c r="A156" s="69"/>
      <c r="B156" s="69"/>
      <c r="C156" s="69"/>
      <c r="D156" s="68"/>
      <c r="E156" s="69"/>
      <c r="F156" s="69"/>
      <c r="G156" s="69"/>
      <c r="H156" s="69"/>
      <c r="I156" s="73"/>
      <c r="J156" s="69"/>
    </row>
    <row r="157" spans="1:10" x14ac:dyDescent="0.3">
      <c r="A157" s="69"/>
      <c r="B157" s="69"/>
      <c r="C157" s="69"/>
      <c r="D157" s="68"/>
      <c r="E157" s="69"/>
      <c r="F157" s="69"/>
      <c r="G157" s="69"/>
      <c r="H157" s="69"/>
      <c r="I157" s="73"/>
      <c r="J157" s="69"/>
    </row>
    <row r="158" spans="1:10" x14ac:dyDescent="0.3">
      <c r="A158" s="69"/>
      <c r="B158" s="69"/>
      <c r="C158" s="69"/>
      <c r="D158" s="68"/>
      <c r="E158" s="69"/>
      <c r="F158" s="69"/>
      <c r="G158" s="69"/>
      <c r="H158" s="69"/>
      <c r="I158" s="73"/>
      <c r="J158" s="69"/>
    </row>
    <row r="159" spans="1:10" x14ac:dyDescent="0.3">
      <c r="A159" s="69"/>
      <c r="B159" s="69"/>
      <c r="C159" s="69"/>
      <c r="D159" s="68"/>
      <c r="E159" s="69"/>
      <c r="F159" s="69"/>
      <c r="G159" s="69"/>
      <c r="H159" s="69"/>
      <c r="I159" s="73"/>
      <c r="J159" s="69"/>
    </row>
    <row r="160" spans="1:10" x14ac:dyDescent="0.3">
      <c r="A160" s="69"/>
      <c r="B160" s="69"/>
      <c r="C160" s="69"/>
      <c r="D160" s="68"/>
      <c r="E160" s="69"/>
      <c r="F160" s="69"/>
      <c r="G160" s="69"/>
      <c r="H160" s="69"/>
      <c r="I160" s="73"/>
      <c r="J160" s="69"/>
    </row>
    <row r="161" spans="1:10" x14ac:dyDescent="0.3">
      <c r="A161" s="69"/>
      <c r="B161" s="69"/>
      <c r="C161" s="69"/>
      <c r="D161" s="68"/>
      <c r="E161" s="69"/>
      <c r="F161" s="69"/>
      <c r="G161" s="69"/>
      <c r="H161" s="69"/>
      <c r="I161" s="73"/>
      <c r="J161" s="69"/>
    </row>
    <row r="162" spans="1:10" x14ac:dyDescent="0.3">
      <c r="A162" s="69"/>
      <c r="B162" s="69"/>
      <c r="C162" s="69"/>
      <c r="D162" s="68"/>
      <c r="E162" s="69"/>
      <c r="F162" s="69"/>
      <c r="G162" s="69"/>
      <c r="H162" s="69"/>
      <c r="I162" s="73"/>
      <c r="J162" s="69"/>
    </row>
    <row r="163" spans="1:10" x14ac:dyDescent="0.3">
      <c r="A163" s="69"/>
      <c r="B163" s="69"/>
      <c r="C163" s="69"/>
      <c r="D163" s="68"/>
      <c r="E163" s="69"/>
      <c r="F163" s="69"/>
      <c r="G163" s="69"/>
      <c r="H163" s="69"/>
      <c r="I163" s="73"/>
      <c r="J163" s="69"/>
    </row>
    <row r="164" spans="1:10" x14ac:dyDescent="0.3">
      <c r="A164" s="69"/>
      <c r="B164" s="69"/>
      <c r="C164" s="69"/>
      <c r="D164" s="68"/>
      <c r="E164" s="69"/>
      <c r="F164" s="69"/>
      <c r="G164" s="69"/>
      <c r="H164" s="69"/>
      <c r="I164" s="73"/>
      <c r="J164" s="69"/>
    </row>
    <row r="165" spans="1:10" x14ac:dyDescent="0.3">
      <c r="A165" s="69"/>
      <c r="B165" s="69"/>
      <c r="C165" s="69"/>
      <c r="D165" s="68"/>
      <c r="E165" s="69"/>
      <c r="F165" s="69"/>
      <c r="G165" s="69"/>
      <c r="H165" s="69"/>
      <c r="I165" s="73"/>
      <c r="J165" s="69"/>
    </row>
    <row r="166" spans="1:10" x14ac:dyDescent="0.3">
      <c r="A166" s="69"/>
      <c r="B166" s="69"/>
      <c r="C166" s="69"/>
      <c r="D166" s="68"/>
      <c r="E166" s="69"/>
      <c r="F166" s="69"/>
      <c r="G166" s="69"/>
      <c r="H166" s="69"/>
      <c r="I166" s="73"/>
      <c r="J166" s="69"/>
    </row>
    <row r="167" spans="1:10" x14ac:dyDescent="0.3">
      <c r="A167" s="69"/>
      <c r="B167" s="69"/>
      <c r="C167" s="69"/>
      <c r="D167" s="68"/>
      <c r="E167" s="69"/>
      <c r="F167" s="69"/>
      <c r="G167" s="69"/>
      <c r="H167" s="69"/>
      <c r="I167" s="73"/>
      <c r="J167" s="69"/>
    </row>
    <row r="168" spans="1:10" x14ac:dyDescent="0.3">
      <c r="A168" s="69"/>
      <c r="B168" s="69"/>
      <c r="C168" s="69"/>
      <c r="D168" s="68"/>
      <c r="E168" s="69"/>
      <c r="F168" s="69"/>
      <c r="G168" s="69"/>
      <c r="H168" s="69"/>
      <c r="I168" s="73"/>
      <c r="J168" s="69"/>
    </row>
    <row r="169" spans="1:10" x14ac:dyDescent="0.3">
      <c r="A169" s="69"/>
      <c r="B169" s="69"/>
      <c r="C169" s="69"/>
      <c r="D169" s="68"/>
      <c r="E169" s="69"/>
      <c r="F169" s="69"/>
      <c r="G169" s="69"/>
      <c r="H169" s="69"/>
      <c r="I169" s="73"/>
      <c r="J169" s="69"/>
    </row>
    <row r="170" spans="1:10" x14ac:dyDescent="0.3">
      <c r="A170" s="69"/>
      <c r="B170" s="69"/>
      <c r="C170" s="69"/>
      <c r="D170" s="68"/>
      <c r="E170" s="69"/>
      <c r="F170" s="69"/>
      <c r="G170" s="69"/>
      <c r="H170" s="69"/>
      <c r="I170" s="73"/>
      <c r="J170" s="69"/>
    </row>
    <row r="171" spans="1:10" x14ac:dyDescent="0.3">
      <c r="A171" s="69"/>
      <c r="B171" s="69"/>
      <c r="C171" s="69"/>
      <c r="D171" s="68"/>
      <c r="E171" s="69"/>
      <c r="F171" s="69"/>
      <c r="G171" s="69"/>
      <c r="H171" s="69"/>
      <c r="I171" s="73"/>
      <c r="J171" s="69"/>
    </row>
    <row r="172" spans="1:10" x14ac:dyDescent="0.3">
      <c r="A172" s="69"/>
      <c r="B172" s="69"/>
      <c r="C172" s="69"/>
      <c r="D172" s="68"/>
      <c r="E172" s="69"/>
      <c r="F172" s="69"/>
      <c r="G172" s="69"/>
      <c r="H172" s="69"/>
      <c r="I172" s="73"/>
      <c r="J172" s="69"/>
    </row>
    <row r="173" spans="1:10" x14ac:dyDescent="0.3">
      <c r="A173" s="69"/>
      <c r="B173" s="69"/>
      <c r="C173" s="69"/>
      <c r="D173" s="68"/>
      <c r="E173" s="69"/>
      <c r="F173" s="69"/>
      <c r="G173" s="69"/>
      <c r="H173" s="69"/>
      <c r="I173" s="73"/>
      <c r="J173" s="69"/>
    </row>
    <row r="174" spans="1:10" x14ac:dyDescent="0.3">
      <c r="A174" s="69"/>
      <c r="B174" s="69"/>
      <c r="C174" s="69"/>
      <c r="D174" s="68"/>
      <c r="E174" s="69"/>
      <c r="F174" s="69"/>
      <c r="G174" s="69"/>
      <c r="H174" s="69"/>
      <c r="I174" s="73"/>
      <c r="J174" s="69"/>
    </row>
    <row r="175" spans="1:10" x14ac:dyDescent="0.3">
      <c r="A175" s="69"/>
      <c r="B175" s="69"/>
      <c r="C175" s="69"/>
      <c r="D175" s="68"/>
      <c r="E175" s="69"/>
      <c r="F175" s="69"/>
      <c r="G175" s="69"/>
      <c r="H175" s="69"/>
      <c r="I175" s="73"/>
      <c r="J175" s="69"/>
    </row>
    <row r="176" spans="1:10" x14ac:dyDescent="0.3">
      <c r="A176" s="69"/>
      <c r="B176" s="69"/>
      <c r="C176" s="69"/>
      <c r="D176" s="68"/>
      <c r="E176" s="69"/>
      <c r="F176" s="69"/>
      <c r="G176" s="69"/>
      <c r="H176" s="69"/>
      <c r="I176" s="73"/>
      <c r="J176" s="69"/>
    </row>
    <row r="177" spans="1:10" x14ac:dyDescent="0.3">
      <c r="A177" s="69"/>
      <c r="B177" s="69"/>
      <c r="C177" s="69"/>
      <c r="D177" s="68"/>
      <c r="E177" s="69"/>
      <c r="F177" s="69"/>
      <c r="G177" s="69"/>
      <c r="H177" s="69"/>
      <c r="I177" s="73"/>
      <c r="J177" s="69"/>
    </row>
    <row r="178" spans="1:10" x14ac:dyDescent="0.3">
      <c r="A178" s="69"/>
      <c r="B178" s="69"/>
      <c r="C178" s="69"/>
      <c r="D178" s="68"/>
      <c r="E178" s="69"/>
      <c r="F178" s="69"/>
      <c r="G178" s="69"/>
      <c r="H178" s="69"/>
      <c r="I178" s="73"/>
      <c r="J178" s="69"/>
    </row>
    <row r="179" spans="1:10" x14ac:dyDescent="0.3">
      <c r="A179" s="69"/>
      <c r="B179" s="69"/>
      <c r="C179" s="69"/>
      <c r="D179" s="68"/>
      <c r="E179" s="69"/>
      <c r="F179" s="69"/>
      <c r="G179" s="69"/>
      <c r="H179" s="69"/>
      <c r="I179" s="73"/>
      <c r="J179" s="69"/>
    </row>
    <row r="180" spans="1:10" x14ac:dyDescent="0.3">
      <c r="A180" s="69"/>
      <c r="B180" s="69"/>
      <c r="C180" s="69"/>
      <c r="D180" s="68"/>
      <c r="E180" s="69"/>
      <c r="F180" s="69"/>
      <c r="G180" s="69"/>
      <c r="H180" s="69"/>
      <c r="I180" s="73"/>
      <c r="J180" s="69"/>
    </row>
    <row r="181" spans="1:10" x14ac:dyDescent="0.3">
      <c r="A181" s="69"/>
      <c r="B181" s="69"/>
      <c r="C181" s="69"/>
      <c r="D181" s="68"/>
      <c r="E181" s="69"/>
      <c r="F181" s="69"/>
      <c r="G181" s="69"/>
      <c r="H181" s="69"/>
      <c r="I181" s="73"/>
      <c r="J181" s="69"/>
    </row>
    <row r="182" spans="1:10" x14ac:dyDescent="0.3">
      <c r="A182" s="69"/>
      <c r="B182" s="69"/>
      <c r="C182" s="69"/>
      <c r="D182" s="68"/>
      <c r="E182" s="69"/>
      <c r="F182" s="69"/>
      <c r="G182" s="69"/>
      <c r="H182" s="69"/>
      <c r="I182" s="73"/>
      <c r="J182" s="69"/>
    </row>
    <row r="183" spans="1:10" x14ac:dyDescent="0.3">
      <c r="A183" s="69"/>
      <c r="B183" s="69"/>
      <c r="C183" s="69"/>
      <c r="D183" s="68"/>
      <c r="E183" s="69"/>
      <c r="F183" s="69"/>
      <c r="G183" s="69"/>
      <c r="H183" s="69"/>
      <c r="I183" s="73"/>
      <c r="J183" s="69"/>
    </row>
    <row r="184" spans="1:10" x14ac:dyDescent="0.3">
      <c r="A184" s="69"/>
      <c r="B184" s="69"/>
      <c r="C184" s="69"/>
      <c r="D184" s="68"/>
      <c r="E184" s="69"/>
      <c r="F184" s="69"/>
      <c r="G184" s="69"/>
      <c r="H184" s="69"/>
      <c r="I184" s="73"/>
      <c r="J184" s="69"/>
    </row>
    <row r="185" spans="1:10" x14ac:dyDescent="0.3">
      <c r="A185" s="69"/>
      <c r="B185" s="69"/>
      <c r="C185" s="69"/>
      <c r="D185" s="68"/>
      <c r="E185" s="69"/>
      <c r="F185" s="69"/>
      <c r="G185" s="69"/>
      <c r="H185" s="69"/>
      <c r="I185" s="73"/>
      <c r="J185" s="69"/>
    </row>
    <row r="186" spans="1:10" x14ac:dyDescent="0.3">
      <c r="A186" s="69"/>
      <c r="B186" s="69"/>
      <c r="C186" s="69"/>
      <c r="D186" s="68"/>
      <c r="E186" s="69"/>
      <c r="F186" s="69"/>
      <c r="G186" s="69"/>
      <c r="H186" s="69"/>
      <c r="I186" s="73"/>
      <c r="J186" s="69"/>
    </row>
    <row r="187" spans="1:10" x14ac:dyDescent="0.3">
      <c r="A187" s="69"/>
      <c r="B187" s="69"/>
      <c r="C187" s="69"/>
      <c r="D187" s="68"/>
      <c r="E187" s="69"/>
      <c r="F187" s="69"/>
      <c r="G187" s="69"/>
      <c r="H187" s="69"/>
      <c r="I187" s="73"/>
      <c r="J187" s="69"/>
    </row>
    <row r="188" spans="1:10" x14ac:dyDescent="0.3">
      <c r="A188" s="69"/>
      <c r="B188" s="69"/>
      <c r="C188" s="69"/>
      <c r="D188" s="68"/>
      <c r="E188" s="69"/>
      <c r="F188" s="69"/>
      <c r="G188" s="69"/>
      <c r="H188" s="69"/>
      <c r="I188" s="73"/>
      <c r="J188" s="69"/>
    </row>
    <row r="189" spans="1:10" x14ac:dyDescent="0.3">
      <c r="A189" s="69"/>
      <c r="B189" s="69"/>
      <c r="C189" s="69"/>
      <c r="D189" s="68"/>
      <c r="E189" s="69"/>
      <c r="F189" s="69"/>
      <c r="G189" s="69"/>
      <c r="H189" s="69"/>
      <c r="I189" s="73"/>
      <c r="J189" s="69"/>
    </row>
    <row r="190" spans="1:10" x14ac:dyDescent="0.3">
      <c r="A190" s="69"/>
      <c r="B190" s="69"/>
      <c r="C190" s="69"/>
      <c r="D190" s="68"/>
      <c r="E190" s="69"/>
      <c r="F190" s="69"/>
      <c r="G190" s="69"/>
      <c r="H190" s="69"/>
      <c r="I190" s="73"/>
      <c r="J190" s="69"/>
    </row>
    <row r="191" spans="1:10" x14ac:dyDescent="0.3">
      <c r="A191" s="69"/>
      <c r="B191" s="69"/>
      <c r="C191" s="69"/>
      <c r="D191" s="68"/>
      <c r="E191" s="69"/>
      <c r="F191" s="69"/>
      <c r="G191" s="69"/>
      <c r="H191" s="69"/>
      <c r="I191" s="73"/>
      <c r="J191" s="69"/>
    </row>
    <row r="192" spans="1:10" x14ac:dyDescent="0.3">
      <c r="A192" s="69"/>
      <c r="B192" s="69"/>
      <c r="C192" s="69"/>
      <c r="D192" s="68"/>
      <c r="E192" s="69"/>
      <c r="F192" s="69"/>
      <c r="G192" s="69"/>
      <c r="H192" s="69"/>
      <c r="I192" s="73"/>
      <c r="J192" s="69"/>
    </row>
    <row r="193" spans="1:10" x14ac:dyDescent="0.3">
      <c r="A193" s="69"/>
      <c r="B193" s="69"/>
      <c r="C193" s="69"/>
      <c r="D193" s="68"/>
      <c r="E193" s="69"/>
      <c r="F193" s="69"/>
      <c r="G193" s="69"/>
      <c r="H193" s="69"/>
      <c r="I193" s="73"/>
      <c r="J193" s="69"/>
    </row>
    <row r="194" spans="1:10" x14ac:dyDescent="0.3">
      <c r="A194" s="69"/>
      <c r="B194" s="69"/>
      <c r="C194" s="69"/>
      <c r="D194" s="68"/>
      <c r="E194" s="69"/>
      <c r="F194" s="69"/>
      <c r="G194" s="69"/>
      <c r="H194" s="69"/>
      <c r="I194" s="73"/>
      <c r="J194" s="69"/>
    </row>
    <row r="195" spans="1:10" x14ac:dyDescent="0.3">
      <c r="A195" s="69"/>
      <c r="B195" s="69"/>
      <c r="C195" s="69"/>
      <c r="D195" s="68"/>
      <c r="E195" s="69"/>
      <c r="F195" s="69"/>
      <c r="G195" s="69"/>
      <c r="H195" s="69"/>
      <c r="I195" s="73"/>
      <c r="J195" s="69"/>
    </row>
    <row r="196" spans="1:10" x14ac:dyDescent="0.3">
      <c r="A196" s="69"/>
      <c r="B196" s="69"/>
      <c r="C196" s="69"/>
      <c r="D196" s="68"/>
      <c r="E196" s="69"/>
      <c r="F196" s="69"/>
      <c r="G196" s="69"/>
      <c r="H196" s="69"/>
      <c r="I196" s="73"/>
      <c r="J196" s="69"/>
    </row>
    <row r="197" spans="1:10" x14ac:dyDescent="0.3">
      <c r="A197" s="69"/>
      <c r="B197" s="69"/>
      <c r="C197" s="69"/>
      <c r="D197" s="68"/>
      <c r="E197" s="69"/>
      <c r="F197" s="69"/>
      <c r="G197" s="69"/>
      <c r="H197" s="69"/>
      <c r="I197" s="73"/>
      <c r="J197" s="69"/>
    </row>
    <row r="198" spans="1:10" x14ac:dyDescent="0.3">
      <c r="A198" s="69"/>
      <c r="B198" s="69"/>
      <c r="C198" s="69"/>
      <c r="D198" s="68"/>
      <c r="E198" s="69"/>
      <c r="F198" s="69"/>
      <c r="G198" s="69"/>
      <c r="H198" s="69"/>
      <c r="I198" s="73"/>
      <c r="J198" s="69"/>
    </row>
    <row r="199" spans="1:10" x14ac:dyDescent="0.3">
      <c r="A199" s="69"/>
      <c r="B199" s="69"/>
      <c r="C199" s="69"/>
      <c r="D199" s="68"/>
      <c r="E199" s="69"/>
      <c r="F199" s="69"/>
      <c r="G199" s="69"/>
      <c r="H199" s="69"/>
      <c r="I199" s="73"/>
      <c r="J199" s="69"/>
    </row>
    <row r="200" spans="1:10" x14ac:dyDescent="0.3">
      <c r="A200" s="69"/>
      <c r="B200" s="69"/>
      <c r="C200" s="69"/>
      <c r="D200" s="68"/>
      <c r="E200" s="69"/>
      <c r="F200" s="69"/>
      <c r="G200" s="69"/>
      <c r="H200" s="69"/>
      <c r="I200" s="73"/>
      <c r="J200" s="69"/>
    </row>
    <row r="201" spans="1:10" x14ac:dyDescent="0.3">
      <c r="A201" s="69"/>
      <c r="B201" s="69"/>
      <c r="C201" s="69"/>
      <c r="D201" s="68"/>
      <c r="E201" s="69"/>
      <c r="F201" s="69"/>
      <c r="G201" s="69"/>
      <c r="H201" s="69"/>
      <c r="I201" s="73"/>
      <c r="J201" s="69"/>
    </row>
    <row r="202" spans="1:10" x14ac:dyDescent="0.3">
      <c r="A202" s="69"/>
      <c r="B202" s="69"/>
      <c r="C202" s="69"/>
      <c r="D202" s="68"/>
      <c r="E202" s="69"/>
      <c r="F202" s="69"/>
      <c r="G202" s="69"/>
      <c r="H202" s="69"/>
      <c r="I202" s="73"/>
      <c r="J202" s="69"/>
    </row>
    <row r="203" spans="1:10" x14ac:dyDescent="0.3">
      <c r="A203" s="69"/>
      <c r="B203" s="69"/>
      <c r="C203" s="69"/>
      <c r="D203" s="68"/>
      <c r="E203" s="69"/>
      <c r="F203" s="69"/>
      <c r="G203" s="69"/>
      <c r="H203" s="69"/>
      <c r="I203" s="73"/>
      <c r="J203" s="69"/>
    </row>
    <row r="204" spans="1:10" x14ac:dyDescent="0.3">
      <c r="A204" s="69"/>
      <c r="B204" s="69"/>
      <c r="C204" s="69"/>
      <c r="D204" s="68"/>
      <c r="E204" s="69"/>
      <c r="F204" s="69"/>
      <c r="G204" s="69"/>
      <c r="H204" s="69"/>
      <c r="I204" s="73"/>
      <c r="J204" s="69"/>
    </row>
    <row r="205" spans="1:10" x14ac:dyDescent="0.3">
      <c r="A205" s="69"/>
      <c r="B205" s="69"/>
      <c r="C205" s="69"/>
      <c r="D205" s="68"/>
      <c r="E205" s="69"/>
      <c r="F205" s="69"/>
      <c r="G205" s="69"/>
      <c r="H205" s="69"/>
      <c r="I205" s="73"/>
      <c r="J205" s="69"/>
    </row>
    <row r="206" spans="1:10" x14ac:dyDescent="0.3">
      <c r="A206" s="69"/>
      <c r="B206" s="69"/>
      <c r="C206" s="69"/>
      <c r="D206" s="68"/>
      <c r="E206" s="69"/>
      <c r="F206" s="69"/>
      <c r="G206" s="69"/>
      <c r="H206" s="69"/>
      <c r="I206" s="73"/>
      <c r="J206" s="69"/>
    </row>
    <row r="207" spans="1:10" x14ac:dyDescent="0.3">
      <c r="A207" s="69"/>
      <c r="B207" s="69"/>
      <c r="C207" s="69"/>
      <c r="D207" s="68"/>
      <c r="E207" s="69"/>
      <c r="F207" s="69"/>
      <c r="G207" s="69"/>
      <c r="H207" s="69"/>
      <c r="I207" s="73"/>
      <c r="J207" s="69"/>
    </row>
    <row r="208" spans="1:10" x14ac:dyDescent="0.3">
      <c r="A208" s="69"/>
      <c r="B208" s="69"/>
      <c r="C208" s="69"/>
      <c r="D208" s="68"/>
      <c r="E208" s="69"/>
      <c r="F208" s="69"/>
      <c r="G208" s="69"/>
      <c r="H208" s="69"/>
      <c r="I208" s="73"/>
      <c r="J208" s="69"/>
    </row>
    <row r="209" spans="1:10" x14ac:dyDescent="0.3">
      <c r="A209" s="69"/>
      <c r="B209" s="69"/>
      <c r="C209" s="69"/>
      <c r="D209" s="68"/>
      <c r="E209" s="69"/>
      <c r="F209" s="69"/>
      <c r="G209" s="69"/>
      <c r="H209" s="69"/>
      <c r="I209" s="73"/>
      <c r="J209" s="69"/>
    </row>
    <row r="210" spans="1:10" x14ac:dyDescent="0.3">
      <c r="A210" s="69"/>
      <c r="B210" s="69"/>
      <c r="C210" s="69"/>
      <c r="D210" s="68"/>
      <c r="E210" s="69"/>
      <c r="F210" s="69"/>
      <c r="G210" s="69"/>
      <c r="H210" s="69"/>
      <c r="I210" s="73"/>
      <c r="J210" s="69"/>
    </row>
    <row r="211" spans="1:10" x14ac:dyDescent="0.3">
      <c r="A211" s="69"/>
      <c r="B211" s="69"/>
      <c r="C211" s="69"/>
      <c r="D211" s="68"/>
      <c r="E211" s="69"/>
      <c r="F211" s="69"/>
      <c r="G211" s="69"/>
      <c r="H211" s="69"/>
      <c r="I211" s="73"/>
      <c r="J211" s="69"/>
    </row>
    <row r="212" spans="1:10" x14ac:dyDescent="0.3">
      <c r="A212" s="69"/>
      <c r="B212" s="69"/>
      <c r="C212" s="69"/>
      <c r="D212" s="68"/>
      <c r="E212" s="69"/>
      <c r="F212" s="69"/>
      <c r="G212" s="69"/>
      <c r="H212" s="69"/>
      <c r="I212" s="73"/>
      <c r="J212" s="69"/>
    </row>
    <row r="213" spans="1:10" x14ac:dyDescent="0.3">
      <c r="A213" s="69"/>
      <c r="B213" s="69"/>
      <c r="C213" s="69"/>
      <c r="D213" s="68"/>
      <c r="E213" s="69"/>
      <c r="F213" s="69"/>
      <c r="G213" s="69"/>
      <c r="H213" s="69"/>
      <c r="I213" s="73"/>
      <c r="J213" s="69"/>
    </row>
    <row r="214" spans="1:10" x14ac:dyDescent="0.3">
      <c r="A214" s="69"/>
      <c r="B214" s="69"/>
      <c r="C214" s="69"/>
      <c r="D214" s="68"/>
      <c r="E214" s="69"/>
      <c r="F214" s="69"/>
      <c r="G214" s="69"/>
      <c r="H214" s="69"/>
      <c r="I214" s="73"/>
      <c r="J214" s="69"/>
    </row>
    <row r="215" spans="1:10" x14ac:dyDescent="0.3">
      <c r="A215" s="69"/>
      <c r="B215" s="69"/>
      <c r="C215" s="69"/>
      <c r="D215" s="68"/>
      <c r="E215" s="69"/>
      <c r="F215" s="69"/>
      <c r="G215" s="69"/>
      <c r="H215" s="69"/>
      <c r="I215" s="73"/>
      <c r="J215" s="69"/>
    </row>
    <row r="216" spans="1:10" x14ac:dyDescent="0.3">
      <c r="A216" s="69"/>
      <c r="B216" s="69"/>
      <c r="C216" s="69"/>
      <c r="D216" s="68"/>
      <c r="E216" s="69"/>
      <c r="F216" s="69"/>
      <c r="G216" s="69"/>
      <c r="H216" s="69"/>
      <c r="I216" s="73"/>
      <c r="J216" s="69"/>
    </row>
    <row r="217" spans="1:10" x14ac:dyDescent="0.3">
      <c r="A217" s="69"/>
      <c r="B217" s="69"/>
      <c r="C217" s="69"/>
      <c r="D217" s="68"/>
      <c r="E217" s="69"/>
      <c r="F217" s="69"/>
      <c r="G217" s="69"/>
      <c r="H217" s="69"/>
      <c r="I217" s="73"/>
      <c r="J217" s="69"/>
    </row>
    <row r="218" spans="1:10" x14ac:dyDescent="0.3">
      <c r="A218" s="69"/>
      <c r="B218" s="69"/>
      <c r="C218" s="69"/>
      <c r="D218" s="68"/>
      <c r="E218" s="69"/>
      <c r="F218" s="69"/>
      <c r="G218" s="69"/>
      <c r="H218" s="69"/>
      <c r="I218" s="73"/>
      <c r="J218" s="69"/>
    </row>
    <row r="219" spans="1:10" x14ac:dyDescent="0.3">
      <c r="A219" s="69"/>
      <c r="B219" s="69"/>
      <c r="C219" s="69"/>
      <c r="D219" s="68"/>
      <c r="E219" s="69"/>
      <c r="F219" s="69"/>
      <c r="G219" s="69"/>
      <c r="H219" s="69"/>
      <c r="I219" s="73"/>
      <c r="J219" s="69"/>
    </row>
    <row r="220" spans="1:10" x14ac:dyDescent="0.3">
      <c r="A220" s="69"/>
      <c r="B220" s="69"/>
      <c r="C220" s="69"/>
      <c r="D220" s="68"/>
      <c r="E220" s="69"/>
      <c r="F220" s="69"/>
      <c r="G220" s="69"/>
      <c r="H220" s="69"/>
      <c r="I220" s="73"/>
      <c r="J220" s="69"/>
    </row>
    <row r="221" spans="1:10" x14ac:dyDescent="0.3">
      <c r="A221" s="69"/>
      <c r="B221" s="69"/>
      <c r="C221" s="69"/>
      <c r="D221" s="68"/>
      <c r="E221" s="69"/>
      <c r="F221" s="69"/>
      <c r="G221" s="69"/>
      <c r="H221" s="69"/>
      <c r="I221" s="73"/>
      <c r="J221" s="69"/>
    </row>
    <row r="222" spans="1:10" x14ac:dyDescent="0.3">
      <c r="A222" s="69"/>
      <c r="B222" s="69"/>
      <c r="C222" s="69"/>
      <c r="D222" s="68"/>
      <c r="E222" s="69"/>
      <c r="F222" s="69"/>
      <c r="G222" s="69"/>
      <c r="H222" s="69"/>
      <c r="I222" s="73"/>
      <c r="J222" s="69"/>
    </row>
    <row r="223" spans="1:10" x14ac:dyDescent="0.3">
      <c r="A223" s="69"/>
      <c r="B223" s="69"/>
      <c r="C223" s="69"/>
      <c r="D223" s="68"/>
      <c r="E223" s="69"/>
      <c r="F223" s="69"/>
      <c r="G223" s="69"/>
      <c r="H223" s="69"/>
      <c r="I223" s="73"/>
      <c r="J223" s="69"/>
    </row>
    <row r="224" spans="1:10" x14ac:dyDescent="0.3">
      <c r="A224" s="69"/>
      <c r="B224" s="69"/>
      <c r="C224" s="69"/>
      <c r="D224" s="68"/>
      <c r="E224" s="69"/>
      <c r="F224" s="69"/>
      <c r="G224" s="69"/>
      <c r="H224" s="69"/>
      <c r="I224" s="73"/>
      <c r="J224" s="69"/>
    </row>
    <row r="225" spans="1:10" x14ac:dyDescent="0.3">
      <c r="A225" s="69"/>
      <c r="B225" s="69"/>
      <c r="C225" s="69"/>
      <c r="D225" s="68"/>
      <c r="E225" s="69"/>
      <c r="F225" s="69"/>
      <c r="G225" s="69"/>
      <c r="H225" s="69"/>
      <c r="I225" s="73"/>
      <c r="J225" s="69"/>
    </row>
    <row r="226" spans="1:10" x14ac:dyDescent="0.3">
      <c r="A226" s="69"/>
      <c r="B226" s="69"/>
      <c r="C226" s="69"/>
      <c r="D226" s="68"/>
      <c r="E226" s="69"/>
      <c r="F226" s="69"/>
      <c r="G226" s="69"/>
      <c r="H226" s="69"/>
      <c r="I226" s="73"/>
      <c r="J226" s="69"/>
    </row>
    <row r="227" spans="1:10" x14ac:dyDescent="0.3">
      <c r="A227" s="69"/>
      <c r="B227" s="69"/>
      <c r="C227" s="69"/>
      <c r="D227" s="68"/>
      <c r="E227" s="69"/>
      <c r="F227" s="69"/>
      <c r="G227" s="69"/>
      <c r="H227" s="69"/>
      <c r="I227" s="73"/>
      <c r="J227" s="69"/>
    </row>
    <row r="228" spans="1:10" x14ac:dyDescent="0.3">
      <c r="A228" s="69"/>
      <c r="B228" s="69"/>
      <c r="C228" s="69"/>
      <c r="D228" s="68"/>
      <c r="E228" s="69"/>
      <c r="F228" s="69"/>
      <c r="G228" s="69"/>
      <c r="H228" s="69"/>
      <c r="I228" s="73"/>
      <c r="J228" s="69"/>
    </row>
    <row r="229" spans="1:10" x14ac:dyDescent="0.3">
      <c r="A229" s="69"/>
      <c r="B229" s="69"/>
      <c r="C229" s="69"/>
      <c r="D229" s="68"/>
      <c r="E229" s="69"/>
      <c r="F229" s="69"/>
      <c r="G229" s="69"/>
      <c r="H229" s="69"/>
      <c r="I229" s="73"/>
      <c r="J229" s="69"/>
    </row>
    <row r="230" spans="1:10" x14ac:dyDescent="0.3">
      <c r="A230" s="69"/>
      <c r="B230" s="69"/>
      <c r="C230" s="69"/>
      <c r="D230" s="68"/>
      <c r="E230" s="69"/>
      <c r="F230" s="69"/>
      <c r="G230" s="69"/>
      <c r="H230" s="69"/>
      <c r="I230" s="73"/>
      <c r="J230" s="69"/>
    </row>
    <row r="231" spans="1:10" x14ac:dyDescent="0.3">
      <c r="A231" s="69"/>
      <c r="B231" s="69"/>
      <c r="C231" s="69"/>
      <c r="D231" s="68"/>
      <c r="E231" s="69"/>
      <c r="F231" s="69"/>
      <c r="G231" s="69"/>
      <c r="H231" s="69"/>
      <c r="I231" s="73"/>
      <c r="J231" s="69"/>
    </row>
    <row r="232" spans="1:10" x14ac:dyDescent="0.3">
      <c r="A232" s="69"/>
      <c r="B232" s="69"/>
      <c r="C232" s="69"/>
      <c r="D232" s="68"/>
      <c r="E232" s="69"/>
      <c r="F232" s="69"/>
      <c r="G232" s="69"/>
      <c r="H232" s="69"/>
      <c r="I232" s="73"/>
      <c r="J232" s="69"/>
    </row>
    <row r="233" spans="1:10" x14ac:dyDescent="0.3">
      <c r="A233" s="69"/>
      <c r="B233" s="69"/>
      <c r="C233" s="69"/>
      <c r="D233" s="68"/>
      <c r="E233" s="69"/>
      <c r="F233" s="69"/>
      <c r="G233" s="69"/>
      <c r="H233" s="69"/>
      <c r="I233" s="73"/>
      <c r="J233" s="69"/>
    </row>
    <row r="234" spans="1:10" x14ac:dyDescent="0.3">
      <c r="A234" s="69"/>
      <c r="B234" s="69"/>
      <c r="C234" s="69"/>
      <c r="D234" s="68"/>
      <c r="E234" s="69"/>
      <c r="F234" s="69"/>
      <c r="G234" s="69"/>
      <c r="H234" s="69"/>
      <c r="I234" s="73"/>
      <c r="J234" s="69"/>
    </row>
    <row r="235" spans="1:10" x14ac:dyDescent="0.3">
      <c r="A235" s="69"/>
      <c r="B235" s="69"/>
      <c r="C235" s="69"/>
      <c r="D235" s="68"/>
      <c r="E235" s="69"/>
      <c r="F235" s="69"/>
      <c r="G235" s="69"/>
      <c r="H235" s="69"/>
      <c r="I235" s="73"/>
      <c r="J235" s="69"/>
    </row>
    <row r="236" spans="1:10" x14ac:dyDescent="0.3">
      <c r="A236" s="69"/>
      <c r="B236" s="69"/>
      <c r="C236" s="69"/>
      <c r="D236" s="68"/>
      <c r="E236" s="69"/>
      <c r="F236" s="69"/>
      <c r="G236" s="69"/>
      <c r="H236" s="69"/>
      <c r="I236" s="73"/>
      <c r="J236" s="69"/>
    </row>
    <row r="237" spans="1:10" x14ac:dyDescent="0.3">
      <c r="A237" s="69"/>
      <c r="B237" s="69"/>
      <c r="C237" s="69"/>
      <c r="D237" s="68"/>
      <c r="E237" s="69"/>
      <c r="F237" s="69"/>
      <c r="G237" s="69"/>
      <c r="H237" s="69"/>
      <c r="I237" s="73"/>
      <c r="J237" s="69"/>
    </row>
    <row r="238" spans="1:10" x14ac:dyDescent="0.3">
      <c r="A238" s="69"/>
      <c r="B238" s="69"/>
      <c r="C238" s="69"/>
      <c r="D238" s="68"/>
      <c r="E238" s="69"/>
      <c r="F238" s="69"/>
      <c r="G238" s="69"/>
      <c r="H238" s="69"/>
      <c r="I238" s="73"/>
      <c r="J238" s="69"/>
    </row>
    <row r="239" spans="1:10" x14ac:dyDescent="0.3">
      <c r="A239" s="69"/>
      <c r="B239" s="69"/>
      <c r="C239" s="69"/>
      <c r="D239" s="68"/>
      <c r="E239" s="69"/>
      <c r="F239" s="69"/>
      <c r="G239" s="69"/>
      <c r="H239" s="69"/>
      <c r="I239" s="73"/>
      <c r="J239" s="69"/>
    </row>
    <row r="240" spans="1:10" x14ac:dyDescent="0.3">
      <c r="A240" s="69"/>
      <c r="B240" s="69"/>
      <c r="C240" s="69"/>
      <c r="D240" s="68"/>
      <c r="E240" s="69"/>
      <c r="F240" s="69"/>
      <c r="G240" s="69"/>
      <c r="H240" s="69"/>
      <c r="I240" s="73"/>
      <c r="J240" s="69"/>
    </row>
    <row r="241" spans="1:10" x14ac:dyDescent="0.3">
      <c r="A241" s="69"/>
      <c r="B241" s="69"/>
      <c r="C241" s="69"/>
      <c r="D241" s="68"/>
      <c r="E241" s="69"/>
      <c r="F241" s="69"/>
      <c r="G241" s="69"/>
      <c r="H241" s="69"/>
      <c r="I241" s="73"/>
      <c r="J241" s="69"/>
    </row>
    <row r="242" spans="1:10" x14ac:dyDescent="0.3">
      <c r="A242" s="69"/>
      <c r="B242" s="69"/>
      <c r="C242" s="69"/>
      <c r="D242" s="68"/>
      <c r="E242" s="69"/>
      <c r="F242" s="69"/>
      <c r="G242" s="69"/>
      <c r="H242" s="69"/>
      <c r="I242" s="73"/>
      <c r="J242" s="69"/>
    </row>
    <row r="243" spans="1:10" x14ac:dyDescent="0.3">
      <c r="A243" s="69"/>
      <c r="B243" s="69"/>
      <c r="C243" s="69"/>
      <c r="D243" s="68"/>
      <c r="E243" s="69"/>
      <c r="F243" s="69"/>
      <c r="G243" s="69"/>
      <c r="H243" s="69"/>
      <c r="I243" s="73"/>
      <c r="J243" s="69"/>
    </row>
    <row r="244" spans="1:10" x14ac:dyDescent="0.3">
      <c r="A244" s="69"/>
      <c r="B244" s="69"/>
      <c r="C244" s="69"/>
      <c r="D244" s="68"/>
      <c r="E244" s="69"/>
      <c r="F244" s="69"/>
      <c r="G244" s="69"/>
      <c r="H244" s="69"/>
      <c r="I244" s="73"/>
      <c r="J244" s="69"/>
    </row>
    <row r="245" spans="1:10" x14ac:dyDescent="0.3">
      <c r="A245" s="69"/>
      <c r="B245" s="69"/>
      <c r="C245" s="69"/>
      <c r="D245" s="68"/>
      <c r="E245" s="69"/>
      <c r="F245" s="69"/>
      <c r="G245" s="69"/>
      <c r="H245" s="69"/>
      <c r="I245" s="73"/>
      <c r="J245" s="69"/>
    </row>
    <row r="246" spans="1:10" x14ac:dyDescent="0.3">
      <c r="A246" s="69"/>
      <c r="B246" s="69"/>
      <c r="C246" s="69"/>
      <c r="D246" s="68"/>
      <c r="E246" s="69"/>
      <c r="F246" s="69"/>
      <c r="G246" s="69"/>
      <c r="H246" s="69"/>
      <c r="I246" s="73"/>
      <c r="J246" s="69"/>
    </row>
    <row r="247" spans="1:10" x14ac:dyDescent="0.3">
      <c r="A247" s="69"/>
      <c r="B247" s="69"/>
      <c r="C247" s="69"/>
      <c r="D247" s="68"/>
      <c r="E247" s="69"/>
      <c r="F247" s="69"/>
      <c r="G247" s="69"/>
      <c r="H247" s="69"/>
      <c r="I247" s="73"/>
      <c r="J247" s="69"/>
    </row>
    <row r="248" spans="1:10" x14ac:dyDescent="0.3">
      <c r="A248" s="69"/>
      <c r="B248" s="69"/>
      <c r="C248" s="69"/>
      <c r="D248" s="68"/>
      <c r="E248" s="69"/>
      <c r="F248" s="69"/>
      <c r="G248" s="69"/>
      <c r="H248" s="69"/>
      <c r="I248" s="73"/>
      <c r="J248" s="69"/>
    </row>
    <row r="249" spans="1:10" x14ac:dyDescent="0.3">
      <c r="A249" s="69"/>
      <c r="B249" s="69"/>
      <c r="C249" s="69"/>
      <c r="D249" s="68"/>
      <c r="E249" s="69"/>
      <c r="F249" s="69"/>
      <c r="G249" s="69"/>
      <c r="H249" s="69"/>
      <c r="I249" s="73"/>
      <c r="J249" s="69"/>
    </row>
    <row r="250" spans="1:10" x14ac:dyDescent="0.3">
      <c r="A250" s="69"/>
      <c r="B250" s="69"/>
      <c r="C250" s="69"/>
      <c r="D250" s="68"/>
      <c r="E250" s="69"/>
      <c r="F250" s="69"/>
      <c r="G250" s="69"/>
      <c r="H250" s="69"/>
      <c r="I250" s="73"/>
      <c r="J250" s="69"/>
    </row>
    <row r="251" spans="1:10" x14ac:dyDescent="0.3">
      <c r="A251" s="69"/>
      <c r="B251" s="69"/>
      <c r="C251" s="69"/>
      <c r="D251" s="68"/>
      <c r="E251" s="69"/>
      <c r="F251" s="69"/>
      <c r="G251" s="69"/>
      <c r="H251" s="69"/>
      <c r="I251" s="73"/>
      <c r="J251" s="69"/>
    </row>
    <row r="252" spans="1:10" x14ac:dyDescent="0.3">
      <c r="A252" s="69"/>
      <c r="B252" s="69"/>
      <c r="C252" s="69"/>
      <c r="D252" s="68"/>
      <c r="E252" s="69"/>
      <c r="F252" s="69"/>
      <c r="G252" s="69"/>
      <c r="H252" s="69"/>
      <c r="I252" s="73"/>
      <c r="J252" s="69"/>
    </row>
    <row r="253" spans="1:10" x14ac:dyDescent="0.3">
      <c r="A253" s="69"/>
      <c r="B253" s="69"/>
      <c r="C253" s="69"/>
      <c r="D253" s="68"/>
      <c r="E253" s="69"/>
      <c r="F253" s="69"/>
      <c r="G253" s="69"/>
      <c r="H253" s="69"/>
      <c r="I253" s="73"/>
      <c r="J253" s="69"/>
    </row>
    <row r="254" spans="1:10" x14ac:dyDescent="0.3">
      <c r="A254" s="69"/>
      <c r="B254" s="69"/>
      <c r="C254" s="69"/>
      <c r="D254" s="68"/>
      <c r="E254" s="69"/>
      <c r="F254" s="69"/>
      <c r="G254" s="69"/>
      <c r="H254" s="69"/>
      <c r="I254" s="73"/>
      <c r="J254" s="69"/>
    </row>
    <row r="255" spans="1:10" x14ac:dyDescent="0.3">
      <c r="A255" s="69"/>
      <c r="B255" s="69"/>
      <c r="C255" s="69"/>
      <c r="D255" s="68"/>
      <c r="E255" s="69"/>
      <c r="F255" s="69"/>
      <c r="G255" s="69"/>
      <c r="H255" s="69"/>
      <c r="I255" s="73"/>
      <c r="J255" s="69"/>
    </row>
    <row r="256" spans="1:10" x14ac:dyDescent="0.3">
      <c r="A256" s="69"/>
      <c r="B256" s="69"/>
      <c r="C256" s="69"/>
      <c r="D256" s="68"/>
      <c r="E256" s="69"/>
      <c r="F256" s="69"/>
      <c r="G256" s="69"/>
      <c r="H256" s="69"/>
      <c r="I256" s="73"/>
      <c r="J256" s="69"/>
    </row>
    <row r="257" spans="1:10" x14ac:dyDescent="0.3">
      <c r="A257" s="69"/>
      <c r="B257" s="69"/>
      <c r="C257" s="69"/>
      <c r="D257" s="68"/>
      <c r="E257" s="69"/>
      <c r="F257" s="69"/>
      <c r="G257" s="69"/>
      <c r="H257" s="69"/>
      <c r="I257" s="73"/>
      <c r="J257" s="69"/>
    </row>
    <row r="258" spans="1:10" x14ac:dyDescent="0.3">
      <c r="A258" s="69"/>
      <c r="B258" s="69"/>
      <c r="C258" s="69"/>
      <c r="D258" s="68"/>
      <c r="E258" s="69"/>
      <c r="F258" s="69"/>
      <c r="G258" s="69"/>
      <c r="H258" s="69"/>
      <c r="I258" s="73"/>
      <c r="J258" s="69"/>
    </row>
    <row r="259" spans="1:10" x14ac:dyDescent="0.3">
      <c r="A259" s="69"/>
      <c r="B259" s="69"/>
      <c r="C259" s="69"/>
      <c r="D259" s="68"/>
      <c r="E259" s="69"/>
      <c r="F259" s="69"/>
      <c r="G259" s="69"/>
      <c r="H259" s="69"/>
      <c r="I259" s="73"/>
      <c r="J259" s="69"/>
    </row>
    <row r="260" spans="1:10" x14ac:dyDescent="0.3">
      <c r="A260" s="69"/>
      <c r="B260" s="69"/>
      <c r="C260" s="69"/>
      <c r="D260" s="68"/>
      <c r="E260" s="69"/>
      <c r="F260" s="69"/>
      <c r="G260" s="69"/>
      <c r="H260" s="69"/>
      <c r="I260" s="73"/>
      <c r="J260" s="69"/>
    </row>
    <row r="261" spans="1:10" x14ac:dyDescent="0.3">
      <c r="A261" s="69"/>
      <c r="B261" s="69"/>
      <c r="C261" s="69"/>
      <c r="D261" s="68"/>
      <c r="E261" s="69"/>
      <c r="F261" s="69"/>
      <c r="G261" s="69"/>
      <c r="H261" s="69"/>
      <c r="I261" s="73"/>
      <c r="J261" s="69"/>
    </row>
    <row r="262" spans="1:10" x14ac:dyDescent="0.3">
      <c r="A262" s="69"/>
      <c r="B262" s="69"/>
      <c r="C262" s="69"/>
      <c r="D262" s="68"/>
      <c r="E262" s="69"/>
      <c r="F262" s="69"/>
      <c r="G262" s="69"/>
      <c r="H262" s="69"/>
      <c r="I262" s="73"/>
      <c r="J262" s="69"/>
    </row>
    <row r="263" spans="1:10" x14ac:dyDescent="0.3">
      <c r="A263" s="69"/>
      <c r="B263" s="69"/>
      <c r="C263" s="69"/>
      <c r="D263" s="68"/>
      <c r="E263" s="69"/>
      <c r="F263" s="69"/>
      <c r="G263" s="69"/>
      <c r="H263" s="69"/>
      <c r="I263" s="73"/>
      <c r="J263" s="69"/>
    </row>
    <row r="264" spans="1:10" x14ac:dyDescent="0.3">
      <c r="A264" s="69"/>
      <c r="B264" s="69"/>
      <c r="C264" s="69"/>
      <c r="D264" s="68"/>
      <c r="E264" s="69"/>
      <c r="F264" s="69"/>
      <c r="G264" s="69"/>
      <c r="H264" s="69"/>
      <c r="I264" s="73"/>
      <c r="J264" s="69"/>
    </row>
    <row r="265" spans="1:10" x14ac:dyDescent="0.3">
      <c r="A265" s="69"/>
      <c r="B265" s="69"/>
      <c r="C265" s="69"/>
      <c r="D265" s="68"/>
      <c r="E265" s="69"/>
      <c r="F265" s="69"/>
      <c r="G265" s="69"/>
      <c r="H265" s="69"/>
      <c r="I265" s="73"/>
      <c r="J265" s="69"/>
    </row>
    <row r="266" spans="1:10" x14ac:dyDescent="0.3">
      <c r="A266" s="69"/>
      <c r="B266" s="69"/>
      <c r="C266" s="69"/>
      <c r="D266" s="68"/>
      <c r="E266" s="69"/>
      <c r="F266" s="69"/>
      <c r="G266" s="69"/>
      <c r="H266" s="69"/>
      <c r="I266" s="73"/>
      <c r="J266" s="69"/>
    </row>
    <row r="267" spans="1:10" x14ac:dyDescent="0.3">
      <c r="A267" s="69"/>
      <c r="B267" s="69"/>
      <c r="C267" s="69"/>
      <c r="D267" s="68"/>
      <c r="E267" s="69"/>
      <c r="F267" s="69"/>
      <c r="G267" s="69"/>
      <c r="H267" s="69"/>
      <c r="I267" s="73"/>
      <c r="J267" s="69"/>
    </row>
    <row r="268" spans="1:10" x14ac:dyDescent="0.3">
      <c r="A268" s="69"/>
      <c r="B268" s="69"/>
      <c r="C268" s="69"/>
      <c r="D268" s="68"/>
      <c r="E268" s="69"/>
      <c r="F268" s="69"/>
      <c r="G268" s="69"/>
      <c r="H268" s="69"/>
      <c r="I268" s="73"/>
      <c r="J268" s="69"/>
    </row>
    <row r="269" spans="1:10" x14ac:dyDescent="0.3">
      <c r="A269" s="69"/>
      <c r="B269" s="69"/>
      <c r="C269" s="69"/>
      <c r="D269" s="68"/>
      <c r="E269" s="69"/>
      <c r="F269" s="69"/>
      <c r="G269" s="69"/>
      <c r="H269" s="69"/>
      <c r="I269" s="73"/>
      <c r="J269" s="69"/>
    </row>
    <row r="270" spans="1:10" x14ac:dyDescent="0.3">
      <c r="A270" s="69"/>
      <c r="B270" s="69"/>
      <c r="C270" s="69"/>
      <c r="D270" s="68"/>
      <c r="E270" s="69"/>
      <c r="F270" s="69"/>
      <c r="G270" s="69"/>
      <c r="H270" s="69"/>
      <c r="I270" s="73"/>
      <c r="J270" s="69"/>
    </row>
    <row r="271" spans="1:10" x14ac:dyDescent="0.3">
      <c r="A271" s="69"/>
      <c r="B271" s="69"/>
      <c r="C271" s="69"/>
      <c r="D271" s="68"/>
      <c r="E271" s="69"/>
      <c r="F271" s="69"/>
      <c r="G271" s="69"/>
      <c r="H271" s="69"/>
      <c r="I271" s="73"/>
      <c r="J271" s="69"/>
    </row>
    <row r="272" spans="1:10" x14ac:dyDescent="0.3">
      <c r="A272" s="69"/>
      <c r="B272" s="69"/>
      <c r="C272" s="69"/>
      <c r="D272" s="68"/>
      <c r="E272" s="69"/>
      <c r="F272" s="69"/>
      <c r="G272" s="69"/>
      <c r="H272" s="69"/>
      <c r="I272" s="73"/>
      <c r="J272" s="69"/>
    </row>
    <row r="273" spans="1:10" x14ac:dyDescent="0.3">
      <c r="A273" s="69"/>
      <c r="B273" s="69"/>
      <c r="C273" s="69"/>
      <c r="D273" s="68"/>
      <c r="E273" s="69"/>
      <c r="F273" s="69"/>
      <c r="G273" s="69"/>
      <c r="H273" s="69"/>
      <c r="I273" s="73"/>
      <c r="J273" s="69"/>
    </row>
    <row r="274" spans="1:10" x14ac:dyDescent="0.3">
      <c r="A274" s="69"/>
      <c r="B274" s="69"/>
      <c r="C274" s="69"/>
      <c r="D274" s="68"/>
      <c r="E274" s="69"/>
      <c r="F274" s="69"/>
      <c r="G274" s="69"/>
      <c r="H274" s="69"/>
      <c r="I274" s="73"/>
      <c r="J274" s="69"/>
    </row>
    <row r="275" spans="1:10" x14ac:dyDescent="0.3">
      <c r="A275" s="69"/>
      <c r="B275" s="69"/>
      <c r="C275" s="69"/>
      <c r="D275" s="68"/>
      <c r="E275" s="69"/>
      <c r="F275" s="69"/>
      <c r="G275" s="69"/>
      <c r="H275" s="69"/>
      <c r="I275" s="73"/>
      <c r="J275" s="69"/>
    </row>
    <row r="276" spans="1:10" x14ac:dyDescent="0.3">
      <c r="A276" s="69"/>
      <c r="B276" s="69"/>
      <c r="C276" s="69"/>
      <c r="D276" s="68"/>
      <c r="E276" s="69"/>
      <c r="F276" s="69"/>
      <c r="G276" s="69"/>
      <c r="H276" s="69"/>
      <c r="I276" s="73"/>
      <c r="J276" s="69"/>
    </row>
    <row r="277" spans="1:10" x14ac:dyDescent="0.3">
      <c r="A277" s="69"/>
      <c r="B277" s="69"/>
      <c r="C277" s="69"/>
      <c r="D277" s="68"/>
      <c r="E277" s="69"/>
      <c r="F277" s="69"/>
      <c r="G277" s="69"/>
      <c r="H277" s="69"/>
      <c r="I277" s="73"/>
      <c r="J277" s="69"/>
    </row>
    <row r="278" spans="1:10" x14ac:dyDescent="0.3">
      <c r="A278" s="69"/>
      <c r="B278" s="69"/>
      <c r="C278" s="69"/>
      <c r="D278" s="68"/>
      <c r="E278" s="69"/>
      <c r="F278" s="69"/>
      <c r="G278" s="69"/>
      <c r="H278" s="69"/>
      <c r="I278" s="73"/>
      <c r="J278" s="69"/>
    </row>
    <row r="279" spans="1:10" x14ac:dyDescent="0.3">
      <c r="A279" s="69"/>
      <c r="B279" s="69"/>
      <c r="C279" s="69"/>
      <c r="D279" s="68"/>
      <c r="E279" s="69"/>
      <c r="F279" s="69"/>
      <c r="G279" s="69"/>
      <c r="H279" s="69"/>
      <c r="I279" s="73"/>
      <c r="J279" s="69"/>
    </row>
    <row r="280" spans="1:10" x14ac:dyDescent="0.3">
      <c r="A280" s="69"/>
      <c r="B280" s="69"/>
      <c r="C280" s="69"/>
      <c r="D280" s="68"/>
      <c r="E280" s="69"/>
      <c r="F280" s="69"/>
      <c r="G280" s="69"/>
      <c r="H280" s="69"/>
      <c r="I280" s="73"/>
      <c r="J280" s="69"/>
    </row>
    <row r="281" spans="1:10" x14ac:dyDescent="0.3">
      <c r="A281" s="69"/>
      <c r="B281" s="69"/>
      <c r="C281" s="69"/>
      <c r="D281" s="68"/>
      <c r="E281" s="69"/>
      <c r="F281" s="69"/>
      <c r="G281" s="69"/>
      <c r="H281" s="69"/>
      <c r="I281" s="73"/>
      <c r="J281" s="69"/>
    </row>
    <row r="282" spans="1:10" x14ac:dyDescent="0.3">
      <c r="A282" s="69"/>
      <c r="B282" s="69"/>
      <c r="C282" s="69"/>
      <c r="D282" s="68"/>
      <c r="E282" s="69"/>
      <c r="F282" s="69"/>
      <c r="G282" s="69"/>
      <c r="H282" s="69"/>
      <c r="I282" s="73"/>
      <c r="J282" s="69"/>
    </row>
    <row r="283" spans="1:10" x14ac:dyDescent="0.3">
      <c r="A283" s="69"/>
      <c r="B283" s="69"/>
      <c r="C283" s="69"/>
      <c r="D283" s="68"/>
      <c r="E283" s="69"/>
      <c r="F283" s="69"/>
      <c r="G283" s="69"/>
      <c r="H283" s="69"/>
      <c r="I283" s="73"/>
      <c r="J283" s="69"/>
    </row>
    <row r="284" spans="1:10" x14ac:dyDescent="0.3">
      <c r="A284" s="69"/>
      <c r="B284" s="69"/>
      <c r="C284" s="69"/>
      <c r="D284" s="68"/>
      <c r="E284" s="69"/>
      <c r="F284" s="69"/>
      <c r="G284" s="69"/>
      <c r="H284" s="69"/>
      <c r="I284" s="73"/>
      <c r="J284" s="69"/>
    </row>
    <row r="285" spans="1:10" x14ac:dyDescent="0.3">
      <c r="A285" s="69"/>
      <c r="B285" s="69"/>
      <c r="C285" s="69"/>
      <c r="D285" s="68"/>
      <c r="E285" s="69"/>
      <c r="F285" s="69"/>
      <c r="G285" s="69"/>
      <c r="H285" s="69"/>
      <c r="I285" s="73"/>
      <c r="J285" s="69"/>
    </row>
    <row r="286" spans="1:10" x14ac:dyDescent="0.3">
      <c r="A286" s="69"/>
      <c r="B286" s="69"/>
      <c r="C286" s="69"/>
      <c r="D286" s="68"/>
      <c r="E286" s="69"/>
      <c r="F286" s="69"/>
      <c r="G286" s="69"/>
      <c r="H286" s="69"/>
      <c r="I286" s="73"/>
      <c r="J286" s="69"/>
    </row>
    <row r="287" spans="1:10" x14ac:dyDescent="0.3">
      <c r="A287" s="69"/>
      <c r="B287" s="69"/>
      <c r="C287" s="69"/>
      <c r="D287" s="68"/>
      <c r="E287" s="69"/>
      <c r="F287" s="69"/>
      <c r="G287" s="69"/>
      <c r="H287" s="69"/>
      <c r="I287" s="73"/>
      <c r="J287" s="69"/>
    </row>
    <row r="288" spans="1:10" x14ac:dyDescent="0.3">
      <c r="A288" s="69"/>
      <c r="B288" s="69"/>
      <c r="C288" s="69"/>
      <c r="D288" s="68"/>
      <c r="E288" s="69"/>
      <c r="F288" s="69"/>
      <c r="G288" s="69"/>
      <c r="H288" s="69"/>
      <c r="I288" s="73"/>
      <c r="J288" s="69"/>
    </row>
    <row r="289" spans="1:10" x14ac:dyDescent="0.3">
      <c r="A289" s="69"/>
      <c r="B289" s="69"/>
      <c r="C289" s="69"/>
      <c r="D289" s="68"/>
      <c r="E289" s="69"/>
      <c r="F289" s="69"/>
      <c r="G289" s="69"/>
      <c r="H289" s="69"/>
      <c r="I289" s="73"/>
      <c r="J289" s="69"/>
    </row>
    <row r="290" spans="1:10" x14ac:dyDescent="0.3">
      <c r="A290" s="69"/>
      <c r="B290" s="69"/>
      <c r="C290" s="69"/>
      <c r="D290" s="68"/>
      <c r="E290" s="69"/>
      <c r="F290" s="69"/>
      <c r="G290" s="69"/>
      <c r="H290" s="69"/>
      <c r="I290" s="73"/>
      <c r="J290" s="69"/>
    </row>
    <row r="291" spans="1:10" x14ac:dyDescent="0.3">
      <c r="A291" s="69"/>
      <c r="B291" s="69"/>
      <c r="C291" s="69"/>
      <c r="D291" s="68"/>
      <c r="E291" s="69"/>
      <c r="F291" s="69"/>
      <c r="G291" s="69"/>
      <c r="H291" s="69"/>
      <c r="I291" s="73"/>
      <c r="J291" s="69"/>
    </row>
    <row r="292" spans="1:10" x14ac:dyDescent="0.3">
      <c r="A292" s="69"/>
      <c r="B292" s="69"/>
      <c r="C292" s="69"/>
      <c r="D292" s="68"/>
      <c r="E292" s="69"/>
      <c r="F292" s="69"/>
      <c r="G292" s="69"/>
      <c r="H292" s="69"/>
      <c r="I292" s="73"/>
      <c r="J292" s="69"/>
    </row>
    <row r="293" spans="1:10" x14ac:dyDescent="0.3">
      <c r="A293" s="69"/>
      <c r="B293" s="69"/>
      <c r="C293" s="69"/>
      <c r="D293" s="68"/>
      <c r="E293" s="69"/>
      <c r="F293" s="69"/>
      <c r="G293" s="69"/>
      <c r="H293" s="69"/>
      <c r="I293" s="73"/>
      <c r="J293" s="69"/>
    </row>
    <row r="294" spans="1:10" x14ac:dyDescent="0.3">
      <c r="A294" s="69"/>
      <c r="B294" s="69"/>
      <c r="C294" s="69"/>
      <c r="D294" s="68"/>
      <c r="E294" s="69"/>
      <c r="F294" s="69"/>
      <c r="G294" s="69"/>
      <c r="H294" s="69"/>
      <c r="I294" s="73"/>
      <c r="J294" s="69"/>
    </row>
    <row r="295" spans="1:10" x14ac:dyDescent="0.3">
      <c r="A295" s="69"/>
      <c r="B295" s="69"/>
      <c r="C295" s="69"/>
      <c r="D295" s="68"/>
      <c r="E295" s="69"/>
      <c r="F295" s="69"/>
      <c r="G295" s="69"/>
      <c r="H295" s="69"/>
      <c r="I295" s="73"/>
      <c r="J295" s="69"/>
    </row>
    <row r="296" spans="1:10" x14ac:dyDescent="0.3">
      <c r="A296" s="69"/>
      <c r="B296" s="69"/>
      <c r="C296" s="69"/>
      <c r="D296" s="68"/>
      <c r="E296" s="69"/>
      <c r="F296" s="69"/>
      <c r="G296" s="69"/>
      <c r="H296" s="69"/>
      <c r="I296" s="73"/>
      <c r="J296" s="69"/>
    </row>
    <row r="297" spans="1:10" x14ac:dyDescent="0.3">
      <c r="A297" s="69"/>
      <c r="B297" s="69"/>
      <c r="C297" s="69"/>
      <c r="D297" s="68"/>
      <c r="E297" s="69"/>
      <c r="F297" s="69"/>
      <c r="G297" s="69"/>
      <c r="H297" s="69"/>
      <c r="I297" s="73"/>
      <c r="J297" s="69"/>
    </row>
    <row r="298" spans="1:10" x14ac:dyDescent="0.3">
      <c r="A298" s="69"/>
      <c r="B298" s="69"/>
      <c r="C298" s="69"/>
      <c r="D298" s="68"/>
      <c r="E298" s="69"/>
      <c r="F298" s="69"/>
      <c r="G298" s="69"/>
      <c r="H298" s="69"/>
      <c r="I298" s="73"/>
      <c r="J298" s="69"/>
    </row>
    <row r="299" spans="1:10" x14ac:dyDescent="0.3">
      <c r="A299" s="69"/>
      <c r="B299" s="69"/>
      <c r="C299" s="69"/>
      <c r="D299" s="68"/>
      <c r="E299" s="69"/>
      <c r="F299" s="69"/>
      <c r="G299" s="69"/>
      <c r="H299" s="69"/>
      <c r="I299" s="73"/>
      <c r="J299" s="69"/>
    </row>
    <row r="300" spans="1:10" x14ac:dyDescent="0.3">
      <c r="A300" s="69"/>
      <c r="B300" s="69"/>
      <c r="C300" s="69"/>
      <c r="D300" s="68"/>
      <c r="E300" s="69"/>
      <c r="F300" s="69"/>
      <c r="G300" s="69"/>
      <c r="H300" s="69"/>
      <c r="I300" s="73"/>
      <c r="J300" s="69"/>
    </row>
    <row r="301" spans="1:10" x14ac:dyDescent="0.3">
      <c r="A301" s="69"/>
      <c r="B301" s="69"/>
      <c r="C301" s="69"/>
      <c r="D301" s="68"/>
      <c r="E301" s="69"/>
      <c r="F301" s="69"/>
      <c r="G301" s="69"/>
      <c r="H301" s="69"/>
      <c r="I301" s="73"/>
      <c r="J301" s="69"/>
    </row>
    <row r="302" spans="1:10" x14ac:dyDescent="0.3">
      <c r="A302" s="69"/>
      <c r="B302" s="69"/>
      <c r="C302" s="69"/>
      <c r="D302" s="68"/>
      <c r="E302" s="69"/>
      <c r="F302" s="69"/>
      <c r="G302" s="69"/>
      <c r="H302" s="69"/>
      <c r="I302" s="73"/>
      <c r="J302" s="69"/>
    </row>
    <row r="303" spans="1:10" x14ac:dyDescent="0.3">
      <c r="A303" s="69"/>
      <c r="B303" s="69"/>
      <c r="C303" s="69"/>
      <c r="D303" s="68"/>
      <c r="E303" s="69"/>
      <c r="F303" s="69"/>
      <c r="G303" s="69"/>
      <c r="H303" s="69"/>
      <c r="I303" s="73"/>
      <c r="J303" s="69"/>
    </row>
    <row r="304" spans="1:10" x14ac:dyDescent="0.3">
      <c r="A304" s="69"/>
      <c r="B304" s="69"/>
      <c r="C304" s="69"/>
      <c r="D304" s="68"/>
      <c r="E304" s="69"/>
      <c r="F304" s="69"/>
      <c r="G304" s="69"/>
      <c r="H304" s="69"/>
      <c r="I304" s="73"/>
      <c r="J304" s="69"/>
    </row>
    <row r="305" spans="1:10" x14ac:dyDescent="0.3">
      <c r="A305" s="69"/>
      <c r="B305" s="69"/>
      <c r="C305" s="69"/>
      <c r="D305" s="68"/>
      <c r="E305" s="69"/>
      <c r="F305" s="69"/>
      <c r="G305" s="69"/>
      <c r="H305" s="69"/>
      <c r="I305" s="73"/>
      <c r="J305" s="69"/>
    </row>
    <row r="306" spans="1:10" x14ac:dyDescent="0.3">
      <c r="A306" s="69"/>
      <c r="B306" s="69"/>
      <c r="C306" s="69"/>
      <c r="D306" s="68"/>
      <c r="E306" s="69"/>
      <c r="F306" s="69"/>
      <c r="G306" s="69"/>
      <c r="H306" s="69"/>
      <c r="I306" s="73"/>
      <c r="J306" s="69"/>
    </row>
    <row r="307" spans="1:10" x14ac:dyDescent="0.3">
      <c r="A307" s="69"/>
      <c r="B307" s="69"/>
      <c r="C307" s="69"/>
      <c r="D307" s="68"/>
      <c r="E307" s="69"/>
      <c r="F307" s="69"/>
      <c r="G307" s="69"/>
      <c r="H307" s="69"/>
      <c r="I307" s="73"/>
      <c r="J307" s="69"/>
    </row>
    <row r="308" spans="1:10" x14ac:dyDescent="0.3">
      <c r="A308" s="69"/>
      <c r="B308" s="69"/>
      <c r="C308" s="69"/>
      <c r="D308" s="68"/>
      <c r="E308" s="69"/>
      <c r="F308" s="69"/>
      <c r="G308" s="69"/>
      <c r="H308" s="69"/>
      <c r="I308" s="73"/>
      <c r="J308" s="69"/>
    </row>
    <row r="309" spans="1:10" x14ac:dyDescent="0.3">
      <c r="A309" s="69"/>
      <c r="B309" s="69"/>
      <c r="C309" s="69"/>
      <c r="D309" s="68"/>
      <c r="E309" s="69"/>
      <c r="F309" s="69"/>
      <c r="G309" s="69"/>
      <c r="H309" s="69"/>
      <c r="I309" s="73"/>
      <c r="J309" s="69"/>
    </row>
    <row r="310" spans="1:10" x14ac:dyDescent="0.3">
      <c r="A310" s="69"/>
      <c r="B310" s="69"/>
      <c r="C310" s="69"/>
      <c r="D310" s="68"/>
      <c r="E310" s="69"/>
      <c r="F310" s="69"/>
      <c r="G310" s="69"/>
      <c r="H310" s="69"/>
      <c r="I310" s="73"/>
      <c r="J310" s="69"/>
    </row>
    <row r="311" spans="1:10" x14ac:dyDescent="0.3">
      <c r="A311" s="69"/>
      <c r="B311" s="69"/>
      <c r="C311" s="69"/>
      <c r="D311" s="68"/>
      <c r="E311" s="69"/>
      <c r="F311" s="69"/>
      <c r="G311" s="69"/>
      <c r="H311" s="69"/>
      <c r="I311" s="73"/>
      <c r="J311" s="69"/>
    </row>
    <row r="312" spans="1:10" x14ac:dyDescent="0.3">
      <c r="A312" s="69"/>
      <c r="B312" s="69"/>
      <c r="C312" s="69"/>
      <c r="D312" s="68"/>
      <c r="E312" s="69"/>
      <c r="F312" s="69"/>
      <c r="G312" s="69"/>
      <c r="H312" s="69"/>
      <c r="I312" s="73"/>
      <c r="J312" s="69"/>
    </row>
    <row r="313" spans="1:10" x14ac:dyDescent="0.3">
      <c r="A313" s="69"/>
      <c r="B313" s="69"/>
      <c r="C313" s="69"/>
      <c r="D313" s="68"/>
      <c r="E313" s="69"/>
      <c r="F313" s="69"/>
      <c r="G313" s="69"/>
      <c r="H313" s="69"/>
      <c r="I313" s="73"/>
      <c r="J313" s="69"/>
    </row>
    <row r="314" spans="1:10" x14ac:dyDescent="0.3">
      <c r="A314" s="69"/>
      <c r="B314" s="69"/>
      <c r="C314" s="69"/>
      <c r="D314" s="68"/>
      <c r="E314" s="69"/>
      <c r="F314" s="69"/>
      <c r="G314" s="69"/>
      <c r="H314" s="69"/>
      <c r="I314" s="73"/>
      <c r="J314" s="69"/>
    </row>
    <row r="315" spans="1:10" x14ac:dyDescent="0.3">
      <c r="A315" s="69"/>
      <c r="B315" s="69"/>
      <c r="C315" s="69"/>
      <c r="D315" s="68"/>
      <c r="E315" s="69"/>
      <c r="F315" s="69"/>
      <c r="G315" s="69"/>
      <c r="H315" s="69"/>
      <c r="I315" s="73"/>
      <c r="J315" s="69"/>
    </row>
    <row r="316" spans="1:10" x14ac:dyDescent="0.3">
      <c r="A316" s="69"/>
      <c r="B316" s="69"/>
      <c r="C316" s="69"/>
      <c r="D316" s="68"/>
      <c r="E316" s="69"/>
      <c r="F316" s="69"/>
      <c r="G316" s="69"/>
      <c r="H316" s="69"/>
      <c r="I316" s="73"/>
      <c r="J316" s="69"/>
    </row>
    <row r="317" spans="1:10" x14ac:dyDescent="0.3">
      <c r="A317" s="69"/>
      <c r="B317" s="69"/>
      <c r="C317" s="69"/>
      <c r="D317" s="68"/>
      <c r="E317" s="69"/>
      <c r="F317" s="69"/>
      <c r="G317" s="69"/>
      <c r="H317" s="69"/>
      <c r="I317" s="73"/>
      <c r="J317" s="69"/>
    </row>
    <row r="318" spans="1:10" x14ac:dyDescent="0.3">
      <c r="A318" s="69"/>
      <c r="B318" s="69"/>
      <c r="C318" s="69"/>
      <c r="D318" s="68"/>
      <c r="E318" s="69"/>
      <c r="F318" s="69"/>
      <c r="G318" s="69"/>
      <c r="H318" s="69"/>
      <c r="I318" s="73"/>
      <c r="J318" s="69"/>
    </row>
    <row r="319" spans="1:10" x14ac:dyDescent="0.3">
      <c r="A319" s="69"/>
      <c r="B319" s="69"/>
      <c r="C319" s="69"/>
      <c r="D319" s="68"/>
      <c r="E319" s="69"/>
      <c r="F319" s="69"/>
      <c r="G319" s="69"/>
      <c r="H319" s="69"/>
      <c r="I319" s="73"/>
      <c r="J319" s="69"/>
    </row>
    <row r="320" spans="1:10" x14ac:dyDescent="0.3">
      <c r="A320" s="69"/>
      <c r="B320" s="69"/>
      <c r="C320" s="69"/>
      <c r="D320" s="68"/>
      <c r="E320" s="69"/>
      <c r="F320" s="69"/>
      <c r="G320" s="69"/>
      <c r="H320" s="69"/>
      <c r="I320" s="73"/>
      <c r="J320" s="69"/>
    </row>
    <row r="321" spans="1:10" x14ac:dyDescent="0.3">
      <c r="A321" s="69"/>
      <c r="B321" s="69"/>
      <c r="C321" s="69"/>
      <c r="D321" s="68"/>
      <c r="E321" s="69"/>
      <c r="F321" s="69"/>
      <c r="G321" s="69"/>
      <c r="H321" s="69"/>
      <c r="I321" s="73"/>
      <c r="J321" s="69"/>
    </row>
    <row r="322" spans="1:10" x14ac:dyDescent="0.3">
      <c r="A322" s="69"/>
      <c r="B322" s="69"/>
      <c r="C322" s="69"/>
      <c r="D322" s="68"/>
      <c r="E322" s="69"/>
      <c r="F322" s="69"/>
      <c r="G322" s="69"/>
      <c r="H322" s="69"/>
      <c r="I322" s="73"/>
      <c r="J322" s="69"/>
    </row>
    <row r="323" spans="1:10" x14ac:dyDescent="0.3">
      <c r="A323" s="69"/>
      <c r="B323" s="69"/>
      <c r="C323" s="69"/>
      <c r="D323" s="68"/>
      <c r="E323" s="69"/>
      <c r="F323" s="69"/>
      <c r="G323" s="69"/>
      <c r="H323" s="69"/>
      <c r="I323" s="73"/>
      <c r="J323" s="69"/>
    </row>
    <row r="324" spans="1:10" x14ac:dyDescent="0.3">
      <c r="A324" s="69"/>
      <c r="B324" s="69"/>
      <c r="C324" s="69"/>
      <c r="D324" s="68"/>
      <c r="E324" s="69"/>
      <c r="F324" s="69"/>
      <c r="G324" s="69"/>
      <c r="H324" s="69"/>
      <c r="I324" s="73"/>
      <c r="J324" s="69"/>
    </row>
    <row r="325" spans="1:10" x14ac:dyDescent="0.3">
      <c r="A325" s="69"/>
      <c r="B325" s="69"/>
      <c r="C325" s="69"/>
      <c r="D325" s="68"/>
      <c r="E325" s="69"/>
      <c r="F325" s="69"/>
      <c r="G325" s="69"/>
      <c r="H325" s="69"/>
      <c r="I325" s="73"/>
      <c r="J325" s="69"/>
    </row>
    <row r="326" spans="1:10" x14ac:dyDescent="0.3">
      <c r="A326" s="69"/>
      <c r="B326" s="69"/>
      <c r="C326" s="69"/>
      <c r="D326" s="68"/>
      <c r="E326" s="69"/>
      <c r="F326" s="69"/>
      <c r="G326" s="69"/>
      <c r="H326" s="69"/>
      <c r="I326" s="73"/>
      <c r="J326" s="69"/>
    </row>
    <row r="327" spans="1:10" x14ac:dyDescent="0.3">
      <c r="A327" s="69"/>
      <c r="B327" s="69"/>
      <c r="C327" s="69"/>
      <c r="D327" s="68"/>
      <c r="E327" s="69"/>
      <c r="F327" s="69"/>
      <c r="G327" s="69"/>
      <c r="H327" s="69"/>
      <c r="I327" s="73"/>
      <c r="J327" s="69"/>
    </row>
    <row r="328" spans="1:10" x14ac:dyDescent="0.3">
      <c r="A328" s="69"/>
      <c r="B328" s="69"/>
      <c r="C328" s="69"/>
      <c r="D328" s="68"/>
      <c r="E328" s="69"/>
      <c r="F328" s="69"/>
      <c r="G328" s="69"/>
      <c r="H328" s="69"/>
      <c r="I328" s="73"/>
      <c r="J328" s="69"/>
    </row>
    <row r="329" spans="1:10" x14ac:dyDescent="0.3">
      <c r="A329" s="69"/>
      <c r="B329" s="69"/>
      <c r="C329" s="69"/>
      <c r="D329" s="68"/>
      <c r="E329" s="69"/>
      <c r="F329" s="69"/>
      <c r="G329" s="69"/>
      <c r="H329" s="69"/>
      <c r="I329" s="73"/>
      <c r="J329" s="69"/>
    </row>
    <row r="330" spans="1:10" x14ac:dyDescent="0.3">
      <c r="A330" s="69"/>
      <c r="B330" s="69"/>
      <c r="C330" s="69"/>
      <c r="D330" s="68"/>
      <c r="E330" s="69"/>
      <c r="F330" s="69"/>
      <c r="G330" s="69"/>
      <c r="H330" s="69"/>
      <c r="I330" s="73"/>
      <c r="J330" s="69"/>
    </row>
    <row r="331" spans="1:10" x14ac:dyDescent="0.3">
      <c r="A331" s="69"/>
      <c r="B331" s="69"/>
      <c r="C331" s="69"/>
      <c r="D331" s="68"/>
      <c r="E331" s="69"/>
      <c r="F331" s="69"/>
      <c r="G331" s="69"/>
      <c r="H331" s="69"/>
      <c r="I331" s="73"/>
      <c r="J331" s="69"/>
    </row>
    <row r="332" spans="1:10" x14ac:dyDescent="0.3">
      <c r="A332" s="69"/>
      <c r="B332" s="69"/>
      <c r="C332" s="69"/>
      <c r="D332" s="68"/>
      <c r="E332" s="69"/>
      <c r="F332" s="69"/>
      <c r="G332" s="69"/>
      <c r="H332" s="69"/>
      <c r="I332" s="73"/>
      <c r="J332" s="69"/>
    </row>
    <row r="333" spans="1:10" x14ac:dyDescent="0.3">
      <c r="A333" s="69"/>
      <c r="B333" s="69"/>
      <c r="C333" s="69"/>
      <c r="D333" s="68"/>
      <c r="E333" s="69"/>
      <c r="F333" s="69"/>
      <c r="G333" s="69"/>
      <c r="H333" s="69"/>
      <c r="I333" s="73"/>
      <c r="J333" s="69"/>
    </row>
    <row r="334" spans="1:10" x14ac:dyDescent="0.3">
      <c r="A334" s="69"/>
      <c r="B334" s="69"/>
      <c r="C334" s="69"/>
      <c r="D334" s="68"/>
      <c r="E334" s="69"/>
      <c r="F334" s="69"/>
      <c r="G334" s="69"/>
      <c r="H334" s="69"/>
      <c r="I334" s="73"/>
      <c r="J334" s="69"/>
    </row>
    <row r="335" spans="1:10" x14ac:dyDescent="0.3">
      <c r="A335" s="69"/>
      <c r="B335" s="69"/>
      <c r="C335" s="69"/>
      <c r="D335" s="68"/>
      <c r="E335" s="69"/>
      <c r="F335" s="69"/>
      <c r="G335" s="69"/>
      <c r="H335" s="69"/>
      <c r="I335" s="73"/>
      <c r="J335" s="69"/>
    </row>
    <row r="336" spans="1:10" x14ac:dyDescent="0.3">
      <c r="A336" s="69"/>
      <c r="B336" s="69"/>
      <c r="C336" s="69"/>
      <c r="D336" s="68"/>
      <c r="E336" s="69"/>
      <c r="F336" s="69"/>
      <c r="G336" s="69"/>
      <c r="H336" s="69"/>
      <c r="I336" s="73"/>
      <c r="J336" s="69"/>
    </row>
    <row r="337" spans="1:10" x14ac:dyDescent="0.3">
      <c r="A337" s="69"/>
      <c r="B337" s="69"/>
      <c r="C337" s="69"/>
      <c r="D337" s="68"/>
      <c r="E337" s="69"/>
      <c r="F337" s="69"/>
      <c r="G337" s="69"/>
      <c r="H337" s="69"/>
      <c r="I337" s="73"/>
      <c r="J337" s="69"/>
    </row>
    <row r="338" spans="1:10" x14ac:dyDescent="0.3">
      <c r="A338" s="69"/>
      <c r="B338" s="69"/>
      <c r="C338" s="69"/>
      <c r="D338" s="68"/>
      <c r="E338" s="69"/>
      <c r="F338" s="69"/>
      <c r="G338" s="69"/>
      <c r="H338" s="69"/>
      <c r="I338" s="73"/>
      <c r="J338" s="69"/>
    </row>
    <row r="339" spans="1:10" x14ac:dyDescent="0.3">
      <c r="A339" s="69"/>
      <c r="B339" s="69"/>
      <c r="C339" s="69"/>
      <c r="D339" s="68"/>
      <c r="E339" s="69"/>
      <c r="F339" s="69"/>
      <c r="G339" s="69"/>
      <c r="H339" s="69"/>
      <c r="I339" s="73"/>
      <c r="J339" s="69"/>
    </row>
    <row r="340" spans="1:10" x14ac:dyDescent="0.3">
      <c r="A340" s="69"/>
      <c r="B340" s="69"/>
      <c r="C340" s="69"/>
      <c r="D340" s="68"/>
      <c r="E340" s="69"/>
      <c r="F340" s="69"/>
      <c r="G340" s="69"/>
      <c r="H340" s="69"/>
      <c r="I340" s="73"/>
      <c r="J340" s="69"/>
    </row>
    <row r="341" spans="1:10" x14ac:dyDescent="0.3">
      <c r="A341" s="69"/>
      <c r="B341" s="69"/>
      <c r="C341" s="69"/>
      <c r="D341" s="68"/>
      <c r="E341" s="69"/>
      <c r="F341" s="69"/>
      <c r="G341" s="69"/>
      <c r="H341" s="69"/>
      <c r="I341" s="73"/>
      <c r="J341" s="69"/>
    </row>
    <row r="342" spans="1:10" x14ac:dyDescent="0.3">
      <c r="A342" s="69"/>
      <c r="B342" s="69"/>
      <c r="C342" s="69"/>
      <c r="D342" s="68"/>
      <c r="E342" s="69"/>
      <c r="F342" s="69"/>
      <c r="G342" s="69"/>
      <c r="H342" s="69"/>
      <c r="I342" s="73"/>
      <c r="J342" s="69"/>
    </row>
    <row r="343" spans="1:10" x14ac:dyDescent="0.3">
      <c r="A343" s="69"/>
      <c r="B343" s="69"/>
      <c r="C343" s="69"/>
      <c r="D343" s="68"/>
      <c r="E343" s="69"/>
      <c r="F343" s="69"/>
      <c r="G343" s="69"/>
      <c r="H343" s="69"/>
      <c r="I343" s="73"/>
      <c r="J343" s="69"/>
    </row>
    <row r="344" spans="1:10" x14ac:dyDescent="0.3">
      <c r="A344" s="69"/>
      <c r="B344" s="69"/>
      <c r="C344" s="69"/>
      <c r="D344" s="68"/>
      <c r="E344" s="69"/>
      <c r="F344" s="69"/>
      <c r="G344" s="69"/>
      <c r="H344" s="69"/>
      <c r="I344" s="73"/>
      <c r="J344" s="69"/>
    </row>
    <row r="345" spans="1:10" x14ac:dyDescent="0.3">
      <c r="A345" s="69"/>
      <c r="B345" s="69"/>
      <c r="C345" s="69"/>
      <c r="D345" s="68"/>
      <c r="E345" s="69"/>
      <c r="F345" s="69"/>
      <c r="G345" s="69"/>
      <c r="H345" s="69"/>
      <c r="I345" s="73"/>
      <c r="J345" s="69"/>
    </row>
    <row r="346" spans="1:10" x14ac:dyDescent="0.3">
      <c r="A346" s="69"/>
      <c r="B346" s="69"/>
      <c r="C346" s="69"/>
      <c r="D346" s="68"/>
      <c r="E346" s="69"/>
      <c r="F346" s="69"/>
      <c r="G346" s="69"/>
      <c r="H346" s="69"/>
      <c r="I346" s="73"/>
      <c r="J346" s="69"/>
    </row>
    <row r="347" spans="1:10" x14ac:dyDescent="0.3">
      <c r="A347" s="69"/>
      <c r="B347" s="69"/>
      <c r="C347" s="69"/>
      <c r="D347" s="68"/>
      <c r="E347" s="69"/>
      <c r="F347" s="69"/>
      <c r="G347" s="69"/>
      <c r="H347" s="69"/>
      <c r="I347" s="73"/>
      <c r="J347" s="69"/>
    </row>
    <row r="348" spans="1:10" x14ac:dyDescent="0.3">
      <c r="A348" s="69"/>
      <c r="B348" s="69"/>
      <c r="C348" s="69"/>
      <c r="D348" s="68"/>
      <c r="E348" s="69"/>
      <c r="F348" s="69"/>
      <c r="G348" s="69"/>
      <c r="H348" s="69"/>
      <c r="I348" s="73"/>
      <c r="J348" s="69"/>
    </row>
    <row r="349" spans="1:10" x14ac:dyDescent="0.3">
      <c r="A349" s="69"/>
      <c r="B349" s="69"/>
      <c r="C349" s="69"/>
      <c r="D349" s="68"/>
      <c r="E349" s="69"/>
      <c r="F349" s="69"/>
      <c r="G349" s="69"/>
      <c r="H349" s="69"/>
      <c r="I349" s="73"/>
      <c r="J349" s="69"/>
    </row>
    <row r="350" spans="1:10" x14ac:dyDescent="0.3">
      <c r="A350" s="69"/>
      <c r="B350" s="69"/>
      <c r="C350" s="69"/>
      <c r="D350" s="68"/>
      <c r="E350" s="69"/>
      <c r="F350" s="69"/>
      <c r="G350" s="69"/>
      <c r="H350" s="69"/>
      <c r="I350" s="73"/>
      <c r="J350" s="69"/>
    </row>
    <row r="351" spans="1:10" x14ac:dyDescent="0.3">
      <c r="A351" s="69"/>
      <c r="B351" s="69"/>
      <c r="C351" s="69"/>
      <c r="D351" s="68"/>
      <c r="E351" s="69"/>
      <c r="F351" s="69"/>
      <c r="G351" s="69"/>
      <c r="H351" s="69"/>
      <c r="I351" s="73"/>
      <c r="J351" s="69"/>
    </row>
    <row r="352" spans="1:10" x14ac:dyDescent="0.3">
      <c r="A352" s="69"/>
      <c r="B352" s="69"/>
      <c r="C352" s="69"/>
      <c r="D352" s="68"/>
      <c r="E352" s="69"/>
      <c r="F352" s="69"/>
      <c r="G352" s="69"/>
      <c r="H352" s="69"/>
      <c r="I352" s="73"/>
      <c r="J352" s="69"/>
    </row>
    <row r="353" spans="1:10" x14ac:dyDescent="0.3">
      <c r="A353" s="69"/>
      <c r="B353" s="69"/>
      <c r="C353" s="69"/>
      <c r="D353" s="68"/>
      <c r="E353" s="69"/>
      <c r="F353" s="69"/>
      <c r="G353" s="69"/>
      <c r="H353" s="69"/>
      <c r="I353" s="73"/>
      <c r="J353" s="69"/>
    </row>
    <row r="354" spans="1:10" x14ac:dyDescent="0.3">
      <c r="A354" s="69"/>
      <c r="B354" s="69"/>
      <c r="C354" s="69"/>
      <c r="D354" s="68"/>
      <c r="E354" s="69"/>
      <c r="F354" s="69"/>
      <c r="G354" s="69"/>
      <c r="H354" s="69"/>
      <c r="I354" s="73"/>
      <c r="J354" s="69"/>
    </row>
    <row r="355" spans="1:10" x14ac:dyDescent="0.3">
      <c r="A355" s="69"/>
      <c r="B355" s="69"/>
      <c r="C355" s="69"/>
      <c r="D355" s="68"/>
      <c r="E355" s="69"/>
      <c r="F355" s="69"/>
      <c r="G355" s="69"/>
      <c r="H355" s="69"/>
      <c r="I355" s="73"/>
      <c r="J355" s="69"/>
    </row>
    <row r="356" spans="1:10" x14ac:dyDescent="0.3">
      <c r="A356" s="69"/>
      <c r="B356" s="69"/>
      <c r="C356" s="69"/>
      <c r="D356" s="68"/>
      <c r="E356" s="69"/>
      <c r="F356" s="69"/>
      <c r="G356" s="69"/>
      <c r="H356" s="69"/>
      <c r="I356" s="73"/>
      <c r="J356" s="69"/>
    </row>
    <row r="357" spans="1:10" x14ac:dyDescent="0.3">
      <c r="A357" s="69"/>
      <c r="B357" s="69"/>
      <c r="C357" s="69"/>
      <c r="D357" s="68"/>
      <c r="E357" s="69"/>
      <c r="F357" s="69"/>
      <c r="G357" s="69"/>
      <c r="H357" s="69"/>
      <c r="I357" s="73"/>
      <c r="J357" s="69"/>
    </row>
    <row r="358" spans="1:10" x14ac:dyDescent="0.3">
      <c r="A358" s="69"/>
      <c r="B358" s="69"/>
      <c r="C358" s="69"/>
      <c r="D358" s="68"/>
      <c r="E358" s="69"/>
      <c r="F358" s="69"/>
      <c r="G358" s="69"/>
      <c r="H358" s="69"/>
      <c r="I358" s="73"/>
      <c r="J358" s="69"/>
    </row>
    <row r="359" spans="1:10" x14ac:dyDescent="0.3">
      <c r="A359" s="69"/>
      <c r="B359" s="69"/>
      <c r="C359" s="69"/>
      <c r="D359" s="68"/>
      <c r="E359" s="69"/>
      <c r="F359" s="69"/>
      <c r="G359" s="69"/>
      <c r="H359" s="69"/>
      <c r="I359" s="73"/>
      <c r="J359" s="69"/>
    </row>
    <row r="360" spans="1:10" x14ac:dyDescent="0.3">
      <c r="A360" s="69"/>
      <c r="B360" s="69"/>
      <c r="C360" s="69"/>
      <c r="D360" s="68"/>
      <c r="E360" s="69"/>
      <c r="F360" s="69"/>
      <c r="G360" s="69"/>
      <c r="H360" s="69"/>
      <c r="I360" s="73"/>
      <c r="J360" s="69"/>
    </row>
    <row r="361" spans="1:10" x14ac:dyDescent="0.3">
      <c r="A361" s="69"/>
      <c r="B361" s="69"/>
      <c r="C361" s="69"/>
      <c r="D361" s="68"/>
      <c r="E361" s="69"/>
      <c r="F361" s="69"/>
      <c r="G361" s="69"/>
      <c r="H361" s="69"/>
      <c r="I361" s="73"/>
      <c r="J361" s="69"/>
    </row>
    <row r="362" spans="1:10" x14ac:dyDescent="0.3">
      <c r="A362" s="69"/>
      <c r="B362" s="69"/>
      <c r="C362" s="69"/>
      <c r="D362" s="68"/>
      <c r="E362" s="69"/>
      <c r="F362" s="69"/>
      <c r="G362" s="69"/>
      <c r="H362" s="69"/>
      <c r="I362" s="73"/>
      <c r="J362" s="69"/>
    </row>
    <row r="363" spans="1:10" x14ac:dyDescent="0.3">
      <c r="A363" s="69"/>
      <c r="B363" s="69"/>
      <c r="C363" s="69"/>
      <c r="D363" s="68"/>
      <c r="E363" s="69"/>
      <c r="F363" s="69"/>
      <c r="G363" s="69"/>
      <c r="H363" s="69"/>
      <c r="I363" s="73"/>
      <c r="J363" s="69"/>
    </row>
    <row r="364" spans="1:10" x14ac:dyDescent="0.3">
      <c r="A364" s="69"/>
      <c r="B364" s="69"/>
      <c r="C364" s="69"/>
      <c r="D364" s="68"/>
      <c r="E364" s="69"/>
      <c r="F364" s="69"/>
      <c r="G364" s="69"/>
      <c r="H364" s="69"/>
      <c r="I364" s="73"/>
      <c r="J364" s="69"/>
    </row>
    <row r="365" spans="1:10" x14ac:dyDescent="0.3">
      <c r="A365" s="69"/>
      <c r="B365" s="69"/>
      <c r="C365" s="69"/>
      <c r="D365" s="68"/>
      <c r="E365" s="69"/>
      <c r="F365" s="69"/>
      <c r="G365" s="69"/>
      <c r="H365" s="69"/>
      <c r="I365" s="73"/>
      <c r="J365" s="69"/>
    </row>
    <row r="366" spans="1:10" x14ac:dyDescent="0.3">
      <c r="A366" s="69"/>
      <c r="B366" s="69"/>
      <c r="C366" s="69"/>
      <c r="D366" s="68"/>
      <c r="E366" s="69"/>
      <c r="F366" s="69"/>
      <c r="G366" s="69"/>
      <c r="H366" s="69"/>
      <c r="I366" s="73"/>
      <c r="J366" s="69"/>
    </row>
    <row r="367" spans="1:10" x14ac:dyDescent="0.3">
      <c r="A367" s="69"/>
      <c r="B367" s="69"/>
      <c r="C367" s="69"/>
      <c r="D367" s="68"/>
      <c r="E367" s="69"/>
      <c r="F367" s="69"/>
      <c r="G367" s="69"/>
      <c r="H367" s="69"/>
      <c r="I367" s="73"/>
      <c r="J367" s="69"/>
    </row>
    <row r="368" spans="1:10" x14ac:dyDescent="0.3">
      <c r="A368" s="69"/>
      <c r="B368" s="69"/>
      <c r="C368" s="69"/>
      <c r="D368" s="68"/>
      <c r="E368" s="69"/>
      <c r="F368" s="69"/>
      <c r="G368" s="69"/>
      <c r="H368" s="69"/>
      <c r="I368" s="73"/>
      <c r="J368" s="69"/>
    </row>
    <row r="369" spans="1:10" x14ac:dyDescent="0.3">
      <c r="A369" s="69"/>
      <c r="B369" s="69"/>
      <c r="C369" s="69"/>
      <c r="D369" s="68"/>
      <c r="E369" s="69"/>
      <c r="F369" s="69"/>
      <c r="G369" s="69"/>
      <c r="H369" s="69"/>
      <c r="I369" s="73"/>
      <c r="J369" s="69"/>
    </row>
    <row r="370" spans="1:10" x14ac:dyDescent="0.3">
      <c r="A370" s="69"/>
      <c r="B370" s="69"/>
      <c r="C370" s="69"/>
      <c r="D370" s="68"/>
      <c r="E370" s="69"/>
      <c r="F370" s="69"/>
      <c r="G370" s="69"/>
      <c r="H370" s="69"/>
      <c r="I370" s="73"/>
      <c r="J370" s="69"/>
    </row>
    <row r="371" spans="1:10" x14ac:dyDescent="0.3">
      <c r="A371" s="69"/>
      <c r="B371" s="69"/>
      <c r="C371" s="69"/>
      <c r="D371" s="68"/>
      <c r="E371" s="69"/>
      <c r="F371" s="69"/>
      <c r="G371" s="69"/>
      <c r="H371" s="69"/>
      <c r="I371" s="73"/>
      <c r="J371" s="69"/>
    </row>
    <row r="372" spans="1:10" x14ac:dyDescent="0.3">
      <c r="A372" s="69"/>
      <c r="B372" s="69"/>
      <c r="C372" s="69"/>
      <c r="D372" s="68"/>
      <c r="E372" s="69"/>
      <c r="F372" s="69"/>
      <c r="G372" s="69"/>
      <c r="H372" s="69"/>
      <c r="I372" s="73"/>
      <c r="J372" s="69"/>
    </row>
    <row r="373" spans="1:10" x14ac:dyDescent="0.3">
      <c r="A373" s="69"/>
      <c r="B373" s="69"/>
      <c r="C373" s="69"/>
      <c r="D373" s="68"/>
      <c r="E373" s="69"/>
      <c r="F373" s="69"/>
      <c r="G373" s="69"/>
      <c r="H373" s="69"/>
      <c r="I373" s="73"/>
      <c r="J373" s="69"/>
    </row>
    <row r="374" spans="1:10" x14ac:dyDescent="0.3">
      <c r="A374" s="69"/>
      <c r="B374" s="69"/>
      <c r="C374" s="69"/>
      <c r="D374" s="68"/>
      <c r="E374" s="69"/>
      <c r="F374" s="69"/>
      <c r="G374" s="69"/>
      <c r="H374" s="69"/>
      <c r="I374" s="73"/>
      <c r="J374" s="69"/>
    </row>
    <row r="375" spans="1:10" x14ac:dyDescent="0.3">
      <c r="A375" s="69"/>
      <c r="B375" s="69"/>
      <c r="C375" s="69"/>
      <c r="D375" s="68"/>
      <c r="E375" s="69"/>
      <c r="F375" s="69"/>
      <c r="G375" s="69"/>
      <c r="H375" s="69"/>
      <c r="I375" s="73"/>
      <c r="J375" s="69"/>
    </row>
    <row r="376" spans="1:10" x14ac:dyDescent="0.3">
      <c r="A376" s="69"/>
      <c r="B376" s="69"/>
      <c r="C376" s="69"/>
      <c r="D376" s="68"/>
      <c r="E376" s="69"/>
      <c r="F376" s="69"/>
      <c r="G376" s="69"/>
      <c r="H376" s="69"/>
      <c r="I376" s="73"/>
      <c r="J376" s="69"/>
    </row>
    <row r="377" spans="1:10" x14ac:dyDescent="0.3">
      <c r="A377" s="69"/>
      <c r="B377" s="69"/>
      <c r="C377" s="69"/>
      <c r="D377" s="68"/>
      <c r="E377" s="69"/>
      <c r="F377" s="69"/>
      <c r="G377" s="69"/>
      <c r="H377" s="69"/>
      <c r="I377" s="73"/>
      <c r="J377" s="69"/>
    </row>
    <row r="378" spans="1:10" x14ac:dyDescent="0.3">
      <c r="A378" s="69"/>
      <c r="B378" s="69"/>
      <c r="C378" s="69"/>
      <c r="D378" s="68"/>
      <c r="E378" s="69"/>
      <c r="F378" s="69"/>
      <c r="G378" s="69"/>
      <c r="H378" s="69"/>
      <c r="I378" s="73"/>
      <c r="J378" s="69"/>
    </row>
    <row r="379" spans="1:10" x14ac:dyDescent="0.3">
      <c r="A379" s="69"/>
      <c r="B379" s="69"/>
      <c r="C379" s="69"/>
      <c r="D379" s="68"/>
      <c r="E379" s="69"/>
      <c r="F379" s="69"/>
      <c r="G379" s="69"/>
      <c r="H379" s="69"/>
      <c r="I379" s="73"/>
      <c r="J379" s="69"/>
    </row>
    <row r="380" spans="1:10" x14ac:dyDescent="0.3">
      <c r="A380" s="69"/>
      <c r="B380" s="69"/>
      <c r="C380" s="69"/>
      <c r="D380" s="68"/>
      <c r="E380" s="69"/>
      <c r="F380" s="69"/>
      <c r="G380" s="69"/>
      <c r="H380" s="69"/>
      <c r="I380" s="73"/>
      <c r="J380" s="69"/>
    </row>
    <row r="381" spans="1:10" x14ac:dyDescent="0.3">
      <c r="A381" s="69"/>
      <c r="B381" s="69"/>
      <c r="C381" s="69"/>
      <c r="D381" s="68"/>
      <c r="E381" s="69"/>
      <c r="F381" s="69"/>
      <c r="G381" s="69"/>
      <c r="H381" s="69"/>
      <c r="I381" s="73"/>
      <c r="J381" s="69"/>
    </row>
    <row r="382" spans="1:10" x14ac:dyDescent="0.3">
      <c r="A382" s="69"/>
      <c r="B382" s="69"/>
      <c r="C382" s="69"/>
      <c r="D382" s="68"/>
      <c r="E382" s="69"/>
      <c r="F382" s="69"/>
      <c r="G382" s="69"/>
      <c r="H382" s="69"/>
      <c r="I382" s="73"/>
      <c r="J382" s="69"/>
    </row>
    <row r="383" spans="1:10" x14ac:dyDescent="0.3">
      <c r="A383" s="69"/>
      <c r="B383" s="69"/>
      <c r="C383" s="69"/>
      <c r="D383" s="68"/>
      <c r="E383" s="69"/>
      <c r="F383" s="69"/>
      <c r="G383" s="69"/>
      <c r="H383" s="69"/>
      <c r="I383" s="73"/>
      <c r="J383" s="69"/>
    </row>
    <row r="384" spans="1:10" x14ac:dyDescent="0.3">
      <c r="A384" s="69"/>
      <c r="B384" s="69"/>
      <c r="C384" s="69"/>
      <c r="D384" s="68"/>
      <c r="E384" s="69"/>
      <c r="F384" s="69"/>
      <c r="G384" s="69"/>
      <c r="H384" s="69"/>
      <c r="I384" s="73"/>
      <c r="J384" s="69"/>
    </row>
    <row r="385" spans="1:10" x14ac:dyDescent="0.3">
      <c r="A385" s="69"/>
      <c r="B385" s="69"/>
      <c r="C385" s="69"/>
      <c r="D385" s="68"/>
      <c r="E385" s="69"/>
      <c r="F385" s="69"/>
      <c r="G385" s="69"/>
      <c r="H385" s="69"/>
      <c r="I385" s="73"/>
      <c r="J385" s="69"/>
    </row>
    <row r="386" spans="1:10" x14ac:dyDescent="0.3">
      <c r="A386" s="69"/>
      <c r="B386" s="69"/>
      <c r="C386" s="69"/>
      <c r="D386" s="68"/>
      <c r="E386" s="69"/>
      <c r="F386" s="69"/>
      <c r="G386" s="69"/>
      <c r="H386" s="69"/>
      <c r="I386" s="73"/>
      <c r="J386" s="69"/>
    </row>
    <row r="387" spans="1:10" x14ac:dyDescent="0.3">
      <c r="A387" s="69"/>
      <c r="B387" s="69"/>
      <c r="C387" s="69"/>
      <c r="D387" s="68"/>
      <c r="E387" s="69"/>
      <c r="F387" s="69"/>
      <c r="G387" s="69"/>
      <c r="H387" s="69"/>
      <c r="I387" s="73"/>
      <c r="J387" s="69"/>
    </row>
    <row r="388" spans="1:10" x14ac:dyDescent="0.3">
      <c r="A388" s="69"/>
      <c r="B388" s="69"/>
      <c r="C388" s="69"/>
      <c r="D388" s="68"/>
      <c r="E388" s="69"/>
      <c r="F388" s="69"/>
      <c r="G388" s="69"/>
      <c r="H388" s="69"/>
      <c r="I388" s="73"/>
      <c r="J388" s="69"/>
    </row>
    <row r="389" spans="1:10" x14ac:dyDescent="0.3">
      <c r="A389" s="69"/>
      <c r="B389" s="69"/>
      <c r="C389" s="69"/>
      <c r="D389" s="68"/>
      <c r="E389" s="69"/>
      <c r="F389" s="69"/>
      <c r="G389" s="69"/>
      <c r="H389" s="69"/>
      <c r="I389" s="73"/>
      <c r="J389" s="69"/>
    </row>
    <row r="390" spans="1:10" x14ac:dyDescent="0.3">
      <c r="A390" s="69"/>
      <c r="B390" s="69"/>
      <c r="C390" s="69"/>
      <c r="D390" s="68"/>
      <c r="E390" s="69"/>
      <c r="F390" s="69"/>
      <c r="G390" s="69"/>
      <c r="H390" s="69"/>
      <c r="I390" s="73"/>
      <c r="J390" s="69"/>
    </row>
    <row r="391" spans="1:10" x14ac:dyDescent="0.3">
      <c r="A391" s="69"/>
      <c r="B391" s="69"/>
      <c r="C391" s="69"/>
      <c r="D391" s="68"/>
      <c r="E391" s="69"/>
      <c r="F391" s="69"/>
      <c r="G391" s="69"/>
      <c r="H391" s="69"/>
      <c r="I391" s="73"/>
      <c r="J391" s="69"/>
    </row>
    <row r="392" spans="1:10" x14ac:dyDescent="0.3">
      <c r="A392" s="69"/>
      <c r="B392" s="69"/>
      <c r="C392" s="69"/>
      <c r="D392" s="68"/>
      <c r="E392" s="69"/>
      <c r="F392" s="69"/>
      <c r="G392" s="69"/>
      <c r="H392" s="69"/>
      <c r="I392" s="73"/>
      <c r="J392" s="69"/>
    </row>
    <row r="393" spans="1:10" x14ac:dyDescent="0.3">
      <c r="A393" s="69"/>
      <c r="B393" s="69"/>
      <c r="C393" s="69"/>
      <c r="D393" s="68"/>
      <c r="E393" s="69"/>
      <c r="F393" s="69"/>
      <c r="G393" s="69"/>
      <c r="H393" s="69"/>
      <c r="I393" s="73"/>
      <c r="J393" s="69"/>
    </row>
    <row r="394" spans="1:10" x14ac:dyDescent="0.3">
      <c r="A394" s="69"/>
      <c r="B394" s="69"/>
      <c r="C394" s="69"/>
      <c r="D394" s="68"/>
      <c r="E394" s="69"/>
      <c r="F394" s="69"/>
      <c r="G394" s="69"/>
      <c r="H394" s="69"/>
      <c r="I394" s="73"/>
      <c r="J394" s="69"/>
    </row>
    <row r="395" spans="1:10" x14ac:dyDescent="0.3">
      <c r="A395" s="69"/>
      <c r="B395" s="69"/>
      <c r="C395" s="69"/>
      <c r="D395" s="68"/>
      <c r="E395" s="69"/>
      <c r="F395" s="69"/>
      <c r="G395" s="69"/>
      <c r="H395" s="69"/>
      <c r="I395" s="73"/>
      <c r="J395" s="69"/>
    </row>
    <row r="396" spans="1:10" x14ac:dyDescent="0.3">
      <c r="A396" s="69"/>
      <c r="B396" s="69"/>
      <c r="C396" s="69"/>
      <c r="D396" s="68"/>
      <c r="E396" s="69"/>
      <c r="F396" s="69"/>
      <c r="G396" s="69"/>
      <c r="H396" s="69"/>
      <c r="I396" s="73"/>
      <c r="J396" s="69"/>
    </row>
    <row r="397" spans="1:10" x14ac:dyDescent="0.3">
      <c r="A397" s="69"/>
      <c r="B397" s="69"/>
      <c r="C397" s="69"/>
      <c r="D397" s="68"/>
      <c r="E397" s="69"/>
      <c r="F397" s="69"/>
      <c r="G397" s="69"/>
      <c r="H397" s="69"/>
      <c r="I397" s="73"/>
      <c r="J397" s="69"/>
    </row>
    <row r="398" spans="1:10" x14ac:dyDescent="0.3">
      <c r="A398" s="69"/>
      <c r="B398" s="69"/>
      <c r="C398" s="69"/>
      <c r="D398" s="68"/>
      <c r="E398" s="69"/>
      <c r="F398" s="69"/>
      <c r="G398" s="69"/>
      <c r="H398" s="69"/>
      <c r="I398" s="73"/>
      <c r="J398" s="69"/>
    </row>
    <row r="399" spans="1:10" x14ac:dyDescent="0.3">
      <c r="A399" s="69"/>
      <c r="B399" s="69"/>
      <c r="C399" s="69"/>
      <c r="D399" s="68"/>
      <c r="E399" s="69"/>
      <c r="F399" s="69"/>
      <c r="G399" s="69"/>
      <c r="H399" s="69"/>
      <c r="I399" s="73"/>
      <c r="J399" s="69"/>
    </row>
    <row r="400" spans="1:10" x14ac:dyDescent="0.3">
      <c r="A400" s="69"/>
      <c r="B400" s="69"/>
      <c r="C400" s="69"/>
      <c r="D400" s="68"/>
      <c r="E400" s="69"/>
      <c r="F400" s="69"/>
      <c r="G400" s="69"/>
      <c r="H400" s="69"/>
      <c r="I400" s="73"/>
      <c r="J400" s="69"/>
    </row>
    <row r="401" spans="1:10" x14ac:dyDescent="0.3">
      <c r="A401" s="69"/>
      <c r="B401" s="69"/>
      <c r="C401" s="69"/>
      <c r="D401" s="68"/>
      <c r="E401" s="69"/>
      <c r="F401" s="69"/>
      <c r="G401" s="69"/>
      <c r="H401" s="69"/>
      <c r="I401" s="73"/>
      <c r="J401" s="69"/>
    </row>
    <row r="402" spans="1:10" x14ac:dyDescent="0.3">
      <c r="A402" s="69"/>
      <c r="B402" s="69"/>
      <c r="C402" s="69"/>
      <c r="D402" s="68"/>
      <c r="E402" s="69"/>
      <c r="F402" s="69"/>
      <c r="G402" s="69"/>
      <c r="H402" s="69"/>
      <c r="I402" s="73"/>
      <c r="J402" s="69"/>
    </row>
    <row r="403" spans="1:10" x14ac:dyDescent="0.3">
      <c r="A403" s="69"/>
      <c r="B403" s="69"/>
      <c r="C403" s="69"/>
      <c r="D403" s="68"/>
      <c r="E403" s="69"/>
      <c r="F403" s="69"/>
      <c r="G403" s="69"/>
      <c r="H403" s="69"/>
      <c r="I403" s="73"/>
      <c r="J403" s="69"/>
    </row>
    <row r="404" spans="1:10" x14ac:dyDescent="0.3">
      <c r="A404" s="69"/>
      <c r="B404" s="69"/>
      <c r="C404" s="69"/>
      <c r="D404" s="68"/>
      <c r="E404" s="69"/>
      <c r="F404" s="69"/>
      <c r="G404" s="69"/>
      <c r="H404" s="69"/>
      <c r="I404" s="73"/>
      <c r="J404" s="69"/>
    </row>
    <row r="405" spans="1:10" x14ac:dyDescent="0.3">
      <c r="A405" s="69"/>
      <c r="B405" s="69"/>
      <c r="C405" s="69"/>
      <c r="D405" s="68"/>
      <c r="E405" s="69"/>
      <c r="F405" s="69"/>
      <c r="G405" s="69"/>
      <c r="H405" s="69"/>
      <c r="I405" s="73"/>
      <c r="J405" s="69"/>
    </row>
    <row r="406" spans="1:10" x14ac:dyDescent="0.3">
      <c r="A406" s="69"/>
      <c r="B406" s="69"/>
      <c r="C406" s="69"/>
      <c r="D406" s="68"/>
      <c r="E406" s="69"/>
      <c r="F406" s="69"/>
      <c r="G406" s="69"/>
      <c r="H406" s="69"/>
      <c r="I406" s="73"/>
      <c r="J406" s="69"/>
    </row>
    <row r="407" spans="1:10" x14ac:dyDescent="0.3">
      <c r="A407" s="69"/>
      <c r="B407" s="69"/>
      <c r="C407" s="69"/>
      <c r="D407" s="68"/>
      <c r="E407" s="69"/>
      <c r="F407" s="69"/>
      <c r="G407" s="69"/>
      <c r="H407" s="69"/>
      <c r="I407" s="73"/>
      <c r="J407" s="69"/>
    </row>
    <row r="408" spans="1:10" x14ac:dyDescent="0.3">
      <c r="A408" s="69"/>
      <c r="B408" s="69"/>
      <c r="C408" s="69"/>
      <c r="D408" s="68"/>
      <c r="E408" s="69"/>
      <c r="F408" s="69"/>
      <c r="G408" s="69"/>
      <c r="H408" s="69"/>
      <c r="I408" s="73"/>
      <c r="J408" s="69"/>
    </row>
    <row r="409" spans="1:10" x14ac:dyDescent="0.3">
      <c r="A409" s="69"/>
      <c r="B409" s="69"/>
      <c r="C409" s="69"/>
      <c r="D409" s="68"/>
      <c r="E409" s="69"/>
      <c r="F409" s="69"/>
      <c r="G409" s="69"/>
      <c r="H409" s="69"/>
      <c r="I409" s="73"/>
      <c r="J409" s="69"/>
    </row>
    <row r="410" spans="1:10" x14ac:dyDescent="0.3">
      <c r="A410" s="69"/>
      <c r="B410" s="69"/>
      <c r="C410" s="69"/>
      <c r="D410" s="68"/>
      <c r="E410" s="69"/>
      <c r="F410" s="69"/>
      <c r="G410" s="69"/>
      <c r="H410" s="69"/>
      <c r="I410" s="73"/>
      <c r="J410" s="69"/>
    </row>
    <row r="411" spans="1:10" x14ac:dyDescent="0.3">
      <c r="A411" s="69"/>
      <c r="B411" s="69"/>
      <c r="C411" s="69"/>
      <c r="D411" s="68"/>
      <c r="E411" s="69"/>
      <c r="F411" s="69"/>
      <c r="G411" s="69"/>
      <c r="H411" s="69"/>
      <c r="I411" s="73"/>
      <c r="J411" s="69"/>
    </row>
    <row r="412" spans="1:10" x14ac:dyDescent="0.3">
      <c r="A412" s="69"/>
      <c r="B412" s="69"/>
      <c r="C412" s="69"/>
      <c r="D412" s="68"/>
      <c r="E412" s="69"/>
      <c r="F412" s="69"/>
      <c r="G412" s="69"/>
      <c r="H412" s="69"/>
      <c r="I412" s="73"/>
      <c r="J412" s="69"/>
    </row>
    <row r="413" spans="1:10" x14ac:dyDescent="0.3">
      <c r="A413" s="69"/>
      <c r="B413" s="69"/>
      <c r="C413" s="69"/>
      <c r="D413" s="68"/>
      <c r="E413" s="69"/>
      <c r="F413" s="69"/>
      <c r="G413" s="69"/>
      <c r="H413" s="69"/>
      <c r="I413" s="73"/>
      <c r="J413" s="69"/>
    </row>
    <row r="414" spans="1:10" x14ac:dyDescent="0.3">
      <c r="A414" s="69"/>
      <c r="B414" s="69"/>
      <c r="C414" s="69"/>
      <c r="D414" s="68"/>
      <c r="E414" s="69"/>
      <c r="F414" s="69"/>
      <c r="G414" s="69"/>
      <c r="H414" s="69"/>
      <c r="I414" s="73"/>
      <c r="J414" s="69"/>
    </row>
    <row r="415" spans="1:10" x14ac:dyDescent="0.3">
      <c r="A415" s="69"/>
      <c r="B415" s="69"/>
      <c r="C415" s="69"/>
      <c r="D415" s="68"/>
      <c r="E415" s="69"/>
      <c r="F415" s="69"/>
      <c r="G415" s="69"/>
      <c r="H415" s="69"/>
      <c r="I415" s="73"/>
      <c r="J415" s="69"/>
    </row>
    <row r="416" spans="1:10" x14ac:dyDescent="0.3">
      <c r="A416" s="69"/>
      <c r="B416" s="69"/>
      <c r="C416" s="69"/>
      <c r="D416" s="68"/>
      <c r="E416" s="69"/>
      <c r="F416" s="69"/>
      <c r="G416" s="69"/>
      <c r="H416" s="69"/>
      <c r="I416" s="73"/>
      <c r="J416" s="69"/>
    </row>
    <row r="417" spans="1:10" x14ac:dyDescent="0.3">
      <c r="A417" s="69"/>
      <c r="B417" s="69"/>
      <c r="C417" s="69"/>
      <c r="D417" s="68"/>
      <c r="E417" s="69"/>
      <c r="F417" s="69"/>
      <c r="G417" s="69"/>
      <c r="H417" s="69"/>
      <c r="I417" s="73"/>
      <c r="J417" s="69"/>
    </row>
    <row r="418" spans="1:10" x14ac:dyDescent="0.3">
      <c r="A418" s="69"/>
      <c r="B418" s="69"/>
      <c r="C418" s="69"/>
      <c r="D418" s="68"/>
      <c r="E418" s="69"/>
      <c r="F418" s="69"/>
      <c r="G418" s="69"/>
      <c r="H418" s="69"/>
      <c r="I418" s="73"/>
      <c r="J418" s="69"/>
    </row>
    <row r="419" spans="1:10" x14ac:dyDescent="0.3">
      <c r="A419" s="69"/>
      <c r="B419" s="69"/>
      <c r="C419" s="69"/>
      <c r="D419" s="68"/>
      <c r="E419" s="69"/>
      <c r="F419" s="69"/>
      <c r="G419" s="69"/>
      <c r="H419" s="69"/>
      <c r="I419" s="73"/>
      <c r="J419" s="69"/>
    </row>
    <row r="420" spans="1:10" x14ac:dyDescent="0.3">
      <c r="A420" s="69"/>
      <c r="B420" s="69"/>
      <c r="C420" s="69"/>
      <c r="D420" s="68"/>
      <c r="E420" s="69"/>
      <c r="F420" s="69"/>
      <c r="G420" s="69"/>
      <c r="H420" s="69"/>
      <c r="I420" s="73"/>
      <c r="J420" s="69"/>
    </row>
    <row r="421" spans="1:10" x14ac:dyDescent="0.3">
      <c r="A421" s="69"/>
      <c r="B421" s="69"/>
      <c r="C421" s="69"/>
      <c r="D421" s="68"/>
      <c r="E421" s="69"/>
      <c r="F421" s="69"/>
      <c r="G421" s="69"/>
      <c r="H421" s="69"/>
      <c r="I421" s="73"/>
      <c r="J421" s="69"/>
    </row>
    <row r="422" spans="1:10" x14ac:dyDescent="0.3">
      <c r="A422" s="69"/>
      <c r="B422" s="69"/>
      <c r="C422" s="69"/>
      <c r="D422" s="68"/>
      <c r="E422" s="69"/>
      <c r="F422" s="69"/>
      <c r="G422" s="69"/>
      <c r="H422" s="69"/>
      <c r="I422" s="73"/>
      <c r="J422" s="69"/>
    </row>
    <row r="423" spans="1:10" x14ac:dyDescent="0.3">
      <c r="A423" s="69"/>
      <c r="B423" s="69"/>
      <c r="C423" s="69"/>
      <c r="D423" s="68"/>
      <c r="E423" s="69"/>
      <c r="F423" s="69"/>
      <c r="G423" s="69"/>
      <c r="H423" s="69"/>
      <c r="I423" s="73"/>
      <c r="J423" s="69"/>
    </row>
    <row r="424" spans="1:10" x14ac:dyDescent="0.3">
      <c r="A424" s="69"/>
      <c r="B424" s="69"/>
      <c r="C424" s="69"/>
      <c r="D424" s="68"/>
      <c r="E424" s="69"/>
      <c r="F424" s="69"/>
      <c r="G424" s="69"/>
      <c r="H424" s="69"/>
      <c r="I424" s="73"/>
      <c r="J424" s="69"/>
    </row>
    <row r="425" spans="1:10" x14ac:dyDescent="0.3">
      <c r="A425" s="69"/>
      <c r="B425" s="69"/>
      <c r="C425" s="69"/>
      <c r="D425" s="68"/>
      <c r="E425" s="69"/>
      <c r="F425" s="69"/>
      <c r="G425" s="69"/>
      <c r="H425" s="69"/>
      <c r="I425" s="73"/>
      <c r="J425" s="69"/>
    </row>
    <row r="426" spans="1:10" x14ac:dyDescent="0.3">
      <c r="A426" s="69"/>
      <c r="B426" s="69"/>
      <c r="C426" s="69"/>
      <c r="D426" s="68"/>
      <c r="E426" s="69"/>
      <c r="F426" s="69"/>
      <c r="G426" s="69"/>
      <c r="H426" s="69"/>
      <c r="I426" s="73"/>
      <c r="J426" s="69"/>
    </row>
    <row r="427" spans="1:10" x14ac:dyDescent="0.3">
      <c r="A427" s="69"/>
      <c r="B427" s="69"/>
      <c r="C427" s="69"/>
      <c r="D427" s="68"/>
      <c r="E427" s="69"/>
      <c r="F427" s="69"/>
      <c r="G427" s="69"/>
      <c r="H427" s="69"/>
      <c r="I427" s="73"/>
      <c r="J427" s="69"/>
    </row>
    <row r="428" spans="1:10" x14ac:dyDescent="0.3">
      <c r="A428" s="69"/>
      <c r="B428" s="69"/>
      <c r="C428" s="69"/>
      <c r="D428" s="68"/>
      <c r="E428" s="69"/>
      <c r="F428" s="69"/>
      <c r="G428" s="69"/>
      <c r="H428" s="69"/>
      <c r="I428" s="73"/>
      <c r="J428" s="69"/>
    </row>
    <row r="429" spans="1:10" x14ac:dyDescent="0.3">
      <c r="A429" s="69"/>
      <c r="B429" s="69"/>
      <c r="C429" s="69"/>
      <c r="D429" s="68"/>
      <c r="E429" s="69"/>
      <c r="F429" s="69"/>
      <c r="G429" s="69"/>
      <c r="H429" s="69"/>
      <c r="I429" s="73"/>
      <c r="J429" s="69"/>
    </row>
    <row r="430" spans="1:10" x14ac:dyDescent="0.3">
      <c r="A430" s="69"/>
      <c r="B430" s="69"/>
      <c r="C430" s="69"/>
      <c r="D430" s="68"/>
      <c r="E430" s="69"/>
      <c r="F430" s="69"/>
      <c r="G430" s="69"/>
      <c r="H430" s="69"/>
      <c r="I430" s="73"/>
      <c r="J430" s="69"/>
    </row>
    <row r="431" spans="1:10" x14ac:dyDescent="0.3">
      <c r="A431" s="69"/>
      <c r="B431" s="69"/>
      <c r="C431" s="69"/>
      <c r="D431" s="68"/>
      <c r="E431" s="69"/>
      <c r="F431" s="69"/>
      <c r="G431" s="69"/>
      <c r="H431" s="69"/>
      <c r="I431" s="73"/>
      <c r="J431" s="69"/>
    </row>
    <row r="432" spans="1:10" x14ac:dyDescent="0.3">
      <c r="A432" s="69"/>
      <c r="B432" s="69"/>
      <c r="C432" s="69"/>
      <c r="D432" s="68"/>
      <c r="E432" s="69"/>
      <c r="F432" s="69"/>
      <c r="G432" s="69"/>
      <c r="H432" s="69"/>
      <c r="I432" s="73"/>
      <c r="J432" s="69"/>
    </row>
    <row r="433" spans="1:10" x14ac:dyDescent="0.3">
      <c r="A433" s="69"/>
      <c r="B433" s="69"/>
      <c r="C433" s="69"/>
      <c r="D433" s="68"/>
      <c r="E433" s="69"/>
      <c r="F433" s="69"/>
      <c r="G433" s="69"/>
      <c r="H433" s="69"/>
      <c r="I433" s="73"/>
      <c r="J433" s="69"/>
    </row>
    <row r="434" spans="1:10" x14ac:dyDescent="0.3">
      <c r="A434" s="69"/>
      <c r="B434" s="69"/>
      <c r="C434" s="69"/>
      <c r="D434" s="68"/>
      <c r="E434" s="69"/>
      <c r="F434" s="69"/>
      <c r="G434" s="69"/>
      <c r="H434" s="69"/>
      <c r="I434" s="73"/>
      <c r="J434" s="69"/>
    </row>
    <row r="435" spans="1:10" x14ac:dyDescent="0.3">
      <c r="A435" s="69"/>
      <c r="B435" s="69"/>
      <c r="C435" s="69"/>
      <c r="D435" s="68"/>
      <c r="E435" s="69"/>
      <c r="F435" s="69"/>
      <c r="G435" s="69"/>
      <c r="H435" s="69"/>
      <c r="I435" s="73"/>
      <c r="J435" s="69"/>
    </row>
    <row r="436" spans="1:10" x14ac:dyDescent="0.3">
      <c r="A436" s="69"/>
      <c r="B436" s="69"/>
      <c r="C436" s="69"/>
      <c r="D436" s="68"/>
      <c r="E436" s="69"/>
      <c r="F436" s="69"/>
      <c r="G436" s="69"/>
      <c r="H436" s="69"/>
      <c r="I436" s="73"/>
      <c r="J436" s="69"/>
    </row>
    <row r="437" spans="1:10" x14ac:dyDescent="0.3">
      <c r="A437" s="69"/>
      <c r="B437" s="69"/>
      <c r="C437" s="69"/>
      <c r="D437" s="68"/>
      <c r="E437" s="69"/>
      <c r="F437" s="69"/>
      <c r="G437" s="69"/>
      <c r="H437" s="69"/>
      <c r="I437" s="73"/>
      <c r="J437" s="69"/>
    </row>
    <row r="438" spans="1:10" x14ac:dyDescent="0.3">
      <c r="A438" s="69"/>
      <c r="B438" s="69"/>
      <c r="C438" s="69"/>
      <c r="D438" s="68"/>
      <c r="E438" s="69"/>
      <c r="F438" s="69"/>
      <c r="G438" s="69"/>
      <c r="H438" s="69"/>
      <c r="I438" s="73"/>
      <c r="J438" s="69"/>
    </row>
    <row r="439" spans="1:10" x14ac:dyDescent="0.3">
      <c r="A439" s="69"/>
      <c r="B439" s="69"/>
      <c r="C439" s="69"/>
      <c r="D439" s="68"/>
      <c r="E439" s="69"/>
      <c r="F439" s="69"/>
      <c r="G439" s="69"/>
      <c r="H439" s="69"/>
      <c r="I439" s="73"/>
      <c r="J439" s="69"/>
    </row>
    <row r="440" spans="1:10" x14ac:dyDescent="0.3">
      <c r="A440" s="69"/>
      <c r="B440" s="69"/>
      <c r="C440" s="69"/>
      <c r="D440" s="68"/>
      <c r="E440" s="69"/>
      <c r="F440" s="69"/>
      <c r="G440" s="69"/>
      <c r="H440" s="69"/>
      <c r="I440" s="73"/>
      <c r="J440" s="69"/>
    </row>
    <row r="441" spans="1:10" x14ac:dyDescent="0.3">
      <c r="A441" s="69"/>
      <c r="B441" s="69"/>
      <c r="C441" s="69"/>
      <c r="D441" s="68"/>
      <c r="E441" s="69"/>
      <c r="F441" s="69"/>
      <c r="G441" s="69"/>
      <c r="H441" s="69"/>
      <c r="I441" s="73"/>
      <c r="J441" s="69"/>
    </row>
    <row r="442" spans="1:10" x14ac:dyDescent="0.3">
      <c r="A442" s="69"/>
      <c r="B442" s="69"/>
      <c r="C442" s="69"/>
      <c r="D442" s="68"/>
      <c r="E442" s="69"/>
      <c r="F442" s="69"/>
      <c r="G442" s="69"/>
      <c r="H442" s="69"/>
      <c r="I442" s="73"/>
      <c r="J442" s="69"/>
    </row>
    <row r="443" spans="1:10" x14ac:dyDescent="0.3">
      <c r="A443" s="69"/>
      <c r="B443" s="69"/>
      <c r="C443" s="69"/>
      <c r="D443" s="68"/>
      <c r="E443" s="69"/>
      <c r="F443" s="69"/>
      <c r="G443" s="69"/>
      <c r="H443" s="69"/>
      <c r="I443" s="73"/>
      <c r="J443" s="69"/>
    </row>
    <row r="444" spans="1:10" x14ac:dyDescent="0.3">
      <c r="A444" s="69"/>
      <c r="B444" s="69"/>
      <c r="C444" s="69"/>
      <c r="D444" s="68"/>
      <c r="E444" s="69"/>
      <c r="F444" s="69"/>
      <c r="G444" s="69"/>
      <c r="H444" s="69"/>
      <c r="I444" s="73"/>
      <c r="J444" s="69"/>
    </row>
    <row r="445" spans="1:10" x14ac:dyDescent="0.3">
      <c r="A445" s="69"/>
      <c r="B445" s="69"/>
      <c r="C445" s="69"/>
      <c r="D445" s="68"/>
      <c r="E445" s="69"/>
      <c r="F445" s="69"/>
      <c r="G445" s="69"/>
      <c r="H445" s="69"/>
      <c r="I445" s="73"/>
      <c r="J445" s="69"/>
    </row>
    <row r="446" spans="1:10" x14ac:dyDescent="0.3">
      <c r="A446" s="69"/>
      <c r="B446" s="69"/>
      <c r="C446" s="69"/>
      <c r="D446" s="68"/>
      <c r="E446" s="69"/>
      <c r="F446" s="69"/>
      <c r="G446" s="69"/>
      <c r="H446" s="69"/>
      <c r="I446" s="73"/>
      <c r="J446" s="69"/>
    </row>
    <row r="447" spans="1:10" x14ac:dyDescent="0.3">
      <c r="A447" s="69"/>
      <c r="B447" s="69"/>
      <c r="C447" s="69"/>
      <c r="D447" s="68"/>
      <c r="E447" s="69"/>
      <c r="F447" s="69"/>
      <c r="G447" s="69"/>
      <c r="H447" s="69"/>
      <c r="I447" s="73"/>
      <c r="J447" s="69"/>
    </row>
    <row r="448" spans="1:10" x14ac:dyDescent="0.3">
      <c r="A448" s="69"/>
      <c r="B448" s="69"/>
      <c r="C448" s="69"/>
      <c r="D448" s="68"/>
      <c r="E448" s="69"/>
      <c r="F448" s="69"/>
      <c r="G448" s="69"/>
      <c r="H448" s="69"/>
      <c r="I448" s="73"/>
      <c r="J448" s="69"/>
    </row>
    <row r="449" spans="1:10" x14ac:dyDescent="0.3">
      <c r="A449" s="69"/>
      <c r="B449" s="69"/>
      <c r="C449" s="69"/>
      <c r="D449" s="68"/>
      <c r="E449" s="69"/>
      <c r="F449" s="69"/>
      <c r="G449" s="69"/>
      <c r="H449" s="69"/>
      <c r="I449" s="73"/>
      <c r="J449" s="69"/>
    </row>
    <row r="450" spans="1:10" x14ac:dyDescent="0.3">
      <c r="A450" s="69"/>
      <c r="B450" s="69"/>
      <c r="C450" s="69"/>
      <c r="D450" s="68"/>
      <c r="E450" s="69"/>
      <c r="F450" s="69"/>
      <c r="G450" s="69"/>
      <c r="H450" s="69"/>
      <c r="I450" s="73"/>
      <c r="J450" s="69"/>
    </row>
    <row r="451" spans="1:10" x14ac:dyDescent="0.3">
      <c r="A451" s="69"/>
      <c r="B451" s="69"/>
      <c r="C451" s="69"/>
      <c r="D451" s="68"/>
      <c r="E451" s="69"/>
      <c r="F451" s="69"/>
      <c r="G451" s="69"/>
      <c r="H451" s="69"/>
      <c r="I451" s="73"/>
      <c r="J451" s="69"/>
    </row>
    <row r="452" spans="1:10" x14ac:dyDescent="0.3">
      <c r="A452" s="69"/>
      <c r="B452" s="69"/>
      <c r="C452" s="69"/>
      <c r="D452" s="68"/>
      <c r="E452" s="69"/>
      <c r="F452" s="69"/>
      <c r="G452" s="69"/>
      <c r="H452" s="69"/>
      <c r="I452" s="73"/>
      <c r="J452" s="69"/>
    </row>
    <row r="453" spans="1:10" x14ac:dyDescent="0.3">
      <c r="A453" s="69"/>
      <c r="B453" s="69"/>
      <c r="C453" s="69"/>
      <c r="D453" s="68"/>
      <c r="E453" s="69"/>
      <c r="F453" s="69"/>
      <c r="G453" s="69"/>
      <c r="H453" s="69"/>
      <c r="I453" s="73"/>
      <c r="J453" s="69"/>
    </row>
    <row r="454" spans="1:10" x14ac:dyDescent="0.3">
      <c r="A454" s="69"/>
      <c r="B454" s="69"/>
      <c r="C454" s="69"/>
      <c r="D454" s="68"/>
      <c r="E454" s="69"/>
      <c r="F454" s="69"/>
      <c r="G454" s="69"/>
      <c r="H454" s="69"/>
      <c r="I454" s="73"/>
      <c r="J454" s="69"/>
    </row>
    <row r="455" spans="1:10" x14ac:dyDescent="0.3">
      <c r="A455" s="69"/>
      <c r="B455" s="69"/>
      <c r="C455" s="69"/>
      <c r="D455" s="68"/>
      <c r="E455" s="69"/>
      <c r="F455" s="69"/>
      <c r="G455" s="69"/>
      <c r="H455" s="69"/>
      <c r="I455" s="73"/>
      <c r="J455" s="69"/>
    </row>
    <row r="456" spans="1:10" x14ac:dyDescent="0.3">
      <c r="A456" s="69"/>
      <c r="B456" s="69"/>
      <c r="C456" s="69"/>
      <c r="D456" s="68"/>
      <c r="E456" s="69"/>
      <c r="F456" s="69"/>
      <c r="G456" s="69"/>
      <c r="H456" s="69"/>
      <c r="I456" s="73"/>
      <c r="J456" s="69"/>
    </row>
    <row r="457" spans="1:10" x14ac:dyDescent="0.3">
      <c r="A457" s="69"/>
      <c r="B457" s="69"/>
      <c r="C457" s="69"/>
      <c r="D457" s="68"/>
      <c r="E457" s="69"/>
      <c r="F457" s="69"/>
      <c r="G457" s="69"/>
      <c r="H457" s="69"/>
      <c r="I457" s="73"/>
      <c r="J457" s="69"/>
    </row>
    <row r="458" spans="1:10" x14ac:dyDescent="0.3">
      <c r="A458" s="69"/>
      <c r="B458" s="69"/>
      <c r="C458" s="69"/>
      <c r="D458" s="68"/>
      <c r="E458" s="69"/>
      <c r="F458" s="69"/>
      <c r="G458" s="69"/>
      <c r="H458" s="69"/>
      <c r="I458" s="73"/>
      <c r="J458" s="69"/>
    </row>
    <row r="459" spans="1:10" x14ac:dyDescent="0.3">
      <c r="A459" s="69"/>
      <c r="B459" s="69"/>
      <c r="C459" s="69"/>
      <c r="D459" s="68"/>
      <c r="E459" s="69"/>
      <c r="F459" s="69"/>
      <c r="G459" s="69"/>
      <c r="H459" s="69"/>
      <c r="I459" s="73"/>
      <c r="J459" s="69"/>
    </row>
    <row r="460" spans="1:10" x14ac:dyDescent="0.3">
      <c r="A460" s="69"/>
      <c r="B460" s="69"/>
      <c r="C460" s="69"/>
      <c r="D460" s="68"/>
      <c r="E460" s="69"/>
      <c r="F460" s="69"/>
      <c r="G460" s="69"/>
      <c r="H460" s="69"/>
      <c r="I460" s="73"/>
      <c r="J460" s="69"/>
    </row>
    <row r="461" spans="1:10" x14ac:dyDescent="0.3">
      <c r="A461" s="69"/>
      <c r="B461" s="69"/>
      <c r="C461" s="69"/>
      <c r="D461" s="68"/>
      <c r="E461" s="69"/>
      <c r="F461" s="69"/>
      <c r="G461" s="69"/>
      <c r="H461" s="69"/>
      <c r="I461" s="73"/>
      <c r="J461" s="69"/>
    </row>
    <row r="462" spans="1:10" x14ac:dyDescent="0.3">
      <c r="A462" s="69"/>
      <c r="B462" s="69"/>
      <c r="C462" s="69"/>
      <c r="D462" s="68"/>
      <c r="E462" s="69"/>
      <c r="F462" s="69"/>
      <c r="G462" s="69"/>
      <c r="H462" s="69"/>
      <c r="I462" s="73"/>
      <c r="J462" s="69"/>
    </row>
    <row r="463" spans="1:10" x14ac:dyDescent="0.3">
      <c r="A463" s="69"/>
      <c r="B463" s="69"/>
      <c r="C463" s="69"/>
      <c r="D463" s="68"/>
      <c r="E463" s="69"/>
      <c r="F463" s="69"/>
      <c r="G463" s="69"/>
      <c r="H463" s="69"/>
      <c r="I463" s="73"/>
      <c r="J463" s="69"/>
    </row>
    <row r="464" spans="1:10" x14ac:dyDescent="0.3">
      <c r="A464" s="69"/>
      <c r="B464" s="69"/>
      <c r="C464" s="69"/>
      <c r="D464" s="68"/>
      <c r="E464" s="69"/>
      <c r="F464" s="69"/>
      <c r="G464" s="69"/>
      <c r="H464" s="69"/>
      <c r="I464" s="73"/>
      <c r="J464" s="69"/>
    </row>
    <row r="465" spans="1:10" x14ac:dyDescent="0.3">
      <c r="A465" s="69"/>
      <c r="B465" s="69"/>
      <c r="C465" s="69"/>
      <c r="D465" s="68"/>
      <c r="E465" s="69"/>
      <c r="F465" s="69"/>
      <c r="G465" s="69"/>
      <c r="H465" s="69"/>
      <c r="I465" s="73"/>
      <c r="J465" s="69"/>
    </row>
    <row r="466" spans="1:10" x14ac:dyDescent="0.3">
      <c r="A466" s="69"/>
      <c r="B466" s="69"/>
      <c r="C466" s="69"/>
      <c r="D466" s="68"/>
      <c r="E466" s="69"/>
      <c r="F466" s="69"/>
      <c r="G466" s="69"/>
      <c r="H466" s="69"/>
      <c r="I466" s="73"/>
      <c r="J466" s="69"/>
    </row>
    <row r="467" spans="1:10" x14ac:dyDescent="0.3">
      <c r="A467" s="69"/>
      <c r="B467" s="69"/>
      <c r="C467" s="69"/>
      <c r="D467" s="68"/>
      <c r="E467" s="69"/>
      <c r="F467" s="69"/>
      <c r="G467" s="69"/>
      <c r="H467" s="69"/>
      <c r="I467" s="73"/>
      <c r="J467" s="69"/>
    </row>
    <row r="468" spans="1:10" x14ac:dyDescent="0.3">
      <c r="A468" s="69"/>
      <c r="B468" s="69"/>
      <c r="C468" s="69"/>
      <c r="D468" s="68"/>
      <c r="E468" s="69"/>
      <c r="F468" s="69"/>
      <c r="G468" s="69"/>
      <c r="H468" s="69"/>
      <c r="I468" s="73"/>
      <c r="J468" s="69"/>
    </row>
    <row r="469" spans="1:10" x14ac:dyDescent="0.3">
      <c r="A469" s="69"/>
      <c r="B469" s="69"/>
      <c r="C469" s="69"/>
      <c r="D469" s="68"/>
      <c r="E469" s="69"/>
      <c r="F469" s="69"/>
      <c r="G469" s="69"/>
      <c r="H469" s="69"/>
      <c r="I469" s="73"/>
      <c r="J469" s="69"/>
    </row>
    <row r="470" spans="1:10" x14ac:dyDescent="0.3">
      <c r="A470" s="69"/>
      <c r="B470" s="69"/>
      <c r="C470" s="69"/>
      <c r="D470" s="68"/>
      <c r="E470" s="69"/>
      <c r="F470" s="69"/>
      <c r="G470" s="69"/>
      <c r="H470" s="69"/>
      <c r="I470" s="73"/>
      <c r="J470" s="69"/>
    </row>
    <row r="471" spans="1:10" x14ac:dyDescent="0.3">
      <c r="A471" s="69"/>
      <c r="B471" s="69"/>
      <c r="C471" s="69"/>
      <c r="D471" s="68"/>
      <c r="E471" s="69"/>
      <c r="F471" s="69"/>
      <c r="G471" s="69"/>
      <c r="H471" s="69"/>
      <c r="I471" s="73"/>
      <c r="J471" s="69"/>
    </row>
    <row r="472" spans="1:10" x14ac:dyDescent="0.3">
      <c r="A472" s="69"/>
      <c r="B472" s="69"/>
      <c r="C472" s="69"/>
      <c r="D472" s="68"/>
      <c r="E472" s="69"/>
      <c r="F472" s="69"/>
      <c r="G472" s="69"/>
      <c r="H472" s="69"/>
      <c r="I472" s="73"/>
      <c r="J472" s="69"/>
    </row>
    <row r="473" spans="1:10" x14ac:dyDescent="0.3">
      <c r="A473" s="69"/>
      <c r="B473" s="69"/>
      <c r="C473" s="69"/>
      <c r="D473" s="68"/>
      <c r="E473" s="69"/>
      <c r="F473" s="69"/>
      <c r="G473" s="69"/>
      <c r="H473" s="69"/>
      <c r="I473" s="73"/>
      <c r="J473" s="69"/>
    </row>
    <row r="474" spans="1:10" x14ac:dyDescent="0.3">
      <c r="A474" s="69"/>
      <c r="B474" s="69"/>
      <c r="C474" s="69"/>
      <c r="D474" s="68"/>
      <c r="E474" s="69"/>
      <c r="F474" s="69"/>
      <c r="G474" s="69"/>
      <c r="H474" s="69"/>
      <c r="I474" s="73"/>
      <c r="J474" s="69"/>
    </row>
    <row r="475" spans="1:10" x14ac:dyDescent="0.3">
      <c r="A475" s="69"/>
      <c r="B475" s="69"/>
      <c r="C475" s="69"/>
      <c r="D475" s="68"/>
      <c r="E475" s="69"/>
      <c r="F475" s="69"/>
      <c r="G475" s="69"/>
      <c r="H475" s="69"/>
      <c r="I475" s="73"/>
      <c r="J475" s="69"/>
    </row>
    <row r="476" spans="1:10" x14ac:dyDescent="0.3">
      <c r="A476" s="69"/>
      <c r="B476" s="69"/>
      <c r="C476" s="69"/>
      <c r="D476" s="68"/>
      <c r="E476" s="69"/>
      <c r="F476" s="69"/>
      <c r="G476" s="69"/>
      <c r="H476" s="69"/>
      <c r="I476" s="73"/>
      <c r="J476" s="69"/>
    </row>
    <row r="477" spans="1:10" x14ac:dyDescent="0.3">
      <c r="A477" s="69"/>
      <c r="B477" s="69"/>
      <c r="C477" s="69"/>
      <c r="D477" s="68"/>
      <c r="E477" s="69"/>
      <c r="F477" s="69"/>
      <c r="G477" s="69"/>
      <c r="H477" s="69"/>
      <c r="I477" s="73"/>
      <c r="J477" s="69"/>
    </row>
    <row r="478" spans="1:10" x14ac:dyDescent="0.3">
      <c r="A478" s="69"/>
      <c r="B478" s="69"/>
      <c r="C478" s="69"/>
      <c r="D478" s="68"/>
      <c r="E478" s="69"/>
      <c r="F478" s="69"/>
      <c r="G478" s="69"/>
      <c r="H478" s="69"/>
      <c r="I478" s="73"/>
      <c r="J478" s="69"/>
    </row>
    <row r="479" spans="1:10" x14ac:dyDescent="0.3">
      <c r="A479" s="69"/>
      <c r="B479" s="69"/>
      <c r="C479" s="69"/>
      <c r="D479" s="68"/>
      <c r="E479" s="69"/>
      <c r="F479" s="69"/>
      <c r="G479" s="69"/>
      <c r="H479" s="69"/>
      <c r="I479" s="73"/>
      <c r="J479" s="69"/>
    </row>
    <row r="480" spans="1:10" x14ac:dyDescent="0.3">
      <c r="A480" s="69"/>
      <c r="B480" s="69"/>
      <c r="C480" s="69"/>
      <c r="D480" s="68"/>
      <c r="E480" s="69"/>
      <c r="F480" s="69"/>
      <c r="G480" s="69"/>
      <c r="H480" s="69"/>
      <c r="I480" s="73"/>
      <c r="J480" s="69"/>
    </row>
    <row r="481" spans="1:10" x14ac:dyDescent="0.3">
      <c r="A481" s="69"/>
      <c r="B481" s="69"/>
      <c r="C481" s="69"/>
      <c r="D481" s="68"/>
      <c r="E481" s="69"/>
      <c r="F481" s="69"/>
      <c r="G481" s="69"/>
      <c r="H481" s="69"/>
      <c r="I481" s="73"/>
      <c r="J481" s="69"/>
    </row>
    <row r="482" spans="1:10" x14ac:dyDescent="0.3">
      <c r="A482" s="69"/>
      <c r="B482" s="69"/>
      <c r="C482" s="69"/>
      <c r="D482" s="68"/>
      <c r="E482" s="69"/>
      <c r="F482" s="69"/>
      <c r="G482" s="69"/>
      <c r="H482" s="69"/>
      <c r="I482" s="73"/>
      <c r="J482" s="69"/>
    </row>
    <row r="483" spans="1:10" x14ac:dyDescent="0.3">
      <c r="A483" s="69"/>
      <c r="B483" s="69"/>
      <c r="C483" s="69"/>
      <c r="D483" s="68"/>
      <c r="E483" s="69"/>
      <c r="F483" s="69"/>
      <c r="G483" s="69"/>
      <c r="H483" s="69"/>
      <c r="I483" s="73"/>
      <c r="J483" s="69"/>
    </row>
    <row r="484" spans="1:10" x14ac:dyDescent="0.3">
      <c r="A484" s="69"/>
      <c r="B484" s="69"/>
      <c r="C484" s="69"/>
      <c r="D484" s="68"/>
      <c r="E484" s="69"/>
      <c r="F484" s="69"/>
      <c r="G484" s="69"/>
      <c r="H484" s="69"/>
      <c r="I484" s="73"/>
      <c r="J484" s="69"/>
    </row>
    <row r="485" spans="1:10" x14ac:dyDescent="0.3">
      <c r="A485" s="69"/>
      <c r="B485" s="69"/>
      <c r="C485" s="69"/>
      <c r="D485" s="68"/>
      <c r="E485" s="69"/>
      <c r="F485" s="69"/>
      <c r="G485" s="69"/>
      <c r="H485" s="69"/>
      <c r="I485" s="73"/>
      <c r="J485" s="69"/>
    </row>
    <row r="486" spans="1:10" x14ac:dyDescent="0.3">
      <c r="A486" s="69"/>
      <c r="B486" s="69"/>
      <c r="C486" s="69"/>
      <c r="D486" s="68"/>
      <c r="E486" s="69"/>
      <c r="F486" s="69"/>
      <c r="G486" s="69"/>
      <c r="H486" s="69"/>
      <c r="I486" s="73"/>
      <c r="J486" s="69"/>
    </row>
    <row r="487" spans="1:10" x14ac:dyDescent="0.3">
      <c r="A487" s="69"/>
      <c r="B487" s="69"/>
      <c r="C487" s="69"/>
      <c r="D487" s="68"/>
      <c r="E487" s="69"/>
      <c r="F487" s="69"/>
      <c r="G487" s="69"/>
      <c r="H487" s="69"/>
      <c r="I487" s="73"/>
      <c r="J487" s="69"/>
    </row>
    <row r="488" spans="1:10" x14ac:dyDescent="0.3">
      <c r="A488" s="69"/>
      <c r="B488" s="69"/>
      <c r="C488" s="69"/>
      <c r="D488" s="68"/>
      <c r="E488" s="69"/>
      <c r="F488" s="69"/>
      <c r="G488" s="69"/>
      <c r="H488" s="69"/>
      <c r="I488" s="73"/>
      <c r="J488" s="69"/>
    </row>
    <row r="489" spans="1:10" x14ac:dyDescent="0.3">
      <c r="A489" s="69"/>
      <c r="B489" s="69"/>
      <c r="C489" s="69"/>
      <c r="D489" s="68"/>
      <c r="E489" s="69"/>
      <c r="F489" s="69"/>
      <c r="G489" s="69"/>
      <c r="H489" s="69"/>
      <c r="I489" s="73"/>
      <c r="J489" s="69"/>
    </row>
    <row r="490" spans="1:10" x14ac:dyDescent="0.3">
      <c r="A490" s="69"/>
      <c r="B490" s="69"/>
      <c r="C490" s="69"/>
      <c r="D490" s="68"/>
      <c r="E490" s="69"/>
      <c r="F490" s="69"/>
      <c r="G490" s="69"/>
      <c r="H490" s="69"/>
      <c r="I490" s="73"/>
      <c r="J490" s="69"/>
    </row>
    <row r="491" spans="1:10" x14ac:dyDescent="0.3">
      <c r="A491" s="69"/>
      <c r="B491" s="69"/>
      <c r="C491" s="69"/>
      <c r="D491" s="68"/>
      <c r="E491" s="69"/>
      <c r="F491" s="69"/>
      <c r="G491" s="69"/>
      <c r="H491" s="69"/>
      <c r="I491" s="73"/>
      <c r="J491" s="69"/>
    </row>
    <row r="492" spans="1:10" x14ac:dyDescent="0.3">
      <c r="A492" s="69"/>
      <c r="B492" s="69"/>
      <c r="C492" s="69"/>
      <c r="D492" s="68"/>
      <c r="E492" s="69"/>
      <c r="F492" s="69"/>
      <c r="G492" s="69"/>
      <c r="H492" s="69"/>
      <c r="I492" s="73"/>
      <c r="J492" s="69"/>
    </row>
    <row r="493" spans="1:10" x14ac:dyDescent="0.3">
      <c r="A493" s="69"/>
      <c r="B493" s="69"/>
      <c r="C493" s="69"/>
      <c r="D493" s="68"/>
      <c r="E493" s="69"/>
      <c r="F493" s="69"/>
      <c r="G493" s="69"/>
      <c r="H493" s="69"/>
      <c r="I493" s="73"/>
      <c r="J493" s="69"/>
    </row>
    <row r="494" spans="1:10" x14ac:dyDescent="0.3">
      <c r="A494" s="69"/>
      <c r="B494" s="69"/>
      <c r="C494" s="69"/>
      <c r="D494" s="68"/>
      <c r="E494" s="69"/>
      <c r="F494" s="69"/>
      <c r="G494" s="69"/>
      <c r="H494" s="69"/>
      <c r="I494" s="73"/>
      <c r="J494" s="69"/>
    </row>
    <row r="495" spans="1:10" x14ac:dyDescent="0.3">
      <c r="A495" s="69"/>
      <c r="B495" s="69"/>
      <c r="C495" s="69"/>
      <c r="D495" s="68"/>
      <c r="E495" s="69"/>
      <c r="F495" s="69"/>
      <c r="G495" s="69"/>
      <c r="H495" s="69"/>
      <c r="I495" s="73"/>
      <c r="J495" s="69"/>
    </row>
    <row r="496" spans="1:10" x14ac:dyDescent="0.3">
      <c r="A496" s="69"/>
      <c r="B496" s="69"/>
      <c r="C496" s="69"/>
      <c r="D496" s="68"/>
      <c r="E496" s="69"/>
      <c r="F496" s="69"/>
      <c r="G496" s="69"/>
      <c r="H496" s="69"/>
      <c r="I496" s="73"/>
      <c r="J496" s="69"/>
    </row>
    <row r="497" spans="1:10" x14ac:dyDescent="0.3">
      <c r="A497" s="69"/>
      <c r="B497" s="69"/>
      <c r="C497" s="69"/>
      <c r="D497" s="68"/>
      <c r="E497" s="69"/>
      <c r="F497" s="69"/>
      <c r="G497" s="69"/>
      <c r="H497" s="69"/>
      <c r="I497" s="73"/>
      <c r="J497" s="69"/>
    </row>
    <row r="498" spans="1:10" x14ac:dyDescent="0.3">
      <c r="A498" s="69"/>
      <c r="B498" s="69"/>
      <c r="C498" s="69"/>
      <c r="D498" s="68"/>
      <c r="E498" s="69"/>
      <c r="F498" s="69"/>
      <c r="G498" s="69"/>
      <c r="H498" s="69"/>
      <c r="I498" s="73"/>
      <c r="J498" s="69"/>
    </row>
    <row r="499" spans="1:10" x14ac:dyDescent="0.3">
      <c r="A499" s="69"/>
      <c r="B499" s="69"/>
      <c r="C499" s="69"/>
      <c r="D499" s="68"/>
      <c r="E499" s="69"/>
      <c r="F499" s="69"/>
      <c r="G499" s="69"/>
      <c r="H499" s="69"/>
      <c r="I499" s="73"/>
      <c r="J499" s="69"/>
    </row>
    <row r="500" spans="1:10" x14ac:dyDescent="0.3">
      <c r="A500" s="69"/>
      <c r="B500" s="69"/>
      <c r="C500" s="69"/>
      <c r="D500" s="68"/>
      <c r="E500" s="69"/>
      <c r="F500" s="69"/>
      <c r="G500" s="69"/>
      <c r="H500" s="69"/>
      <c r="I500" s="73"/>
      <c r="J500" s="69"/>
    </row>
    <row r="501" spans="1:10" x14ac:dyDescent="0.3">
      <c r="A501" s="69"/>
      <c r="B501" s="69"/>
      <c r="C501" s="69"/>
      <c r="D501" s="68"/>
      <c r="E501" s="69"/>
      <c r="F501" s="69"/>
      <c r="G501" s="69"/>
      <c r="H501" s="69"/>
      <c r="I501" s="73"/>
      <c r="J501" s="69"/>
    </row>
    <row r="502" spans="1:10" x14ac:dyDescent="0.3">
      <c r="A502" s="69"/>
      <c r="B502" s="69"/>
      <c r="C502" s="69"/>
      <c r="D502" s="68"/>
      <c r="E502" s="69"/>
      <c r="F502" s="69"/>
      <c r="G502" s="69"/>
      <c r="H502" s="69"/>
      <c r="I502" s="73"/>
      <c r="J502" s="69"/>
    </row>
    <row r="503" spans="1:10" x14ac:dyDescent="0.3">
      <c r="A503" s="69"/>
      <c r="B503" s="69"/>
      <c r="C503" s="69"/>
      <c r="D503" s="68"/>
      <c r="E503" s="69"/>
      <c r="F503" s="69"/>
      <c r="G503" s="69"/>
      <c r="H503" s="69"/>
      <c r="I503" s="73"/>
      <c r="J503" s="69"/>
    </row>
    <row r="504" spans="1:10" x14ac:dyDescent="0.3">
      <c r="A504" s="69"/>
      <c r="B504" s="69"/>
      <c r="C504" s="69"/>
      <c r="D504" s="68"/>
      <c r="E504" s="69"/>
      <c r="F504" s="69"/>
      <c r="G504" s="69"/>
      <c r="H504" s="69"/>
      <c r="I504" s="73"/>
      <c r="J504" s="69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entry" error="Pick a value from the list" xr:uid="{00000000-0002-0000-0F00-000000000000}">
          <x14:formula1>
            <xm:f>Projects!$A$5:$A$104</xm:f>
          </x14:formula1>
          <x14:formula2>
            <xm:f>0</xm:f>
          </x14:formula2>
          <xm:sqref>B5:B504</xm:sqref>
        </x14:dataValidation>
        <x14:dataValidation type="list" allowBlank="1" errorTitle="Invalid entry" error="Pick a value from the list" xr:uid="{00000000-0002-0000-0F00-000001000000}">
          <x14:formula1>
            <xm:f>Settings!$E$4:$E$5</xm:f>
          </x14:formula1>
          <x14:formula2>
            <xm:f>0</xm:f>
          </x14:formula2>
          <xm:sqref>G5:G504</xm:sqref>
        </x14:dataValidation>
        <x14:dataValidation type="list" allowBlank="1" errorTitle="Invalid entry" error="Pick a value from the list" xr:uid="{00000000-0002-0000-0F00-000002000000}">
          <x14:formula1>
            <xm:f>Settings!$P$4:$P$30</xm:f>
          </x14:formula1>
          <x14:formula2>
            <xm:f>0</xm:f>
          </x14:formula2>
          <xm:sqref>E5:E504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48235"/>
  </sheetPr>
  <dimension ref="A1:J5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2" width="10" customWidth="1"/>
    <col min="3" max="3" width="36" customWidth="1"/>
    <col min="4" max="4" width="18" customWidth="1"/>
    <col min="5" max="5" width="12" customWidth="1"/>
    <col min="6" max="7" width="14" customWidth="1"/>
    <col min="8" max="8" width="11" customWidth="1"/>
    <col min="9" max="9" width="12" customWidth="1"/>
    <col min="10" max="10" width="30" customWidth="1"/>
  </cols>
  <sheetData>
    <row r="1" spans="1:10" ht="21" x14ac:dyDescent="0.4">
      <c r="A1" s="40" t="s">
        <v>759</v>
      </c>
    </row>
    <row r="2" spans="1:10" x14ac:dyDescent="0.3">
      <c r="A2" s="41" t="s">
        <v>760</v>
      </c>
    </row>
    <row r="4" spans="1:10" ht="31.5" customHeight="1" x14ac:dyDescent="0.3">
      <c r="A4" s="42" t="s">
        <v>761</v>
      </c>
      <c r="B4" s="42" t="s">
        <v>308</v>
      </c>
      <c r="C4" s="42" t="s">
        <v>762</v>
      </c>
      <c r="D4" s="42" t="s">
        <v>763</v>
      </c>
      <c r="E4" s="42" t="s">
        <v>764</v>
      </c>
      <c r="F4" s="42" t="s">
        <v>765</v>
      </c>
      <c r="G4" s="42" t="s">
        <v>766</v>
      </c>
      <c r="H4" s="42" t="s">
        <v>767</v>
      </c>
      <c r="I4" s="42" t="s">
        <v>768</v>
      </c>
      <c r="J4" s="42" t="s">
        <v>269</v>
      </c>
    </row>
    <row r="5" spans="1:10" x14ac:dyDescent="0.3">
      <c r="A5" s="69" t="s">
        <v>769</v>
      </c>
      <c r="B5" s="69" t="s">
        <v>329</v>
      </c>
      <c r="C5" s="69" t="s">
        <v>770</v>
      </c>
      <c r="D5" s="69" t="s">
        <v>771</v>
      </c>
      <c r="E5" s="68">
        <v>46140</v>
      </c>
      <c r="F5" s="73">
        <v>25000</v>
      </c>
      <c r="G5" s="73">
        <v>22915</v>
      </c>
      <c r="H5" s="78">
        <f t="shared" ref="H5:H68" si="0">IF(OR(F5="",F5=0,G5=""),"",G5/F5)</f>
        <v>0.91659999999999997</v>
      </c>
      <c r="I5" s="69" t="s">
        <v>159</v>
      </c>
      <c r="J5" s="69"/>
    </row>
    <row r="6" spans="1:10" x14ac:dyDescent="0.3">
      <c r="A6" s="69" t="s">
        <v>769</v>
      </c>
      <c r="B6" s="69" t="s">
        <v>329</v>
      </c>
      <c r="C6" s="69" t="s">
        <v>770</v>
      </c>
      <c r="D6" s="69" t="s">
        <v>771</v>
      </c>
      <c r="E6" s="68">
        <v>46170</v>
      </c>
      <c r="F6" s="73">
        <v>50000</v>
      </c>
      <c r="G6" s="73">
        <v>44281</v>
      </c>
      <c r="H6" s="78">
        <f t="shared" si="0"/>
        <v>0.88561999999999996</v>
      </c>
      <c r="I6" s="69" t="s">
        <v>176</v>
      </c>
      <c r="J6" s="69"/>
    </row>
    <row r="7" spans="1:10" x14ac:dyDescent="0.3">
      <c r="A7" s="69" t="s">
        <v>769</v>
      </c>
      <c r="B7" s="69" t="s">
        <v>329</v>
      </c>
      <c r="C7" s="69" t="s">
        <v>770</v>
      </c>
      <c r="D7" s="69" t="s">
        <v>771</v>
      </c>
      <c r="E7" s="68">
        <v>46201</v>
      </c>
      <c r="F7" s="73">
        <v>75000</v>
      </c>
      <c r="G7" s="73">
        <v>74724</v>
      </c>
      <c r="H7" s="78">
        <f t="shared" si="0"/>
        <v>0.99631999999999998</v>
      </c>
      <c r="I7" s="69" t="s">
        <v>201</v>
      </c>
      <c r="J7" s="69"/>
    </row>
    <row r="8" spans="1:10" x14ac:dyDescent="0.3">
      <c r="A8" s="69" t="s">
        <v>769</v>
      </c>
      <c r="B8" s="69" t="s">
        <v>329</v>
      </c>
      <c r="C8" s="69" t="s">
        <v>770</v>
      </c>
      <c r="D8" s="69" t="s">
        <v>771</v>
      </c>
      <c r="E8" s="68">
        <v>46231</v>
      </c>
      <c r="F8" s="73">
        <v>100000</v>
      </c>
      <c r="G8" s="73">
        <v>94646</v>
      </c>
      <c r="H8" s="78">
        <f t="shared" si="0"/>
        <v>0.94645999999999997</v>
      </c>
      <c r="I8" s="69" t="s">
        <v>176</v>
      </c>
      <c r="J8" s="69"/>
    </row>
    <row r="9" spans="1:10" x14ac:dyDescent="0.3">
      <c r="A9" s="69" t="s">
        <v>769</v>
      </c>
      <c r="B9" s="69" t="s">
        <v>329</v>
      </c>
      <c r="C9" s="69" t="s">
        <v>770</v>
      </c>
      <c r="D9" s="69" t="s">
        <v>771</v>
      </c>
      <c r="E9" s="68">
        <v>46262</v>
      </c>
      <c r="F9" s="73">
        <v>125000</v>
      </c>
      <c r="G9" s="73">
        <v>113288</v>
      </c>
      <c r="H9" s="78">
        <f t="shared" si="0"/>
        <v>0.906304</v>
      </c>
      <c r="I9" s="69" t="s">
        <v>183</v>
      </c>
      <c r="J9" s="69"/>
    </row>
    <row r="10" spans="1:10" x14ac:dyDescent="0.3">
      <c r="A10" s="69" t="s">
        <v>769</v>
      </c>
      <c r="B10" s="69" t="s">
        <v>329</v>
      </c>
      <c r="C10" s="69" t="s">
        <v>770</v>
      </c>
      <c r="D10" s="69" t="s">
        <v>771</v>
      </c>
      <c r="E10" s="68">
        <v>46293</v>
      </c>
      <c r="F10" s="73">
        <v>150000</v>
      </c>
      <c r="G10" s="73">
        <v>138991</v>
      </c>
      <c r="H10" s="78">
        <f t="shared" si="0"/>
        <v>0.92660666666666669</v>
      </c>
      <c r="I10" s="69" t="s">
        <v>201</v>
      </c>
      <c r="J10" s="69"/>
    </row>
    <row r="11" spans="1:10" x14ac:dyDescent="0.3">
      <c r="A11" s="69" t="s">
        <v>769</v>
      </c>
      <c r="B11" s="69" t="s">
        <v>329</v>
      </c>
      <c r="C11" s="69" t="s">
        <v>770</v>
      </c>
      <c r="D11" s="69" t="s">
        <v>771</v>
      </c>
      <c r="E11" s="68">
        <v>46323</v>
      </c>
      <c r="F11" s="73">
        <v>175000</v>
      </c>
      <c r="G11" s="73">
        <v>169532</v>
      </c>
      <c r="H11" s="78">
        <f t="shared" si="0"/>
        <v>0.96875428571428568</v>
      </c>
      <c r="I11" s="69" t="s">
        <v>170</v>
      </c>
      <c r="J11" s="69"/>
    </row>
    <row r="12" spans="1:10" x14ac:dyDescent="0.3">
      <c r="A12" s="69" t="s">
        <v>772</v>
      </c>
      <c r="B12" s="69" t="s">
        <v>335</v>
      </c>
      <c r="C12" s="69" t="s">
        <v>773</v>
      </c>
      <c r="D12" s="69" t="s">
        <v>771</v>
      </c>
      <c r="E12" s="68">
        <v>46201</v>
      </c>
      <c r="F12" s="73">
        <v>18000</v>
      </c>
      <c r="G12" s="73">
        <v>13380</v>
      </c>
      <c r="H12" s="78">
        <f t="shared" si="0"/>
        <v>0.74333333333333329</v>
      </c>
      <c r="I12" s="69" t="s">
        <v>159</v>
      </c>
      <c r="J12" s="69"/>
    </row>
    <row r="13" spans="1:10" x14ac:dyDescent="0.3">
      <c r="A13" s="69" t="s">
        <v>772</v>
      </c>
      <c r="B13" s="69" t="s">
        <v>335</v>
      </c>
      <c r="C13" s="69" t="s">
        <v>773</v>
      </c>
      <c r="D13" s="69" t="s">
        <v>771</v>
      </c>
      <c r="E13" s="68">
        <v>46231</v>
      </c>
      <c r="F13" s="73">
        <v>36000</v>
      </c>
      <c r="G13" s="73">
        <v>27071</v>
      </c>
      <c r="H13" s="78">
        <f t="shared" si="0"/>
        <v>0.75197222222222226</v>
      </c>
      <c r="I13" s="69" t="s">
        <v>170</v>
      </c>
      <c r="J13" s="69"/>
    </row>
    <row r="14" spans="1:10" x14ac:dyDescent="0.3">
      <c r="A14" s="69" t="s">
        <v>772</v>
      </c>
      <c r="B14" s="69" t="s">
        <v>335</v>
      </c>
      <c r="C14" s="69" t="s">
        <v>773</v>
      </c>
      <c r="D14" s="69" t="s">
        <v>771</v>
      </c>
      <c r="E14" s="68">
        <v>46262</v>
      </c>
      <c r="F14" s="73">
        <v>54000</v>
      </c>
      <c r="G14" s="73">
        <v>40821</v>
      </c>
      <c r="H14" s="78">
        <f t="shared" si="0"/>
        <v>0.75594444444444442</v>
      </c>
      <c r="I14" s="69" t="s">
        <v>159</v>
      </c>
      <c r="J14" s="69"/>
    </row>
    <row r="15" spans="1:10" x14ac:dyDescent="0.3">
      <c r="A15" s="69" t="s">
        <v>772</v>
      </c>
      <c r="B15" s="69" t="s">
        <v>335</v>
      </c>
      <c r="C15" s="69" t="s">
        <v>773</v>
      </c>
      <c r="D15" s="69" t="s">
        <v>771</v>
      </c>
      <c r="E15" s="68">
        <v>46293</v>
      </c>
      <c r="F15" s="73">
        <v>72000</v>
      </c>
      <c r="G15" s="73">
        <v>52040</v>
      </c>
      <c r="H15" s="78">
        <f t="shared" si="0"/>
        <v>0.72277777777777774</v>
      </c>
      <c r="I15" s="69" t="s">
        <v>188</v>
      </c>
      <c r="J15" s="69"/>
    </row>
    <row r="16" spans="1:10" x14ac:dyDescent="0.3">
      <c r="A16" s="69" t="s">
        <v>772</v>
      </c>
      <c r="B16" s="69" t="s">
        <v>335</v>
      </c>
      <c r="C16" s="69" t="s">
        <v>773</v>
      </c>
      <c r="D16" s="69" t="s">
        <v>771</v>
      </c>
      <c r="E16" s="68">
        <v>46323</v>
      </c>
      <c r="F16" s="73">
        <v>90000</v>
      </c>
      <c r="G16" s="73">
        <v>72530</v>
      </c>
      <c r="H16" s="78">
        <f t="shared" si="0"/>
        <v>0.80588888888888888</v>
      </c>
      <c r="I16" s="69" t="s">
        <v>201</v>
      </c>
      <c r="J16" s="69"/>
    </row>
    <row r="17" spans="1:10" x14ac:dyDescent="0.3">
      <c r="A17" s="69" t="s">
        <v>774</v>
      </c>
      <c r="B17" s="69" t="s">
        <v>332</v>
      </c>
      <c r="C17" s="69" t="s">
        <v>775</v>
      </c>
      <c r="D17" s="69" t="s">
        <v>622</v>
      </c>
      <c r="E17" s="68">
        <v>46262</v>
      </c>
      <c r="F17" s="73">
        <v>60</v>
      </c>
      <c r="G17" s="73">
        <v>53</v>
      </c>
      <c r="H17" s="78">
        <f t="shared" si="0"/>
        <v>0.8833333333333333</v>
      </c>
      <c r="I17" s="69" t="s">
        <v>164</v>
      </c>
      <c r="J17" s="69"/>
    </row>
    <row r="18" spans="1:10" x14ac:dyDescent="0.3">
      <c r="A18" s="69" t="s">
        <v>774</v>
      </c>
      <c r="B18" s="69" t="s">
        <v>332</v>
      </c>
      <c r="C18" s="69" t="s">
        <v>775</v>
      </c>
      <c r="D18" s="69" t="s">
        <v>622</v>
      </c>
      <c r="E18" s="68">
        <v>46293</v>
      </c>
      <c r="F18" s="73">
        <v>120</v>
      </c>
      <c r="G18" s="73">
        <v>111</v>
      </c>
      <c r="H18" s="78">
        <f t="shared" si="0"/>
        <v>0.92500000000000004</v>
      </c>
      <c r="I18" s="69" t="s">
        <v>194</v>
      </c>
      <c r="J18" s="69"/>
    </row>
    <row r="19" spans="1:10" x14ac:dyDescent="0.3">
      <c r="A19" s="69" t="s">
        <v>774</v>
      </c>
      <c r="B19" s="69" t="s">
        <v>332</v>
      </c>
      <c r="C19" s="69" t="s">
        <v>775</v>
      </c>
      <c r="D19" s="69" t="s">
        <v>622</v>
      </c>
      <c r="E19" s="68">
        <v>46323</v>
      </c>
      <c r="F19" s="73">
        <v>180</v>
      </c>
      <c r="G19" s="73">
        <v>168</v>
      </c>
      <c r="H19" s="78">
        <f t="shared" si="0"/>
        <v>0.93333333333333335</v>
      </c>
      <c r="I19" s="69" t="s">
        <v>164</v>
      </c>
      <c r="J19" s="69"/>
    </row>
    <row r="20" spans="1:10" x14ac:dyDescent="0.3">
      <c r="A20" s="69" t="s">
        <v>776</v>
      </c>
      <c r="B20" s="69" t="s">
        <v>345</v>
      </c>
      <c r="C20" s="69" t="s">
        <v>777</v>
      </c>
      <c r="D20" s="69" t="s">
        <v>771</v>
      </c>
      <c r="E20" s="68">
        <v>46293</v>
      </c>
      <c r="F20" s="73">
        <v>12000</v>
      </c>
      <c r="G20" s="73">
        <v>11670</v>
      </c>
      <c r="H20" s="78">
        <f t="shared" si="0"/>
        <v>0.97250000000000003</v>
      </c>
      <c r="I20" s="69" t="s">
        <v>176</v>
      </c>
      <c r="J20" s="69"/>
    </row>
    <row r="21" spans="1:10" x14ac:dyDescent="0.3">
      <c r="A21" s="69" t="s">
        <v>776</v>
      </c>
      <c r="B21" s="69" t="s">
        <v>345</v>
      </c>
      <c r="C21" s="69" t="s">
        <v>777</v>
      </c>
      <c r="D21" s="69" t="s">
        <v>771</v>
      </c>
      <c r="E21" s="68">
        <v>46323</v>
      </c>
      <c r="F21" s="73">
        <v>24000</v>
      </c>
      <c r="G21" s="73">
        <v>24560</v>
      </c>
      <c r="H21" s="78">
        <f t="shared" si="0"/>
        <v>1.0233333333333334</v>
      </c>
      <c r="I21" s="69" t="s">
        <v>194</v>
      </c>
      <c r="J21" s="69"/>
    </row>
    <row r="22" spans="1:10" x14ac:dyDescent="0.3">
      <c r="A22" s="69"/>
      <c r="B22" s="69"/>
      <c r="C22" s="69"/>
      <c r="D22" s="69"/>
      <c r="E22" s="68"/>
      <c r="F22" s="73"/>
      <c r="G22" s="73"/>
      <c r="H22" s="78" t="str">
        <f t="shared" si="0"/>
        <v/>
      </c>
      <c r="I22" s="69"/>
      <c r="J22" s="69"/>
    </row>
    <row r="23" spans="1:10" x14ac:dyDescent="0.3">
      <c r="A23" s="69"/>
      <c r="B23" s="69"/>
      <c r="C23" s="69"/>
      <c r="D23" s="69"/>
      <c r="E23" s="68"/>
      <c r="F23" s="73"/>
      <c r="G23" s="73"/>
      <c r="H23" s="78" t="str">
        <f t="shared" si="0"/>
        <v/>
      </c>
      <c r="I23" s="69"/>
      <c r="J23" s="69"/>
    </row>
    <row r="24" spans="1:10" x14ac:dyDescent="0.3">
      <c r="A24" s="69"/>
      <c r="B24" s="69"/>
      <c r="C24" s="69"/>
      <c r="D24" s="69"/>
      <c r="E24" s="68"/>
      <c r="F24" s="73"/>
      <c r="G24" s="73"/>
      <c r="H24" s="78" t="str">
        <f t="shared" si="0"/>
        <v/>
      </c>
      <c r="I24" s="69"/>
      <c r="J24" s="69"/>
    </row>
    <row r="25" spans="1:10" x14ac:dyDescent="0.3">
      <c r="A25" s="69"/>
      <c r="B25" s="69"/>
      <c r="C25" s="69"/>
      <c r="D25" s="69"/>
      <c r="E25" s="68"/>
      <c r="F25" s="73"/>
      <c r="G25" s="73"/>
      <c r="H25" s="78" t="str">
        <f t="shared" si="0"/>
        <v/>
      </c>
      <c r="I25" s="69"/>
      <c r="J25" s="69"/>
    </row>
    <row r="26" spans="1:10" x14ac:dyDescent="0.3">
      <c r="A26" s="69"/>
      <c r="B26" s="69"/>
      <c r="C26" s="69"/>
      <c r="D26" s="69"/>
      <c r="E26" s="68"/>
      <c r="F26" s="73"/>
      <c r="G26" s="73"/>
      <c r="H26" s="78" t="str">
        <f t="shared" si="0"/>
        <v/>
      </c>
      <c r="I26" s="69"/>
      <c r="J26" s="69"/>
    </row>
    <row r="27" spans="1:10" x14ac:dyDescent="0.3">
      <c r="A27" s="69"/>
      <c r="B27" s="69"/>
      <c r="C27" s="69"/>
      <c r="D27" s="69"/>
      <c r="E27" s="68"/>
      <c r="F27" s="73"/>
      <c r="G27" s="73"/>
      <c r="H27" s="78" t="str">
        <f t="shared" si="0"/>
        <v/>
      </c>
      <c r="I27" s="69"/>
      <c r="J27" s="69"/>
    </row>
    <row r="28" spans="1:10" x14ac:dyDescent="0.3">
      <c r="A28" s="69"/>
      <c r="B28" s="69"/>
      <c r="C28" s="69"/>
      <c r="D28" s="69"/>
      <c r="E28" s="68"/>
      <c r="F28" s="73"/>
      <c r="G28" s="73"/>
      <c r="H28" s="78" t="str">
        <f t="shared" si="0"/>
        <v/>
      </c>
      <c r="I28" s="69"/>
      <c r="J28" s="69"/>
    </row>
    <row r="29" spans="1:10" x14ac:dyDescent="0.3">
      <c r="A29" s="69"/>
      <c r="B29" s="69"/>
      <c r="C29" s="69"/>
      <c r="D29" s="69"/>
      <c r="E29" s="68"/>
      <c r="F29" s="73"/>
      <c r="G29" s="73"/>
      <c r="H29" s="78" t="str">
        <f t="shared" si="0"/>
        <v/>
      </c>
      <c r="I29" s="69"/>
      <c r="J29" s="69"/>
    </row>
    <row r="30" spans="1:10" x14ac:dyDescent="0.3">
      <c r="A30" s="69"/>
      <c r="B30" s="69"/>
      <c r="C30" s="69"/>
      <c r="D30" s="69"/>
      <c r="E30" s="68"/>
      <c r="F30" s="73"/>
      <c r="G30" s="73"/>
      <c r="H30" s="78" t="str">
        <f t="shared" si="0"/>
        <v/>
      </c>
      <c r="I30" s="69"/>
      <c r="J30" s="69"/>
    </row>
    <row r="31" spans="1:10" x14ac:dyDescent="0.3">
      <c r="A31" s="69"/>
      <c r="B31" s="69"/>
      <c r="C31" s="69"/>
      <c r="D31" s="69"/>
      <c r="E31" s="68"/>
      <c r="F31" s="73"/>
      <c r="G31" s="73"/>
      <c r="H31" s="78" t="str">
        <f t="shared" si="0"/>
        <v/>
      </c>
      <c r="I31" s="69"/>
      <c r="J31" s="69"/>
    </row>
    <row r="32" spans="1:10" x14ac:dyDescent="0.3">
      <c r="A32" s="69"/>
      <c r="B32" s="69"/>
      <c r="C32" s="69"/>
      <c r="D32" s="69"/>
      <c r="E32" s="68"/>
      <c r="F32" s="73"/>
      <c r="G32" s="73"/>
      <c r="H32" s="78" t="str">
        <f t="shared" si="0"/>
        <v/>
      </c>
      <c r="I32" s="69"/>
      <c r="J32" s="69"/>
    </row>
    <row r="33" spans="1:10" x14ac:dyDescent="0.3">
      <c r="A33" s="69"/>
      <c r="B33" s="69"/>
      <c r="C33" s="69"/>
      <c r="D33" s="69"/>
      <c r="E33" s="68"/>
      <c r="F33" s="73"/>
      <c r="G33" s="73"/>
      <c r="H33" s="78" t="str">
        <f t="shared" si="0"/>
        <v/>
      </c>
      <c r="I33" s="69"/>
      <c r="J33" s="69"/>
    </row>
    <row r="34" spans="1:10" x14ac:dyDescent="0.3">
      <c r="A34" s="69"/>
      <c r="B34" s="69"/>
      <c r="C34" s="69"/>
      <c r="D34" s="69"/>
      <c r="E34" s="68"/>
      <c r="F34" s="73"/>
      <c r="G34" s="73"/>
      <c r="H34" s="78" t="str">
        <f t="shared" si="0"/>
        <v/>
      </c>
      <c r="I34" s="69"/>
      <c r="J34" s="69"/>
    </row>
    <row r="35" spans="1:10" x14ac:dyDescent="0.3">
      <c r="A35" s="69"/>
      <c r="B35" s="69"/>
      <c r="C35" s="69"/>
      <c r="D35" s="69"/>
      <c r="E35" s="68"/>
      <c r="F35" s="73"/>
      <c r="G35" s="73"/>
      <c r="H35" s="78" t="str">
        <f t="shared" si="0"/>
        <v/>
      </c>
      <c r="I35" s="69"/>
      <c r="J35" s="69"/>
    </row>
    <row r="36" spans="1:10" x14ac:dyDescent="0.3">
      <c r="A36" s="69"/>
      <c r="B36" s="69"/>
      <c r="C36" s="69"/>
      <c r="D36" s="69"/>
      <c r="E36" s="68"/>
      <c r="F36" s="73"/>
      <c r="G36" s="73"/>
      <c r="H36" s="78" t="str">
        <f t="shared" si="0"/>
        <v/>
      </c>
      <c r="I36" s="69"/>
      <c r="J36" s="69"/>
    </row>
    <row r="37" spans="1:10" x14ac:dyDescent="0.3">
      <c r="A37" s="69"/>
      <c r="B37" s="69"/>
      <c r="C37" s="69"/>
      <c r="D37" s="69"/>
      <c r="E37" s="68"/>
      <c r="F37" s="73"/>
      <c r="G37" s="73"/>
      <c r="H37" s="78" t="str">
        <f t="shared" si="0"/>
        <v/>
      </c>
      <c r="I37" s="69"/>
      <c r="J37" s="69"/>
    </row>
    <row r="38" spans="1:10" x14ac:dyDescent="0.3">
      <c r="A38" s="69"/>
      <c r="B38" s="69"/>
      <c r="C38" s="69"/>
      <c r="D38" s="69"/>
      <c r="E38" s="68"/>
      <c r="F38" s="73"/>
      <c r="G38" s="73"/>
      <c r="H38" s="78" t="str">
        <f t="shared" si="0"/>
        <v/>
      </c>
      <c r="I38" s="69"/>
      <c r="J38" s="69"/>
    </row>
    <row r="39" spans="1:10" x14ac:dyDescent="0.3">
      <c r="A39" s="69"/>
      <c r="B39" s="69"/>
      <c r="C39" s="69"/>
      <c r="D39" s="69"/>
      <c r="E39" s="68"/>
      <c r="F39" s="73"/>
      <c r="G39" s="73"/>
      <c r="H39" s="78" t="str">
        <f t="shared" si="0"/>
        <v/>
      </c>
      <c r="I39" s="69"/>
      <c r="J39" s="69"/>
    </row>
    <row r="40" spans="1:10" x14ac:dyDescent="0.3">
      <c r="A40" s="69"/>
      <c r="B40" s="69"/>
      <c r="C40" s="69"/>
      <c r="D40" s="69"/>
      <c r="E40" s="68"/>
      <c r="F40" s="73"/>
      <c r="G40" s="73"/>
      <c r="H40" s="78" t="str">
        <f t="shared" si="0"/>
        <v/>
      </c>
      <c r="I40" s="69"/>
      <c r="J40" s="69"/>
    </row>
    <row r="41" spans="1:10" x14ac:dyDescent="0.3">
      <c r="A41" s="69"/>
      <c r="B41" s="69"/>
      <c r="C41" s="69"/>
      <c r="D41" s="69"/>
      <c r="E41" s="68"/>
      <c r="F41" s="73"/>
      <c r="G41" s="73"/>
      <c r="H41" s="78" t="str">
        <f t="shared" si="0"/>
        <v/>
      </c>
      <c r="I41" s="69"/>
      <c r="J41" s="69"/>
    </row>
    <row r="42" spans="1:10" x14ac:dyDescent="0.3">
      <c r="A42" s="69"/>
      <c r="B42" s="69"/>
      <c r="C42" s="69"/>
      <c r="D42" s="69"/>
      <c r="E42" s="68"/>
      <c r="F42" s="73"/>
      <c r="G42" s="73"/>
      <c r="H42" s="78" t="str">
        <f t="shared" si="0"/>
        <v/>
      </c>
      <c r="I42" s="69"/>
      <c r="J42" s="69"/>
    </row>
    <row r="43" spans="1:10" x14ac:dyDescent="0.3">
      <c r="A43" s="69"/>
      <c r="B43" s="69"/>
      <c r="C43" s="69"/>
      <c r="D43" s="69"/>
      <c r="E43" s="68"/>
      <c r="F43" s="73"/>
      <c r="G43" s="73"/>
      <c r="H43" s="78" t="str">
        <f t="shared" si="0"/>
        <v/>
      </c>
      <c r="I43" s="69"/>
      <c r="J43" s="69"/>
    </row>
    <row r="44" spans="1:10" x14ac:dyDescent="0.3">
      <c r="A44" s="69"/>
      <c r="B44" s="69"/>
      <c r="C44" s="69"/>
      <c r="D44" s="69"/>
      <c r="E44" s="68"/>
      <c r="F44" s="73"/>
      <c r="G44" s="73"/>
      <c r="H44" s="78" t="str">
        <f t="shared" si="0"/>
        <v/>
      </c>
      <c r="I44" s="69"/>
      <c r="J44" s="69"/>
    </row>
    <row r="45" spans="1:10" x14ac:dyDescent="0.3">
      <c r="A45" s="69"/>
      <c r="B45" s="69"/>
      <c r="C45" s="69"/>
      <c r="D45" s="69"/>
      <c r="E45" s="68"/>
      <c r="F45" s="73"/>
      <c r="G45" s="73"/>
      <c r="H45" s="78" t="str">
        <f t="shared" si="0"/>
        <v/>
      </c>
      <c r="I45" s="69"/>
      <c r="J45" s="69"/>
    </row>
    <row r="46" spans="1:10" x14ac:dyDescent="0.3">
      <c r="A46" s="69"/>
      <c r="B46" s="69"/>
      <c r="C46" s="69"/>
      <c r="D46" s="69"/>
      <c r="E46" s="68"/>
      <c r="F46" s="73"/>
      <c r="G46" s="73"/>
      <c r="H46" s="78" t="str">
        <f t="shared" si="0"/>
        <v/>
      </c>
      <c r="I46" s="69"/>
      <c r="J46" s="69"/>
    </row>
    <row r="47" spans="1:10" x14ac:dyDescent="0.3">
      <c r="A47" s="69"/>
      <c r="B47" s="69"/>
      <c r="C47" s="69"/>
      <c r="D47" s="69"/>
      <c r="E47" s="68"/>
      <c r="F47" s="73"/>
      <c r="G47" s="73"/>
      <c r="H47" s="78" t="str">
        <f t="shared" si="0"/>
        <v/>
      </c>
      <c r="I47" s="69"/>
      <c r="J47" s="69"/>
    </row>
    <row r="48" spans="1:10" x14ac:dyDescent="0.3">
      <c r="A48" s="69"/>
      <c r="B48" s="69"/>
      <c r="C48" s="69"/>
      <c r="D48" s="69"/>
      <c r="E48" s="68"/>
      <c r="F48" s="73"/>
      <c r="G48" s="73"/>
      <c r="H48" s="78" t="str">
        <f t="shared" si="0"/>
        <v/>
      </c>
      <c r="I48" s="69"/>
      <c r="J48" s="69"/>
    </row>
    <row r="49" spans="1:10" x14ac:dyDescent="0.3">
      <c r="A49" s="69"/>
      <c r="B49" s="69"/>
      <c r="C49" s="69"/>
      <c r="D49" s="69"/>
      <c r="E49" s="68"/>
      <c r="F49" s="73"/>
      <c r="G49" s="73"/>
      <c r="H49" s="78" t="str">
        <f t="shared" si="0"/>
        <v/>
      </c>
      <c r="I49" s="69"/>
      <c r="J49" s="69"/>
    </row>
    <row r="50" spans="1:10" x14ac:dyDescent="0.3">
      <c r="A50" s="69"/>
      <c r="B50" s="69"/>
      <c r="C50" s="69"/>
      <c r="D50" s="69"/>
      <c r="E50" s="68"/>
      <c r="F50" s="73"/>
      <c r="G50" s="73"/>
      <c r="H50" s="78" t="str">
        <f t="shared" si="0"/>
        <v/>
      </c>
      <c r="I50" s="69"/>
      <c r="J50" s="69"/>
    </row>
    <row r="51" spans="1:10" x14ac:dyDescent="0.3">
      <c r="A51" s="69"/>
      <c r="B51" s="69"/>
      <c r="C51" s="69"/>
      <c r="D51" s="69"/>
      <c r="E51" s="68"/>
      <c r="F51" s="73"/>
      <c r="G51" s="73"/>
      <c r="H51" s="78" t="str">
        <f t="shared" si="0"/>
        <v/>
      </c>
      <c r="I51" s="69"/>
      <c r="J51" s="69"/>
    </row>
    <row r="52" spans="1:10" x14ac:dyDescent="0.3">
      <c r="A52" s="69"/>
      <c r="B52" s="69"/>
      <c r="C52" s="69"/>
      <c r="D52" s="69"/>
      <c r="E52" s="68"/>
      <c r="F52" s="73"/>
      <c r="G52" s="73"/>
      <c r="H52" s="78" t="str">
        <f t="shared" si="0"/>
        <v/>
      </c>
      <c r="I52" s="69"/>
      <c r="J52" s="69"/>
    </row>
    <row r="53" spans="1:10" x14ac:dyDescent="0.3">
      <c r="A53" s="69"/>
      <c r="B53" s="69"/>
      <c r="C53" s="69"/>
      <c r="D53" s="69"/>
      <c r="E53" s="68"/>
      <c r="F53" s="73"/>
      <c r="G53" s="73"/>
      <c r="H53" s="78" t="str">
        <f t="shared" si="0"/>
        <v/>
      </c>
      <c r="I53" s="69"/>
      <c r="J53" s="69"/>
    </row>
    <row r="54" spans="1:10" x14ac:dyDescent="0.3">
      <c r="A54" s="69"/>
      <c r="B54" s="69"/>
      <c r="C54" s="69"/>
      <c r="D54" s="69"/>
      <c r="E54" s="68"/>
      <c r="F54" s="73"/>
      <c r="G54" s="73"/>
      <c r="H54" s="78" t="str">
        <f t="shared" si="0"/>
        <v/>
      </c>
      <c r="I54" s="69"/>
      <c r="J54" s="69"/>
    </row>
    <row r="55" spans="1:10" x14ac:dyDescent="0.3">
      <c r="A55" s="69"/>
      <c r="B55" s="69"/>
      <c r="C55" s="69"/>
      <c r="D55" s="69"/>
      <c r="E55" s="68"/>
      <c r="F55" s="73"/>
      <c r="G55" s="73"/>
      <c r="H55" s="78" t="str">
        <f t="shared" si="0"/>
        <v/>
      </c>
      <c r="I55" s="69"/>
      <c r="J55" s="69"/>
    </row>
    <row r="56" spans="1:10" x14ac:dyDescent="0.3">
      <c r="A56" s="69"/>
      <c r="B56" s="69"/>
      <c r="C56" s="69"/>
      <c r="D56" s="69"/>
      <c r="E56" s="68"/>
      <c r="F56" s="73"/>
      <c r="G56" s="73"/>
      <c r="H56" s="78" t="str">
        <f t="shared" si="0"/>
        <v/>
      </c>
      <c r="I56" s="69"/>
      <c r="J56" s="69"/>
    </row>
    <row r="57" spans="1:10" x14ac:dyDescent="0.3">
      <c r="A57" s="69"/>
      <c r="B57" s="69"/>
      <c r="C57" s="69"/>
      <c r="D57" s="69"/>
      <c r="E57" s="68"/>
      <c r="F57" s="73"/>
      <c r="G57" s="73"/>
      <c r="H57" s="78" t="str">
        <f t="shared" si="0"/>
        <v/>
      </c>
      <c r="I57" s="69"/>
      <c r="J57" s="69"/>
    </row>
    <row r="58" spans="1:10" x14ac:dyDescent="0.3">
      <c r="A58" s="69"/>
      <c r="B58" s="69"/>
      <c r="C58" s="69"/>
      <c r="D58" s="69"/>
      <c r="E58" s="68"/>
      <c r="F58" s="73"/>
      <c r="G58" s="73"/>
      <c r="H58" s="78" t="str">
        <f t="shared" si="0"/>
        <v/>
      </c>
      <c r="I58" s="69"/>
      <c r="J58" s="69"/>
    </row>
    <row r="59" spans="1:10" x14ac:dyDescent="0.3">
      <c r="A59" s="69"/>
      <c r="B59" s="69"/>
      <c r="C59" s="69"/>
      <c r="D59" s="69"/>
      <c r="E59" s="68"/>
      <c r="F59" s="73"/>
      <c r="G59" s="73"/>
      <c r="H59" s="78" t="str">
        <f t="shared" si="0"/>
        <v/>
      </c>
      <c r="I59" s="69"/>
      <c r="J59" s="69"/>
    </row>
    <row r="60" spans="1:10" x14ac:dyDescent="0.3">
      <c r="A60" s="69"/>
      <c r="B60" s="69"/>
      <c r="C60" s="69"/>
      <c r="D60" s="69"/>
      <c r="E60" s="68"/>
      <c r="F60" s="73"/>
      <c r="G60" s="73"/>
      <c r="H60" s="78" t="str">
        <f t="shared" si="0"/>
        <v/>
      </c>
      <c r="I60" s="69"/>
      <c r="J60" s="69"/>
    </row>
    <row r="61" spans="1:10" x14ac:dyDescent="0.3">
      <c r="A61" s="69"/>
      <c r="B61" s="69"/>
      <c r="C61" s="69"/>
      <c r="D61" s="69"/>
      <c r="E61" s="68"/>
      <c r="F61" s="73"/>
      <c r="G61" s="73"/>
      <c r="H61" s="78" t="str">
        <f t="shared" si="0"/>
        <v/>
      </c>
      <c r="I61" s="69"/>
      <c r="J61" s="69"/>
    </row>
    <row r="62" spans="1:10" x14ac:dyDescent="0.3">
      <c r="A62" s="69"/>
      <c r="B62" s="69"/>
      <c r="C62" s="69"/>
      <c r="D62" s="69"/>
      <c r="E62" s="68"/>
      <c r="F62" s="73"/>
      <c r="G62" s="73"/>
      <c r="H62" s="78" t="str">
        <f t="shared" si="0"/>
        <v/>
      </c>
      <c r="I62" s="69"/>
      <c r="J62" s="69"/>
    </row>
    <row r="63" spans="1:10" x14ac:dyDescent="0.3">
      <c r="A63" s="69"/>
      <c r="B63" s="69"/>
      <c r="C63" s="69"/>
      <c r="D63" s="69"/>
      <c r="E63" s="68"/>
      <c r="F63" s="73"/>
      <c r="G63" s="73"/>
      <c r="H63" s="78" t="str">
        <f t="shared" si="0"/>
        <v/>
      </c>
      <c r="I63" s="69"/>
      <c r="J63" s="69"/>
    </row>
    <row r="64" spans="1:10" x14ac:dyDescent="0.3">
      <c r="A64" s="69"/>
      <c r="B64" s="69"/>
      <c r="C64" s="69"/>
      <c r="D64" s="69"/>
      <c r="E64" s="68"/>
      <c r="F64" s="73"/>
      <c r="G64" s="73"/>
      <c r="H64" s="78" t="str">
        <f t="shared" si="0"/>
        <v/>
      </c>
      <c r="I64" s="69"/>
      <c r="J64" s="69"/>
    </row>
    <row r="65" spans="1:10" x14ac:dyDescent="0.3">
      <c r="A65" s="69"/>
      <c r="B65" s="69"/>
      <c r="C65" s="69"/>
      <c r="D65" s="69"/>
      <c r="E65" s="68"/>
      <c r="F65" s="73"/>
      <c r="G65" s="73"/>
      <c r="H65" s="78" t="str">
        <f t="shared" si="0"/>
        <v/>
      </c>
      <c r="I65" s="69"/>
      <c r="J65" s="69"/>
    </row>
    <row r="66" spans="1:10" x14ac:dyDescent="0.3">
      <c r="A66" s="69"/>
      <c r="B66" s="69"/>
      <c r="C66" s="69"/>
      <c r="D66" s="69"/>
      <c r="E66" s="68"/>
      <c r="F66" s="73"/>
      <c r="G66" s="73"/>
      <c r="H66" s="78" t="str">
        <f t="shared" si="0"/>
        <v/>
      </c>
      <c r="I66" s="69"/>
      <c r="J66" s="69"/>
    </row>
    <row r="67" spans="1:10" x14ac:dyDescent="0.3">
      <c r="A67" s="69"/>
      <c r="B67" s="69"/>
      <c r="C67" s="69"/>
      <c r="D67" s="69"/>
      <c r="E67" s="68"/>
      <c r="F67" s="73"/>
      <c r="G67" s="73"/>
      <c r="H67" s="78" t="str">
        <f t="shared" si="0"/>
        <v/>
      </c>
      <c r="I67" s="69"/>
      <c r="J67" s="69"/>
    </row>
    <row r="68" spans="1:10" x14ac:dyDescent="0.3">
      <c r="A68" s="69"/>
      <c r="B68" s="69"/>
      <c r="C68" s="69"/>
      <c r="D68" s="69"/>
      <c r="E68" s="68"/>
      <c r="F68" s="73"/>
      <c r="G68" s="73"/>
      <c r="H68" s="78" t="str">
        <f t="shared" si="0"/>
        <v/>
      </c>
      <c r="I68" s="69"/>
      <c r="J68" s="69"/>
    </row>
    <row r="69" spans="1:10" x14ac:dyDescent="0.3">
      <c r="A69" s="69"/>
      <c r="B69" s="69"/>
      <c r="C69" s="69"/>
      <c r="D69" s="69"/>
      <c r="E69" s="68"/>
      <c r="F69" s="73"/>
      <c r="G69" s="73"/>
      <c r="H69" s="78" t="str">
        <f t="shared" ref="H69:H132" si="1">IF(OR(F69="",F69=0,G69=""),"",G69/F69)</f>
        <v/>
      </c>
      <c r="I69" s="69"/>
      <c r="J69" s="69"/>
    </row>
    <row r="70" spans="1:10" x14ac:dyDescent="0.3">
      <c r="A70" s="69"/>
      <c r="B70" s="69"/>
      <c r="C70" s="69"/>
      <c r="D70" s="69"/>
      <c r="E70" s="68"/>
      <c r="F70" s="73"/>
      <c r="G70" s="73"/>
      <c r="H70" s="78" t="str">
        <f t="shared" si="1"/>
        <v/>
      </c>
      <c r="I70" s="69"/>
      <c r="J70" s="69"/>
    </row>
    <row r="71" spans="1:10" x14ac:dyDescent="0.3">
      <c r="A71" s="69"/>
      <c r="B71" s="69"/>
      <c r="C71" s="69"/>
      <c r="D71" s="69"/>
      <c r="E71" s="68"/>
      <c r="F71" s="73"/>
      <c r="G71" s="73"/>
      <c r="H71" s="78" t="str">
        <f t="shared" si="1"/>
        <v/>
      </c>
      <c r="I71" s="69"/>
      <c r="J71" s="69"/>
    </row>
    <row r="72" spans="1:10" x14ac:dyDescent="0.3">
      <c r="A72" s="69"/>
      <c r="B72" s="69"/>
      <c r="C72" s="69"/>
      <c r="D72" s="69"/>
      <c r="E72" s="68"/>
      <c r="F72" s="73"/>
      <c r="G72" s="73"/>
      <c r="H72" s="78" t="str">
        <f t="shared" si="1"/>
        <v/>
      </c>
      <c r="I72" s="69"/>
      <c r="J72" s="69"/>
    </row>
    <row r="73" spans="1:10" x14ac:dyDescent="0.3">
      <c r="A73" s="69"/>
      <c r="B73" s="69"/>
      <c r="C73" s="69"/>
      <c r="D73" s="69"/>
      <c r="E73" s="68"/>
      <c r="F73" s="73"/>
      <c r="G73" s="73"/>
      <c r="H73" s="78" t="str">
        <f t="shared" si="1"/>
        <v/>
      </c>
      <c r="I73" s="69"/>
      <c r="J73" s="69"/>
    </row>
    <row r="74" spans="1:10" x14ac:dyDescent="0.3">
      <c r="A74" s="69"/>
      <c r="B74" s="69"/>
      <c r="C74" s="69"/>
      <c r="D74" s="69"/>
      <c r="E74" s="68"/>
      <c r="F74" s="73"/>
      <c r="G74" s="73"/>
      <c r="H74" s="78" t="str">
        <f t="shared" si="1"/>
        <v/>
      </c>
      <c r="I74" s="69"/>
      <c r="J74" s="69"/>
    </row>
    <row r="75" spans="1:10" x14ac:dyDescent="0.3">
      <c r="A75" s="69"/>
      <c r="B75" s="69"/>
      <c r="C75" s="69"/>
      <c r="D75" s="69"/>
      <c r="E75" s="68"/>
      <c r="F75" s="73"/>
      <c r="G75" s="73"/>
      <c r="H75" s="78" t="str">
        <f t="shared" si="1"/>
        <v/>
      </c>
      <c r="I75" s="69"/>
      <c r="J75" s="69"/>
    </row>
    <row r="76" spans="1:10" x14ac:dyDescent="0.3">
      <c r="A76" s="69"/>
      <c r="B76" s="69"/>
      <c r="C76" s="69"/>
      <c r="D76" s="69"/>
      <c r="E76" s="68"/>
      <c r="F76" s="73"/>
      <c r="G76" s="73"/>
      <c r="H76" s="78" t="str">
        <f t="shared" si="1"/>
        <v/>
      </c>
      <c r="I76" s="69"/>
      <c r="J76" s="69"/>
    </row>
    <row r="77" spans="1:10" x14ac:dyDescent="0.3">
      <c r="A77" s="69"/>
      <c r="B77" s="69"/>
      <c r="C77" s="69"/>
      <c r="D77" s="69"/>
      <c r="E77" s="68"/>
      <c r="F77" s="73"/>
      <c r="G77" s="73"/>
      <c r="H77" s="78" t="str">
        <f t="shared" si="1"/>
        <v/>
      </c>
      <c r="I77" s="69"/>
      <c r="J77" s="69"/>
    </row>
    <row r="78" spans="1:10" x14ac:dyDescent="0.3">
      <c r="A78" s="69"/>
      <c r="B78" s="69"/>
      <c r="C78" s="69"/>
      <c r="D78" s="69"/>
      <c r="E78" s="68"/>
      <c r="F78" s="73"/>
      <c r="G78" s="73"/>
      <c r="H78" s="78" t="str">
        <f t="shared" si="1"/>
        <v/>
      </c>
      <c r="I78" s="69"/>
      <c r="J78" s="69"/>
    </row>
    <row r="79" spans="1:10" x14ac:dyDescent="0.3">
      <c r="A79" s="69"/>
      <c r="B79" s="69"/>
      <c r="C79" s="69"/>
      <c r="D79" s="69"/>
      <c r="E79" s="68"/>
      <c r="F79" s="73"/>
      <c r="G79" s="73"/>
      <c r="H79" s="78" t="str">
        <f t="shared" si="1"/>
        <v/>
      </c>
      <c r="I79" s="69"/>
      <c r="J79" s="69"/>
    </row>
    <row r="80" spans="1:10" x14ac:dyDescent="0.3">
      <c r="A80" s="69"/>
      <c r="B80" s="69"/>
      <c r="C80" s="69"/>
      <c r="D80" s="69"/>
      <c r="E80" s="68"/>
      <c r="F80" s="73"/>
      <c r="G80" s="73"/>
      <c r="H80" s="78" t="str">
        <f t="shared" si="1"/>
        <v/>
      </c>
      <c r="I80" s="69"/>
      <c r="J80" s="69"/>
    </row>
    <row r="81" spans="1:10" x14ac:dyDescent="0.3">
      <c r="A81" s="69"/>
      <c r="B81" s="69"/>
      <c r="C81" s="69"/>
      <c r="D81" s="69"/>
      <c r="E81" s="68"/>
      <c r="F81" s="73"/>
      <c r="G81" s="73"/>
      <c r="H81" s="78" t="str">
        <f t="shared" si="1"/>
        <v/>
      </c>
      <c r="I81" s="69"/>
      <c r="J81" s="69"/>
    </row>
    <row r="82" spans="1:10" x14ac:dyDescent="0.3">
      <c r="A82" s="69"/>
      <c r="B82" s="69"/>
      <c r="C82" s="69"/>
      <c r="D82" s="69"/>
      <c r="E82" s="68"/>
      <c r="F82" s="73"/>
      <c r="G82" s="73"/>
      <c r="H82" s="78" t="str">
        <f t="shared" si="1"/>
        <v/>
      </c>
      <c r="I82" s="69"/>
      <c r="J82" s="69"/>
    </row>
    <row r="83" spans="1:10" x14ac:dyDescent="0.3">
      <c r="A83" s="69"/>
      <c r="B83" s="69"/>
      <c r="C83" s="69"/>
      <c r="D83" s="69"/>
      <c r="E83" s="68"/>
      <c r="F83" s="73"/>
      <c r="G83" s="73"/>
      <c r="H83" s="78" t="str">
        <f t="shared" si="1"/>
        <v/>
      </c>
      <c r="I83" s="69"/>
      <c r="J83" s="69"/>
    </row>
    <row r="84" spans="1:10" x14ac:dyDescent="0.3">
      <c r="A84" s="69"/>
      <c r="B84" s="69"/>
      <c r="C84" s="69"/>
      <c r="D84" s="69"/>
      <c r="E84" s="68"/>
      <c r="F84" s="73"/>
      <c r="G84" s="73"/>
      <c r="H84" s="78" t="str">
        <f t="shared" si="1"/>
        <v/>
      </c>
      <c r="I84" s="69"/>
      <c r="J84" s="69"/>
    </row>
    <row r="85" spans="1:10" x14ac:dyDescent="0.3">
      <c r="A85" s="69"/>
      <c r="B85" s="69"/>
      <c r="C85" s="69"/>
      <c r="D85" s="69"/>
      <c r="E85" s="68"/>
      <c r="F85" s="73"/>
      <c r="G85" s="73"/>
      <c r="H85" s="78" t="str">
        <f t="shared" si="1"/>
        <v/>
      </c>
      <c r="I85" s="69"/>
      <c r="J85" s="69"/>
    </row>
    <row r="86" spans="1:10" x14ac:dyDescent="0.3">
      <c r="A86" s="69"/>
      <c r="B86" s="69"/>
      <c r="C86" s="69"/>
      <c r="D86" s="69"/>
      <c r="E86" s="68"/>
      <c r="F86" s="73"/>
      <c r="G86" s="73"/>
      <c r="H86" s="78" t="str">
        <f t="shared" si="1"/>
        <v/>
      </c>
      <c r="I86" s="69"/>
      <c r="J86" s="69"/>
    </row>
    <row r="87" spans="1:10" x14ac:dyDescent="0.3">
      <c r="A87" s="69"/>
      <c r="B87" s="69"/>
      <c r="C87" s="69"/>
      <c r="D87" s="69"/>
      <c r="E87" s="68"/>
      <c r="F87" s="73"/>
      <c r="G87" s="73"/>
      <c r="H87" s="78" t="str">
        <f t="shared" si="1"/>
        <v/>
      </c>
      <c r="I87" s="69"/>
      <c r="J87" s="69"/>
    </row>
    <row r="88" spans="1:10" x14ac:dyDescent="0.3">
      <c r="A88" s="69"/>
      <c r="B88" s="69"/>
      <c r="C88" s="69"/>
      <c r="D88" s="69"/>
      <c r="E88" s="68"/>
      <c r="F88" s="73"/>
      <c r="G88" s="73"/>
      <c r="H88" s="78" t="str">
        <f t="shared" si="1"/>
        <v/>
      </c>
      <c r="I88" s="69"/>
      <c r="J88" s="69"/>
    </row>
    <row r="89" spans="1:10" x14ac:dyDescent="0.3">
      <c r="A89" s="69"/>
      <c r="B89" s="69"/>
      <c r="C89" s="69"/>
      <c r="D89" s="69"/>
      <c r="E89" s="68"/>
      <c r="F89" s="73"/>
      <c r="G89" s="73"/>
      <c r="H89" s="78" t="str">
        <f t="shared" si="1"/>
        <v/>
      </c>
      <c r="I89" s="69"/>
      <c r="J89" s="69"/>
    </row>
    <row r="90" spans="1:10" x14ac:dyDescent="0.3">
      <c r="A90" s="69"/>
      <c r="B90" s="69"/>
      <c r="C90" s="69"/>
      <c r="D90" s="69"/>
      <c r="E90" s="68"/>
      <c r="F90" s="73"/>
      <c r="G90" s="73"/>
      <c r="H90" s="78" t="str">
        <f t="shared" si="1"/>
        <v/>
      </c>
      <c r="I90" s="69"/>
      <c r="J90" s="69"/>
    </row>
    <row r="91" spans="1:10" x14ac:dyDescent="0.3">
      <c r="A91" s="69"/>
      <c r="B91" s="69"/>
      <c r="C91" s="69"/>
      <c r="D91" s="69"/>
      <c r="E91" s="68"/>
      <c r="F91" s="73"/>
      <c r="G91" s="73"/>
      <c r="H91" s="78" t="str">
        <f t="shared" si="1"/>
        <v/>
      </c>
      <c r="I91" s="69"/>
      <c r="J91" s="69"/>
    </row>
    <row r="92" spans="1:10" x14ac:dyDescent="0.3">
      <c r="A92" s="69"/>
      <c r="B92" s="69"/>
      <c r="C92" s="69"/>
      <c r="D92" s="69"/>
      <c r="E92" s="68"/>
      <c r="F92" s="73"/>
      <c r="G92" s="73"/>
      <c r="H92" s="78" t="str">
        <f t="shared" si="1"/>
        <v/>
      </c>
      <c r="I92" s="69"/>
      <c r="J92" s="69"/>
    </row>
    <row r="93" spans="1:10" x14ac:dyDescent="0.3">
      <c r="A93" s="69"/>
      <c r="B93" s="69"/>
      <c r="C93" s="69"/>
      <c r="D93" s="69"/>
      <c r="E93" s="68"/>
      <c r="F93" s="73"/>
      <c r="G93" s="73"/>
      <c r="H93" s="78" t="str">
        <f t="shared" si="1"/>
        <v/>
      </c>
      <c r="I93" s="69"/>
      <c r="J93" s="69"/>
    </row>
    <row r="94" spans="1:10" x14ac:dyDescent="0.3">
      <c r="A94" s="69"/>
      <c r="B94" s="69"/>
      <c r="C94" s="69"/>
      <c r="D94" s="69"/>
      <c r="E94" s="68"/>
      <c r="F94" s="73"/>
      <c r="G94" s="73"/>
      <c r="H94" s="78" t="str">
        <f t="shared" si="1"/>
        <v/>
      </c>
      <c r="I94" s="69"/>
      <c r="J94" s="69"/>
    </row>
    <row r="95" spans="1:10" x14ac:dyDescent="0.3">
      <c r="A95" s="69"/>
      <c r="B95" s="69"/>
      <c r="C95" s="69"/>
      <c r="D95" s="69"/>
      <c r="E95" s="68"/>
      <c r="F95" s="73"/>
      <c r="G95" s="73"/>
      <c r="H95" s="78" t="str">
        <f t="shared" si="1"/>
        <v/>
      </c>
      <c r="I95" s="69"/>
      <c r="J95" s="69"/>
    </row>
    <row r="96" spans="1:10" x14ac:dyDescent="0.3">
      <c r="A96" s="69"/>
      <c r="B96" s="69"/>
      <c r="C96" s="69"/>
      <c r="D96" s="69"/>
      <c r="E96" s="68"/>
      <c r="F96" s="73"/>
      <c r="G96" s="73"/>
      <c r="H96" s="78" t="str">
        <f t="shared" si="1"/>
        <v/>
      </c>
      <c r="I96" s="69"/>
      <c r="J96" s="69"/>
    </row>
    <row r="97" spans="1:10" x14ac:dyDescent="0.3">
      <c r="A97" s="69"/>
      <c r="B97" s="69"/>
      <c r="C97" s="69"/>
      <c r="D97" s="69"/>
      <c r="E97" s="68"/>
      <c r="F97" s="73"/>
      <c r="G97" s="73"/>
      <c r="H97" s="78" t="str">
        <f t="shared" si="1"/>
        <v/>
      </c>
      <c r="I97" s="69"/>
      <c r="J97" s="69"/>
    </row>
    <row r="98" spans="1:10" x14ac:dyDescent="0.3">
      <c r="A98" s="69"/>
      <c r="B98" s="69"/>
      <c r="C98" s="69"/>
      <c r="D98" s="69"/>
      <c r="E98" s="68"/>
      <c r="F98" s="73"/>
      <c r="G98" s="73"/>
      <c r="H98" s="78" t="str">
        <f t="shared" si="1"/>
        <v/>
      </c>
      <c r="I98" s="69"/>
      <c r="J98" s="69"/>
    </row>
    <row r="99" spans="1:10" x14ac:dyDescent="0.3">
      <c r="A99" s="69"/>
      <c r="B99" s="69"/>
      <c r="C99" s="69"/>
      <c r="D99" s="69"/>
      <c r="E99" s="68"/>
      <c r="F99" s="73"/>
      <c r="G99" s="73"/>
      <c r="H99" s="78" t="str">
        <f t="shared" si="1"/>
        <v/>
      </c>
      <c r="I99" s="69"/>
      <c r="J99" s="69"/>
    </row>
    <row r="100" spans="1:10" x14ac:dyDescent="0.3">
      <c r="A100" s="69"/>
      <c r="B100" s="69"/>
      <c r="C100" s="69"/>
      <c r="D100" s="69"/>
      <c r="E100" s="68"/>
      <c r="F100" s="73"/>
      <c r="G100" s="73"/>
      <c r="H100" s="78" t="str">
        <f t="shared" si="1"/>
        <v/>
      </c>
      <c r="I100" s="69"/>
      <c r="J100" s="69"/>
    </row>
    <row r="101" spans="1:10" x14ac:dyDescent="0.3">
      <c r="A101" s="69"/>
      <c r="B101" s="69"/>
      <c r="C101" s="69"/>
      <c r="D101" s="69"/>
      <c r="E101" s="68"/>
      <c r="F101" s="73"/>
      <c r="G101" s="73"/>
      <c r="H101" s="78" t="str">
        <f t="shared" si="1"/>
        <v/>
      </c>
      <c r="I101" s="69"/>
      <c r="J101" s="69"/>
    </row>
    <row r="102" spans="1:10" x14ac:dyDescent="0.3">
      <c r="A102" s="69"/>
      <c r="B102" s="69"/>
      <c r="C102" s="69"/>
      <c r="D102" s="69"/>
      <c r="E102" s="68"/>
      <c r="F102" s="73"/>
      <c r="G102" s="73"/>
      <c r="H102" s="78" t="str">
        <f t="shared" si="1"/>
        <v/>
      </c>
      <c r="I102" s="69"/>
      <c r="J102" s="69"/>
    </row>
    <row r="103" spans="1:10" x14ac:dyDescent="0.3">
      <c r="A103" s="69"/>
      <c r="B103" s="69"/>
      <c r="C103" s="69"/>
      <c r="D103" s="69"/>
      <c r="E103" s="68"/>
      <c r="F103" s="73"/>
      <c r="G103" s="73"/>
      <c r="H103" s="78" t="str">
        <f t="shared" si="1"/>
        <v/>
      </c>
      <c r="I103" s="69"/>
      <c r="J103" s="69"/>
    </row>
    <row r="104" spans="1:10" x14ac:dyDescent="0.3">
      <c r="A104" s="69"/>
      <c r="B104" s="69"/>
      <c r="C104" s="69"/>
      <c r="D104" s="69"/>
      <c r="E104" s="68"/>
      <c r="F104" s="73"/>
      <c r="G104" s="73"/>
      <c r="H104" s="78" t="str">
        <f t="shared" si="1"/>
        <v/>
      </c>
      <c r="I104" s="69"/>
      <c r="J104" s="69"/>
    </row>
    <row r="105" spans="1:10" x14ac:dyDescent="0.3">
      <c r="A105" s="69"/>
      <c r="B105" s="69"/>
      <c r="C105" s="69"/>
      <c r="D105" s="69"/>
      <c r="E105" s="68"/>
      <c r="F105" s="73"/>
      <c r="G105" s="73"/>
      <c r="H105" s="78" t="str">
        <f t="shared" si="1"/>
        <v/>
      </c>
      <c r="I105" s="69"/>
      <c r="J105" s="69"/>
    </row>
    <row r="106" spans="1:10" x14ac:dyDescent="0.3">
      <c r="A106" s="69"/>
      <c r="B106" s="69"/>
      <c r="C106" s="69"/>
      <c r="D106" s="69"/>
      <c r="E106" s="68"/>
      <c r="F106" s="73"/>
      <c r="G106" s="73"/>
      <c r="H106" s="78" t="str">
        <f t="shared" si="1"/>
        <v/>
      </c>
      <c r="I106" s="69"/>
      <c r="J106" s="69"/>
    </row>
    <row r="107" spans="1:10" x14ac:dyDescent="0.3">
      <c r="A107" s="69"/>
      <c r="B107" s="69"/>
      <c r="C107" s="69"/>
      <c r="D107" s="69"/>
      <c r="E107" s="68"/>
      <c r="F107" s="73"/>
      <c r="G107" s="73"/>
      <c r="H107" s="78" t="str">
        <f t="shared" si="1"/>
        <v/>
      </c>
      <c r="I107" s="69"/>
      <c r="J107" s="69"/>
    </row>
    <row r="108" spans="1:10" x14ac:dyDescent="0.3">
      <c r="A108" s="69"/>
      <c r="B108" s="69"/>
      <c r="C108" s="69"/>
      <c r="D108" s="69"/>
      <c r="E108" s="68"/>
      <c r="F108" s="73"/>
      <c r="G108" s="73"/>
      <c r="H108" s="78" t="str">
        <f t="shared" si="1"/>
        <v/>
      </c>
      <c r="I108" s="69"/>
      <c r="J108" s="69"/>
    </row>
    <row r="109" spans="1:10" x14ac:dyDescent="0.3">
      <c r="A109" s="69"/>
      <c r="B109" s="69"/>
      <c r="C109" s="69"/>
      <c r="D109" s="69"/>
      <c r="E109" s="68"/>
      <c r="F109" s="73"/>
      <c r="G109" s="73"/>
      <c r="H109" s="78" t="str">
        <f t="shared" si="1"/>
        <v/>
      </c>
      <c r="I109" s="69"/>
      <c r="J109" s="69"/>
    </row>
    <row r="110" spans="1:10" x14ac:dyDescent="0.3">
      <c r="A110" s="69"/>
      <c r="B110" s="69"/>
      <c r="C110" s="69"/>
      <c r="D110" s="69"/>
      <c r="E110" s="68"/>
      <c r="F110" s="73"/>
      <c r="G110" s="73"/>
      <c r="H110" s="78" t="str">
        <f t="shared" si="1"/>
        <v/>
      </c>
      <c r="I110" s="69"/>
      <c r="J110" s="69"/>
    </row>
    <row r="111" spans="1:10" x14ac:dyDescent="0.3">
      <c r="A111" s="69"/>
      <c r="B111" s="69"/>
      <c r="C111" s="69"/>
      <c r="D111" s="69"/>
      <c r="E111" s="68"/>
      <c r="F111" s="73"/>
      <c r="G111" s="73"/>
      <c r="H111" s="78" t="str">
        <f t="shared" si="1"/>
        <v/>
      </c>
      <c r="I111" s="69"/>
      <c r="J111" s="69"/>
    </row>
    <row r="112" spans="1:10" x14ac:dyDescent="0.3">
      <c r="A112" s="69"/>
      <c r="B112" s="69"/>
      <c r="C112" s="69"/>
      <c r="D112" s="69"/>
      <c r="E112" s="68"/>
      <c r="F112" s="73"/>
      <c r="G112" s="73"/>
      <c r="H112" s="78" t="str">
        <f t="shared" si="1"/>
        <v/>
      </c>
      <c r="I112" s="69"/>
      <c r="J112" s="69"/>
    </row>
    <row r="113" spans="1:10" x14ac:dyDescent="0.3">
      <c r="A113" s="69"/>
      <c r="B113" s="69"/>
      <c r="C113" s="69"/>
      <c r="D113" s="69"/>
      <c r="E113" s="68"/>
      <c r="F113" s="73"/>
      <c r="G113" s="73"/>
      <c r="H113" s="78" t="str">
        <f t="shared" si="1"/>
        <v/>
      </c>
      <c r="I113" s="69"/>
      <c r="J113" s="69"/>
    </row>
    <row r="114" spans="1:10" x14ac:dyDescent="0.3">
      <c r="A114" s="69"/>
      <c r="B114" s="69"/>
      <c r="C114" s="69"/>
      <c r="D114" s="69"/>
      <c r="E114" s="68"/>
      <c r="F114" s="73"/>
      <c r="G114" s="73"/>
      <c r="H114" s="78" t="str">
        <f t="shared" si="1"/>
        <v/>
      </c>
      <c r="I114" s="69"/>
      <c r="J114" s="69"/>
    </row>
    <row r="115" spans="1:10" x14ac:dyDescent="0.3">
      <c r="A115" s="69"/>
      <c r="B115" s="69"/>
      <c r="C115" s="69"/>
      <c r="D115" s="69"/>
      <c r="E115" s="68"/>
      <c r="F115" s="73"/>
      <c r="G115" s="73"/>
      <c r="H115" s="78" t="str">
        <f t="shared" si="1"/>
        <v/>
      </c>
      <c r="I115" s="69"/>
      <c r="J115" s="69"/>
    </row>
    <row r="116" spans="1:10" x14ac:dyDescent="0.3">
      <c r="A116" s="69"/>
      <c r="B116" s="69"/>
      <c r="C116" s="69"/>
      <c r="D116" s="69"/>
      <c r="E116" s="68"/>
      <c r="F116" s="73"/>
      <c r="G116" s="73"/>
      <c r="H116" s="78" t="str">
        <f t="shared" si="1"/>
        <v/>
      </c>
      <c r="I116" s="69"/>
      <c r="J116" s="69"/>
    </row>
    <row r="117" spans="1:10" x14ac:dyDescent="0.3">
      <c r="A117" s="69"/>
      <c r="B117" s="69"/>
      <c r="C117" s="69"/>
      <c r="D117" s="69"/>
      <c r="E117" s="68"/>
      <c r="F117" s="73"/>
      <c r="G117" s="73"/>
      <c r="H117" s="78" t="str">
        <f t="shared" si="1"/>
        <v/>
      </c>
      <c r="I117" s="69"/>
      <c r="J117" s="69"/>
    </row>
    <row r="118" spans="1:10" x14ac:dyDescent="0.3">
      <c r="A118" s="69"/>
      <c r="B118" s="69"/>
      <c r="C118" s="69"/>
      <c r="D118" s="69"/>
      <c r="E118" s="68"/>
      <c r="F118" s="73"/>
      <c r="G118" s="73"/>
      <c r="H118" s="78" t="str">
        <f t="shared" si="1"/>
        <v/>
      </c>
      <c r="I118" s="69"/>
      <c r="J118" s="69"/>
    </row>
    <row r="119" spans="1:10" x14ac:dyDescent="0.3">
      <c r="A119" s="69"/>
      <c r="B119" s="69"/>
      <c r="C119" s="69"/>
      <c r="D119" s="69"/>
      <c r="E119" s="68"/>
      <c r="F119" s="73"/>
      <c r="G119" s="73"/>
      <c r="H119" s="78" t="str">
        <f t="shared" si="1"/>
        <v/>
      </c>
      <c r="I119" s="69"/>
      <c r="J119" s="69"/>
    </row>
    <row r="120" spans="1:10" x14ac:dyDescent="0.3">
      <c r="A120" s="69"/>
      <c r="B120" s="69"/>
      <c r="C120" s="69"/>
      <c r="D120" s="69"/>
      <c r="E120" s="68"/>
      <c r="F120" s="73"/>
      <c r="G120" s="73"/>
      <c r="H120" s="78" t="str">
        <f t="shared" si="1"/>
        <v/>
      </c>
      <c r="I120" s="69"/>
      <c r="J120" s="69"/>
    </row>
    <row r="121" spans="1:10" x14ac:dyDescent="0.3">
      <c r="A121" s="69"/>
      <c r="B121" s="69"/>
      <c r="C121" s="69"/>
      <c r="D121" s="69"/>
      <c r="E121" s="68"/>
      <c r="F121" s="73"/>
      <c r="G121" s="73"/>
      <c r="H121" s="78" t="str">
        <f t="shared" si="1"/>
        <v/>
      </c>
      <c r="I121" s="69"/>
      <c r="J121" s="69"/>
    </row>
    <row r="122" spans="1:10" x14ac:dyDescent="0.3">
      <c r="A122" s="69"/>
      <c r="B122" s="69"/>
      <c r="C122" s="69"/>
      <c r="D122" s="69"/>
      <c r="E122" s="68"/>
      <c r="F122" s="73"/>
      <c r="G122" s="73"/>
      <c r="H122" s="78" t="str">
        <f t="shared" si="1"/>
        <v/>
      </c>
      <c r="I122" s="69"/>
      <c r="J122" s="69"/>
    </row>
    <row r="123" spans="1:10" x14ac:dyDescent="0.3">
      <c r="A123" s="69"/>
      <c r="B123" s="69"/>
      <c r="C123" s="69"/>
      <c r="D123" s="69"/>
      <c r="E123" s="68"/>
      <c r="F123" s="73"/>
      <c r="G123" s="73"/>
      <c r="H123" s="78" t="str">
        <f t="shared" si="1"/>
        <v/>
      </c>
      <c r="I123" s="69"/>
      <c r="J123" s="69"/>
    </row>
    <row r="124" spans="1:10" x14ac:dyDescent="0.3">
      <c r="A124" s="69"/>
      <c r="B124" s="69"/>
      <c r="C124" s="69"/>
      <c r="D124" s="69"/>
      <c r="E124" s="68"/>
      <c r="F124" s="73"/>
      <c r="G124" s="73"/>
      <c r="H124" s="78" t="str">
        <f t="shared" si="1"/>
        <v/>
      </c>
      <c r="I124" s="69"/>
      <c r="J124" s="69"/>
    </row>
    <row r="125" spans="1:10" x14ac:dyDescent="0.3">
      <c r="A125" s="69"/>
      <c r="B125" s="69"/>
      <c r="C125" s="69"/>
      <c r="D125" s="69"/>
      <c r="E125" s="68"/>
      <c r="F125" s="73"/>
      <c r="G125" s="73"/>
      <c r="H125" s="78" t="str">
        <f t="shared" si="1"/>
        <v/>
      </c>
      <c r="I125" s="69"/>
      <c r="J125" s="69"/>
    </row>
    <row r="126" spans="1:10" x14ac:dyDescent="0.3">
      <c r="A126" s="69"/>
      <c r="B126" s="69"/>
      <c r="C126" s="69"/>
      <c r="D126" s="69"/>
      <c r="E126" s="68"/>
      <c r="F126" s="73"/>
      <c r="G126" s="73"/>
      <c r="H126" s="78" t="str">
        <f t="shared" si="1"/>
        <v/>
      </c>
      <c r="I126" s="69"/>
      <c r="J126" s="69"/>
    </row>
    <row r="127" spans="1:10" x14ac:dyDescent="0.3">
      <c r="A127" s="69"/>
      <c r="B127" s="69"/>
      <c r="C127" s="69"/>
      <c r="D127" s="69"/>
      <c r="E127" s="68"/>
      <c r="F127" s="73"/>
      <c r="G127" s="73"/>
      <c r="H127" s="78" t="str">
        <f t="shared" si="1"/>
        <v/>
      </c>
      <c r="I127" s="69"/>
      <c r="J127" s="69"/>
    </row>
    <row r="128" spans="1:10" x14ac:dyDescent="0.3">
      <c r="A128" s="69"/>
      <c r="B128" s="69"/>
      <c r="C128" s="69"/>
      <c r="D128" s="69"/>
      <c r="E128" s="68"/>
      <c r="F128" s="73"/>
      <c r="G128" s="73"/>
      <c r="H128" s="78" t="str">
        <f t="shared" si="1"/>
        <v/>
      </c>
      <c r="I128" s="69"/>
      <c r="J128" s="69"/>
    </row>
    <row r="129" spans="1:10" x14ac:dyDescent="0.3">
      <c r="A129" s="69"/>
      <c r="B129" s="69"/>
      <c r="C129" s="69"/>
      <c r="D129" s="69"/>
      <c r="E129" s="68"/>
      <c r="F129" s="73"/>
      <c r="G129" s="73"/>
      <c r="H129" s="78" t="str">
        <f t="shared" si="1"/>
        <v/>
      </c>
      <c r="I129" s="69"/>
      <c r="J129" s="69"/>
    </row>
    <row r="130" spans="1:10" x14ac:dyDescent="0.3">
      <c r="A130" s="69"/>
      <c r="B130" s="69"/>
      <c r="C130" s="69"/>
      <c r="D130" s="69"/>
      <c r="E130" s="68"/>
      <c r="F130" s="73"/>
      <c r="G130" s="73"/>
      <c r="H130" s="78" t="str">
        <f t="shared" si="1"/>
        <v/>
      </c>
      <c r="I130" s="69"/>
      <c r="J130" s="69"/>
    </row>
    <row r="131" spans="1:10" x14ac:dyDescent="0.3">
      <c r="A131" s="69"/>
      <c r="B131" s="69"/>
      <c r="C131" s="69"/>
      <c r="D131" s="69"/>
      <c r="E131" s="68"/>
      <c r="F131" s="73"/>
      <c r="G131" s="73"/>
      <c r="H131" s="78" t="str">
        <f t="shared" si="1"/>
        <v/>
      </c>
      <c r="I131" s="69"/>
      <c r="J131" s="69"/>
    </row>
    <row r="132" spans="1:10" x14ac:dyDescent="0.3">
      <c r="A132" s="69"/>
      <c r="B132" s="69"/>
      <c r="C132" s="69"/>
      <c r="D132" s="69"/>
      <c r="E132" s="68"/>
      <c r="F132" s="73"/>
      <c r="G132" s="73"/>
      <c r="H132" s="78" t="str">
        <f t="shared" si="1"/>
        <v/>
      </c>
      <c r="I132" s="69"/>
      <c r="J132" s="69"/>
    </row>
    <row r="133" spans="1:10" x14ac:dyDescent="0.3">
      <c r="A133" s="69"/>
      <c r="B133" s="69"/>
      <c r="C133" s="69"/>
      <c r="D133" s="69"/>
      <c r="E133" s="68"/>
      <c r="F133" s="73"/>
      <c r="G133" s="73"/>
      <c r="H133" s="78" t="str">
        <f t="shared" ref="H133:H196" si="2">IF(OR(F133="",F133=0,G133=""),"",G133/F133)</f>
        <v/>
      </c>
      <c r="I133" s="69"/>
      <c r="J133" s="69"/>
    </row>
    <row r="134" spans="1:10" x14ac:dyDescent="0.3">
      <c r="A134" s="69"/>
      <c r="B134" s="69"/>
      <c r="C134" s="69"/>
      <c r="D134" s="69"/>
      <c r="E134" s="68"/>
      <c r="F134" s="73"/>
      <c r="G134" s="73"/>
      <c r="H134" s="78" t="str">
        <f t="shared" si="2"/>
        <v/>
      </c>
      <c r="I134" s="69"/>
      <c r="J134" s="69"/>
    </row>
    <row r="135" spans="1:10" x14ac:dyDescent="0.3">
      <c r="A135" s="69"/>
      <c r="B135" s="69"/>
      <c r="C135" s="69"/>
      <c r="D135" s="69"/>
      <c r="E135" s="68"/>
      <c r="F135" s="73"/>
      <c r="G135" s="73"/>
      <c r="H135" s="78" t="str">
        <f t="shared" si="2"/>
        <v/>
      </c>
      <c r="I135" s="69"/>
      <c r="J135" s="69"/>
    </row>
    <row r="136" spans="1:10" x14ac:dyDescent="0.3">
      <c r="A136" s="69"/>
      <c r="B136" s="69"/>
      <c r="C136" s="69"/>
      <c r="D136" s="69"/>
      <c r="E136" s="68"/>
      <c r="F136" s="73"/>
      <c r="G136" s="73"/>
      <c r="H136" s="78" t="str">
        <f t="shared" si="2"/>
        <v/>
      </c>
      <c r="I136" s="69"/>
      <c r="J136" s="69"/>
    </row>
    <row r="137" spans="1:10" x14ac:dyDescent="0.3">
      <c r="A137" s="69"/>
      <c r="B137" s="69"/>
      <c r="C137" s="69"/>
      <c r="D137" s="69"/>
      <c r="E137" s="68"/>
      <c r="F137" s="73"/>
      <c r="G137" s="73"/>
      <c r="H137" s="78" t="str">
        <f t="shared" si="2"/>
        <v/>
      </c>
      <c r="I137" s="69"/>
      <c r="J137" s="69"/>
    </row>
    <row r="138" spans="1:10" x14ac:dyDescent="0.3">
      <c r="A138" s="69"/>
      <c r="B138" s="69"/>
      <c r="C138" s="69"/>
      <c r="D138" s="69"/>
      <c r="E138" s="68"/>
      <c r="F138" s="73"/>
      <c r="G138" s="73"/>
      <c r="H138" s="78" t="str">
        <f t="shared" si="2"/>
        <v/>
      </c>
      <c r="I138" s="69"/>
      <c r="J138" s="69"/>
    </row>
    <row r="139" spans="1:10" x14ac:dyDescent="0.3">
      <c r="A139" s="69"/>
      <c r="B139" s="69"/>
      <c r="C139" s="69"/>
      <c r="D139" s="69"/>
      <c r="E139" s="68"/>
      <c r="F139" s="73"/>
      <c r="G139" s="73"/>
      <c r="H139" s="78" t="str">
        <f t="shared" si="2"/>
        <v/>
      </c>
      <c r="I139" s="69"/>
      <c r="J139" s="69"/>
    </row>
    <row r="140" spans="1:10" x14ac:dyDescent="0.3">
      <c r="A140" s="69"/>
      <c r="B140" s="69"/>
      <c r="C140" s="69"/>
      <c r="D140" s="69"/>
      <c r="E140" s="68"/>
      <c r="F140" s="73"/>
      <c r="G140" s="73"/>
      <c r="H140" s="78" t="str">
        <f t="shared" si="2"/>
        <v/>
      </c>
      <c r="I140" s="69"/>
      <c r="J140" s="69"/>
    </row>
    <row r="141" spans="1:10" x14ac:dyDescent="0.3">
      <c r="A141" s="69"/>
      <c r="B141" s="69"/>
      <c r="C141" s="69"/>
      <c r="D141" s="69"/>
      <c r="E141" s="68"/>
      <c r="F141" s="73"/>
      <c r="G141" s="73"/>
      <c r="H141" s="78" t="str">
        <f t="shared" si="2"/>
        <v/>
      </c>
      <c r="I141" s="69"/>
      <c r="J141" s="69"/>
    </row>
    <row r="142" spans="1:10" x14ac:dyDescent="0.3">
      <c r="A142" s="69"/>
      <c r="B142" s="69"/>
      <c r="C142" s="69"/>
      <c r="D142" s="69"/>
      <c r="E142" s="68"/>
      <c r="F142" s="73"/>
      <c r="G142" s="73"/>
      <c r="H142" s="78" t="str">
        <f t="shared" si="2"/>
        <v/>
      </c>
      <c r="I142" s="69"/>
      <c r="J142" s="69"/>
    </row>
    <row r="143" spans="1:10" x14ac:dyDescent="0.3">
      <c r="A143" s="69"/>
      <c r="B143" s="69"/>
      <c r="C143" s="69"/>
      <c r="D143" s="69"/>
      <c r="E143" s="68"/>
      <c r="F143" s="73"/>
      <c r="G143" s="73"/>
      <c r="H143" s="78" t="str">
        <f t="shared" si="2"/>
        <v/>
      </c>
      <c r="I143" s="69"/>
      <c r="J143" s="69"/>
    </row>
    <row r="144" spans="1:10" x14ac:dyDescent="0.3">
      <c r="A144" s="69"/>
      <c r="B144" s="69"/>
      <c r="C144" s="69"/>
      <c r="D144" s="69"/>
      <c r="E144" s="68"/>
      <c r="F144" s="73"/>
      <c r="G144" s="73"/>
      <c r="H144" s="78" t="str">
        <f t="shared" si="2"/>
        <v/>
      </c>
      <c r="I144" s="69"/>
      <c r="J144" s="69"/>
    </row>
    <row r="145" spans="1:10" x14ac:dyDescent="0.3">
      <c r="A145" s="69"/>
      <c r="B145" s="69"/>
      <c r="C145" s="69"/>
      <c r="D145" s="69"/>
      <c r="E145" s="68"/>
      <c r="F145" s="73"/>
      <c r="G145" s="73"/>
      <c r="H145" s="78" t="str">
        <f t="shared" si="2"/>
        <v/>
      </c>
      <c r="I145" s="69"/>
      <c r="J145" s="69"/>
    </row>
    <row r="146" spans="1:10" x14ac:dyDescent="0.3">
      <c r="A146" s="69"/>
      <c r="B146" s="69"/>
      <c r="C146" s="69"/>
      <c r="D146" s="69"/>
      <c r="E146" s="68"/>
      <c r="F146" s="73"/>
      <c r="G146" s="73"/>
      <c r="H146" s="78" t="str">
        <f t="shared" si="2"/>
        <v/>
      </c>
      <c r="I146" s="69"/>
      <c r="J146" s="69"/>
    </row>
    <row r="147" spans="1:10" x14ac:dyDescent="0.3">
      <c r="A147" s="69"/>
      <c r="B147" s="69"/>
      <c r="C147" s="69"/>
      <c r="D147" s="69"/>
      <c r="E147" s="68"/>
      <c r="F147" s="73"/>
      <c r="G147" s="73"/>
      <c r="H147" s="78" t="str">
        <f t="shared" si="2"/>
        <v/>
      </c>
      <c r="I147" s="69"/>
      <c r="J147" s="69"/>
    </row>
    <row r="148" spans="1:10" x14ac:dyDescent="0.3">
      <c r="A148" s="69"/>
      <c r="B148" s="69"/>
      <c r="C148" s="69"/>
      <c r="D148" s="69"/>
      <c r="E148" s="68"/>
      <c r="F148" s="73"/>
      <c r="G148" s="73"/>
      <c r="H148" s="78" t="str">
        <f t="shared" si="2"/>
        <v/>
      </c>
      <c r="I148" s="69"/>
      <c r="J148" s="69"/>
    </row>
    <row r="149" spans="1:10" x14ac:dyDescent="0.3">
      <c r="A149" s="69"/>
      <c r="B149" s="69"/>
      <c r="C149" s="69"/>
      <c r="D149" s="69"/>
      <c r="E149" s="68"/>
      <c r="F149" s="73"/>
      <c r="G149" s="73"/>
      <c r="H149" s="78" t="str">
        <f t="shared" si="2"/>
        <v/>
      </c>
      <c r="I149" s="69"/>
      <c r="J149" s="69"/>
    </row>
    <row r="150" spans="1:10" x14ac:dyDescent="0.3">
      <c r="A150" s="69"/>
      <c r="B150" s="69"/>
      <c r="C150" s="69"/>
      <c r="D150" s="69"/>
      <c r="E150" s="68"/>
      <c r="F150" s="73"/>
      <c r="G150" s="73"/>
      <c r="H150" s="78" t="str">
        <f t="shared" si="2"/>
        <v/>
      </c>
      <c r="I150" s="69"/>
      <c r="J150" s="69"/>
    </row>
    <row r="151" spans="1:10" x14ac:dyDescent="0.3">
      <c r="A151" s="69"/>
      <c r="B151" s="69"/>
      <c r="C151" s="69"/>
      <c r="D151" s="69"/>
      <c r="E151" s="68"/>
      <c r="F151" s="73"/>
      <c r="G151" s="73"/>
      <c r="H151" s="78" t="str">
        <f t="shared" si="2"/>
        <v/>
      </c>
      <c r="I151" s="69"/>
      <c r="J151" s="69"/>
    </row>
    <row r="152" spans="1:10" x14ac:dyDescent="0.3">
      <c r="A152" s="69"/>
      <c r="B152" s="69"/>
      <c r="C152" s="69"/>
      <c r="D152" s="69"/>
      <c r="E152" s="68"/>
      <c r="F152" s="73"/>
      <c r="G152" s="73"/>
      <c r="H152" s="78" t="str">
        <f t="shared" si="2"/>
        <v/>
      </c>
      <c r="I152" s="69"/>
      <c r="J152" s="69"/>
    </row>
    <row r="153" spans="1:10" x14ac:dyDescent="0.3">
      <c r="A153" s="69"/>
      <c r="B153" s="69"/>
      <c r="C153" s="69"/>
      <c r="D153" s="69"/>
      <c r="E153" s="68"/>
      <c r="F153" s="73"/>
      <c r="G153" s="73"/>
      <c r="H153" s="78" t="str">
        <f t="shared" si="2"/>
        <v/>
      </c>
      <c r="I153" s="69"/>
      <c r="J153" s="69"/>
    </row>
    <row r="154" spans="1:10" x14ac:dyDescent="0.3">
      <c r="A154" s="69"/>
      <c r="B154" s="69"/>
      <c r="C154" s="69"/>
      <c r="D154" s="69"/>
      <c r="E154" s="68"/>
      <c r="F154" s="73"/>
      <c r="G154" s="73"/>
      <c r="H154" s="78" t="str">
        <f t="shared" si="2"/>
        <v/>
      </c>
      <c r="I154" s="69"/>
      <c r="J154" s="69"/>
    </row>
    <row r="155" spans="1:10" x14ac:dyDescent="0.3">
      <c r="A155" s="69"/>
      <c r="B155" s="69"/>
      <c r="C155" s="69"/>
      <c r="D155" s="69"/>
      <c r="E155" s="68"/>
      <c r="F155" s="73"/>
      <c r="G155" s="73"/>
      <c r="H155" s="78" t="str">
        <f t="shared" si="2"/>
        <v/>
      </c>
      <c r="I155" s="69"/>
      <c r="J155" s="69"/>
    </row>
    <row r="156" spans="1:10" x14ac:dyDescent="0.3">
      <c r="A156" s="69"/>
      <c r="B156" s="69"/>
      <c r="C156" s="69"/>
      <c r="D156" s="69"/>
      <c r="E156" s="68"/>
      <c r="F156" s="73"/>
      <c r="G156" s="73"/>
      <c r="H156" s="78" t="str">
        <f t="shared" si="2"/>
        <v/>
      </c>
      <c r="I156" s="69"/>
      <c r="J156" s="69"/>
    </row>
    <row r="157" spans="1:10" x14ac:dyDescent="0.3">
      <c r="A157" s="69"/>
      <c r="B157" s="69"/>
      <c r="C157" s="69"/>
      <c r="D157" s="69"/>
      <c r="E157" s="68"/>
      <c r="F157" s="73"/>
      <c r="G157" s="73"/>
      <c r="H157" s="78" t="str">
        <f t="shared" si="2"/>
        <v/>
      </c>
      <c r="I157" s="69"/>
      <c r="J157" s="69"/>
    </row>
    <row r="158" spans="1:10" x14ac:dyDescent="0.3">
      <c r="A158" s="69"/>
      <c r="B158" s="69"/>
      <c r="C158" s="69"/>
      <c r="D158" s="69"/>
      <c r="E158" s="68"/>
      <c r="F158" s="73"/>
      <c r="G158" s="73"/>
      <c r="H158" s="78" t="str">
        <f t="shared" si="2"/>
        <v/>
      </c>
      <c r="I158" s="69"/>
      <c r="J158" s="69"/>
    </row>
    <row r="159" spans="1:10" x14ac:dyDescent="0.3">
      <c r="A159" s="69"/>
      <c r="B159" s="69"/>
      <c r="C159" s="69"/>
      <c r="D159" s="69"/>
      <c r="E159" s="68"/>
      <c r="F159" s="73"/>
      <c r="G159" s="73"/>
      <c r="H159" s="78" t="str">
        <f t="shared" si="2"/>
        <v/>
      </c>
      <c r="I159" s="69"/>
      <c r="J159" s="69"/>
    </row>
    <row r="160" spans="1:10" x14ac:dyDescent="0.3">
      <c r="A160" s="69"/>
      <c r="B160" s="69"/>
      <c r="C160" s="69"/>
      <c r="D160" s="69"/>
      <c r="E160" s="68"/>
      <c r="F160" s="73"/>
      <c r="G160" s="73"/>
      <c r="H160" s="78" t="str">
        <f t="shared" si="2"/>
        <v/>
      </c>
      <c r="I160" s="69"/>
      <c r="J160" s="69"/>
    </row>
    <row r="161" spans="1:10" x14ac:dyDescent="0.3">
      <c r="A161" s="69"/>
      <c r="B161" s="69"/>
      <c r="C161" s="69"/>
      <c r="D161" s="69"/>
      <c r="E161" s="68"/>
      <c r="F161" s="73"/>
      <c r="G161" s="73"/>
      <c r="H161" s="78" t="str">
        <f t="shared" si="2"/>
        <v/>
      </c>
      <c r="I161" s="69"/>
      <c r="J161" s="69"/>
    </row>
    <row r="162" spans="1:10" x14ac:dyDescent="0.3">
      <c r="A162" s="69"/>
      <c r="B162" s="69"/>
      <c r="C162" s="69"/>
      <c r="D162" s="69"/>
      <c r="E162" s="68"/>
      <c r="F162" s="73"/>
      <c r="G162" s="73"/>
      <c r="H162" s="78" t="str">
        <f t="shared" si="2"/>
        <v/>
      </c>
      <c r="I162" s="69"/>
      <c r="J162" s="69"/>
    </row>
    <row r="163" spans="1:10" x14ac:dyDescent="0.3">
      <c r="A163" s="69"/>
      <c r="B163" s="69"/>
      <c r="C163" s="69"/>
      <c r="D163" s="69"/>
      <c r="E163" s="68"/>
      <c r="F163" s="73"/>
      <c r="G163" s="73"/>
      <c r="H163" s="78" t="str">
        <f t="shared" si="2"/>
        <v/>
      </c>
      <c r="I163" s="69"/>
      <c r="J163" s="69"/>
    </row>
    <row r="164" spans="1:10" x14ac:dyDescent="0.3">
      <c r="A164" s="69"/>
      <c r="B164" s="69"/>
      <c r="C164" s="69"/>
      <c r="D164" s="69"/>
      <c r="E164" s="68"/>
      <c r="F164" s="73"/>
      <c r="G164" s="73"/>
      <c r="H164" s="78" t="str">
        <f t="shared" si="2"/>
        <v/>
      </c>
      <c r="I164" s="69"/>
      <c r="J164" s="69"/>
    </row>
    <row r="165" spans="1:10" x14ac:dyDescent="0.3">
      <c r="A165" s="69"/>
      <c r="B165" s="69"/>
      <c r="C165" s="69"/>
      <c r="D165" s="69"/>
      <c r="E165" s="68"/>
      <c r="F165" s="73"/>
      <c r="G165" s="73"/>
      <c r="H165" s="78" t="str">
        <f t="shared" si="2"/>
        <v/>
      </c>
      <c r="I165" s="69"/>
      <c r="J165" s="69"/>
    </row>
    <row r="166" spans="1:10" x14ac:dyDescent="0.3">
      <c r="A166" s="69"/>
      <c r="B166" s="69"/>
      <c r="C166" s="69"/>
      <c r="D166" s="69"/>
      <c r="E166" s="68"/>
      <c r="F166" s="73"/>
      <c r="G166" s="73"/>
      <c r="H166" s="78" t="str">
        <f t="shared" si="2"/>
        <v/>
      </c>
      <c r="I166" s="69"/>
      <c r="J166" s="69"/>
    </row>
    <row r="167" spans="1:10" x14ac:dyDescent="0.3">
      <c r="A167" s="69"/>
      <c r="B167" s="69"/>
      <c r="C167" s="69"/>
      <c r="D167" s="69"/>
      <c r="E167" s="68"/>
      <c r="F167" s="73"/>
      <c r="G167" s="73"/>
      <c r="H167" s="78" t="str">
        <f t="shared" si="2"/>
        <v/>
      </c>
      <c r="I167" s="69"/>
      <c r="J167" s="69"/>
    </row>
    <row r="168" spans="1:10" x14ac:dyDescent="0.3">
      <c r="A168" s="69"/>
      <c r="B168" s="69"/>
      <c r="C168" s="69"/>
      <c r="D168" s="69"/>
      <c r="E168" s="68"/>
      <c r="F168" s="73"/>
      <c r="G168" s="73"/>
      <c r="H168" s="78" t="str">
        <f t="shared" si="2"/>
        <v/>
      </c>
      <c r="I168" s="69"/>
      <c r="J168" s="69"/>
    </row>
    <row r="169" spans="1:10" x14ac:dyDescent="0.3">
      <c r="A169" s="69"/>
      <c r="B169" s="69"/>
      <c r="C169" s="69"/>
      <c r="D169" s="69"/>
      <c r="E169" s="68"/>
      <c r="F169" s="73"/>
      <c r="G169" s="73"/>
      <c r="H169" s="78" t="str">
        <f t="shared" si="2"/>
        <v/>
      </c>
      <c r="I169" s="69"/>
      <c r="J169" s="69"/>
    </row>
    <row r="170" spans="1:10" x14ac:dyDescent="0.3">
      <c r="A170" s="69"/>
      <c r="B170" s="69"/>
      <c r="C170" s="69"/>
      <c r="D170" s="69"/>
      <c r="E170" s="68"/>
      <c r="F170" s="73"/>
      <c r="G170" s="73"/>
      <c r="H170" s="78" t="str">
        <f t="shared" si="2"/>
        <v/>
      </c>
      <c r="I170" s="69"/>
      <c r="J170" s="69"/>
    </row>
    <row r="171" spans="1:10" x14ac:dyDescent="0.3">
      <c r="A171" s="69"/>
      <c r="B171" s="69"/>
      <c r="C171" s="69"/>
      <c r="D171" s="69"/>
      <c r="E171" s="68"/>
      <c r="F171" s="73"/>
      <c r="G171" s="73"/>
      <c r="H171" s="78" t="str">
        <f t="shared" si="2"/>
        <v/>
      </c>
      <c r="I171" s="69"/>
      <c r="J171" s="69"/>
    </row>
    <row r="172" spans="1:10" x14ac:dyDescent="0.3">
      <c r="A172" s="69"/>
      <c r="B172" s="69"/>
      <c r="C172" s="69"/>
      <c r="D172" s="69"/>
      <c r="E172" s="68"/>
      <c r="F172" s="73"/>
      <c r="G172" s="73"/>
      <c r="H172" s="78" t="str">
        <f t="shared" si="2"/>
        <v/>
      </c>
      <c r="I172" s="69"/>
      <c r="J172" s="69"/>
    </row>
    <row r="173" spans="1:10" x14ac:dyDescent="0.3">
      <c r="A173" s="69"/>
      <c r="B173" s="69"/>
      <c r="C173" s="69"/>
      <c r="D173" s="69"/>
      <c r="E173" s="68"/>
      <c r="F173" s="73"/>
      <c r="G173" s="73"/>
      <c r="H173" s="78" t="str">
        <f t="shared" si="2"/>
        <v/>
      </c>
      <c r="I173" s="69"/>
      <c r="J173" s="69"/>
    </row>
    <row r="174" spans="1:10" x14ac:dyDescent="0.3">
      <c r="A174" s="69"/>
      <c r="B174" s="69"/>
      <c r="C174" s="69"/>
      <c r="D174" s="69"/>
      <c r="E174" s="68"/>
      <c r="F174" s="73"/>
      <c r="G174" s="73"/>
      <c r="H174" s="78" t="str">
        <f t="shared" si="2"/>
        <v/>
      </c>
      <c r="I174" s="69"/>
      <c r="J174" s="69"/>
    </row>
    <row r="175" spans="1:10" x14ac:dyDescent="0.3">
      <c r="A175" s="69"/>
      <c r="B175" s="69"/>
      <c r="C175" s="69"/>
      <c r="D175" s="69"/>
      <c r="E175" s="68"/>
      <c r="F175" s="73"/>
      <c r="G175" s="73"/>
      <c r="H175" s="78" t="str">
        <f t="shared" si="2"/>
        <v/>
      </c>
      <c r="I175" s="69"/>
      <c r="J175" s="69"/>
    </row>
    <row r="176" spans="1:10" x14ac:dyDescent="0.3">
      <c r="A176" s="69"/>
      <c r="B176" s="69"/>
      <c r="C176" s="69"/>
      <c r="D176" s="69"/>
      <c r="E176" s="68"/>
      <c r="F176" s="73"/>
      <c r="G176" s="73"/>
      <c r="H176" s="78" t="str">
        <f t="shared" si="2"/>
        <v/>
      </c>
      <c r="I176" s="69"/>
      <c r="J176" s="69"/>
    </row>
    <row r="177" spans="1:10" x14ac:dyDescent="0.3">
      <c r="A177" s="69"/>
      <c r="B177" s="69"/>
      <c r="C177" s="69"/>
      <c r="D177" s="69"/>
      <c r="E177" s="68"/>
      <c r="F177" s="73"/>
      <c r="G177" s="73"/>
      <c r="H177" s="78" t="str">
        <f t="shared" si="2"/>
        <v/>
      </c>
      <c r="I177" s="69"/>
      <c r="J177" s="69"/>
    </row>
    <row r="178" spans="1:10" x14ac:dyDescent="0.3">
      <c r="A178" s="69"/>
      <c r="B178" s="69"/>
      <c r="C178" s="69"/>
      <c r="D178" s="69"/>
      <c r="E178" s="68"/>
      <c r="F178" s="73"/>
      <c r="G178" s="73"/>
      <c r="H178" s="78" t="str">
        <f t="shared" si="2"/>
        <v/>
      </c>
      <c r="I178" s="69"/>
      <c r="J178" s="69"/>
    </row>
    <row r="179" spans="1:10" x14ac:dyDescent="0.3">
      <c r="A179" s="69"/>
      <c r="B179" s="69"/>
      <c r="C179" s="69"/>
      <c r="D179" s="69"/>
      <c r="E179" s="68"/>
      <c r="F179" s="73"/>
      <c r="G179" s="73"/>
      <c r="H179" s="78" t="str">
        <f t="shared" si="2"/>
        <v/>
      </c>
      <c r="I179" s="69"/>
      <c r="J179" s="69"/>
    </row>
    <row r="180" spans="1:10" x14ac:dyDescent="0.3">
      <c r="A180" s="69"/>
      <c r="B180" s="69"/>
      <c r="C180" s="69"/>
      <c r="D180" s="69"/>
      <c r="E180" s="68"/>
      <c r="F180" s="73"/>
      <c r="G180" s="73"/>
      <c r="H180" s="78" t="str">
        <f t="shared" si="2"/>
        <v/>
      </c>
      <c r="I180" s="69"/>
      <c r="J180" s="69"/>
    </row>
    <row r="181" spans="1:10" x14ac:dyDescent="0.3">
      <c r="A181" s="69"/>
      <c r="B181" s="69"/>
      <c r="C181" s="69"/>
      <c r="D181" s="69"/>
      <c r="E181" s="68"/>
      <c r="F181" s="73"/>
      <c r="G181" s="73"/>
      <c r="H181" s="78" t="str">
        <f t="shared" si="2"/>
        <v/>
      </c>
      <c r="I181" s="69"/>
      <c r="J181" s="69"/>
    </row>
    <row r="182" spans="1:10" x14ac:dyDescent="0.3">
      <c r="A182" s="69"/>
      <c r="B182" s="69"/>
      <c r="C182" s="69"/>
      <c r="D182" s="69"/>
      <c r="E182" s="68"/>
      <c r="F182" s="73"/>
      <c r="G182" s="73"/>
      <c r="H182" s="78" t="str">
        <f t="shared" si="2"/>
        <v/>
      </c>
      <c r="I182" s="69"/>
      <c r="J182" s="69"/>
    </row>
    <row r="183" spans="1:10" x14ac:dyDescent="0.3">
      <c r="A183" s="69"/>
      <c r="B183" s="69"/>
      <c r="C183" s="69"/>
      <c r="D183" s="69"/>
      <c r="E183" s="68"/>
      <c r="F183" s="73"/>
      <c r="G183" s="73"/>
      <c r="H183" s="78" t="str">
        <f t="shared" si="2"/>
        <v/>
      </c>
      <c r="I183" s="69"/>
      <c r="J183" s="69"/>
    </row>
    <row r="184" spans="1:10" x14ac:dyDescent="0.3">
      <c r="A184" s="69"/>
      <c r="B184" s="69"/>
      <c r="C184" s="69"/>
      <c r="D184" s="69"/>
      <c r="E184" s="68"/>
      <c r="F184" s="73"/>
      <c r="G184" s="73"/>
      <c r="H184" s="78" t="str">
        <f t="shared" si="2"/>
        <v/>
      </c>
      <c r="I184" s="69"/>
      <c r="J184" s="69"/>
    </row>
    <row r="185" spans="1:10" x14ac:dyDescent="0.3">
      <c r="A185" s="69"/>
      <c r="B185" s="69"/>
      <c r="C185" s="69"/>
      <c r="D185" s="69"/>
      <c r="E185" s="68"/>
      <c r="F185" s="73"/>
      <c r="G185" s="73"/>
      <c r="H185" s="78" t="str">
        <f t="shared" si="2"/>
        <v/>
      </c>
      <c r="I185" s="69"/>
      <c r="J185" s="69"/>
    </row>
    <row r="186" spans="1:10" x14ac:dyDescent="0.3">
      <c r="A186" s="69"/>
      <c r="B186" s="69"/>
      <c r="C186" s="69"/>
      <c r="D186" s="69"/>
      <c r="E186" s="68"/>
      <c r="F186" s="73"/>
      <c r="G186" s="73"/>
      <c r="H186" s="78" t="str">
        <f t="shared" si="2"/>
        <v/>
      </c>
      <c r="I186" s="69"/>
      <c r="J186" s="69"/>
    </row>
    <row r="187" spans="1:10" x14ac:dyDescent="0.3">
      <c r="A187" s="69"/>
      <c r="B187" s="69"/>
      <c r="C187" s="69"/>
      <c r="D187" s="69"/>
      <c r="E187" s="68"/>
      <c r="F187" s="73"/>
      <c r="G187" s="73"/>
      <c r="H187" s="78" t="str">
        <f t="shared" si="2"/>
        <v/>
      </c>
      <c r="I187" s="69"/>
      <c r="J187" s="69"/>
    </row>
    <row r="188" spans="1:10" x14ac:dyDescent="0.3">
      <c r="A188" s="69"/>
      <c r="B188" s="69"/>
      <c r="C188" s="69"/>
      <c r="D188" s="69"/>
      <c r="E188" s="68"/>
      <c r="F188" s="73"/>
      <c r="G188" s="73"/>
      <c r="H188" s="78" t="str">
        <f t="shared" si="2"/>
        <v/>
      </c>
      <c r="I188" s="69"/>
      <c r="J188" s="69"/>
    </row>
    <row r="189" spans="1:10" x14ac:dyDescent="0.3">
      <c r="A189" s="69"/>
      <c r="B189" s="69"/>
      <c r="C189" s="69"/>
      <c r="D189" s="69"/>
      <c r="E189" s="68"/>
      <c r="F189" s="73"/>
      <c r="G189" s="73"/>
      <c r="H189" s="78" t="str">
        <f t="shared" si="2"/>
        <v/>
      </c>
      <c r="I189" s="69"/>
      <c r="J189" s="69"/>
    </row>
    <row r="190" spans="1:10" x14ac:dyDescent="0.3">
      <c r="A190" s="69"/>
      <c r="B190" s="69"/>
      <c r="C190" s="69"/>
      <c r="D190" s="69"/>
      <c r="E190" s="68"/>
      <c r="F190" s="73"/>
      <c r="G190" s="73"/>
      <c r="H190" s="78" t="str">
        <f t="shared" si="2"/>
        <v/>
      </c>
      <c r="I190" s="69"/>
      <c r="J190" s="69"/>
    </row>
    <row r="191" spans="1:10" x14ac:dyDescent="0.3">
      <c r="A191" s="69"/>
      <c r="B191" s="69"/>
      <c r="C191" s="69"/>
      <c r="D191" s="69"/>
      <c r="E191" s="68"/>
      <c r="F191" s="73"/>
      <c r="G191" s="73"/>
      <c r="H191" s="78" t="str">
        <f t="shared" si="2"/>
        <v/>
      </c>
      <c r="I191" s="69"/>
      <c r="J191" s="69"/>
    </row>
    <row r="192" spans="1:10" x14ac:dyDescent="0.3">
      <c r="A192" s="69"/>
      <c r="B192" s="69"/>
      <c r="C192" s="69"/>
      <c r="D192" s="69"/>
      <c r="E192" s="68"/>
      <c r="F192" s="73"/>
      <c r="G192" s="73"/>
      <c r="H192" s="78" t="str">
        <f t="shared" si="2"/>
        <v/>
      </c>
      <c r="I192" s="69"/>
      <c r="J192" s="69"/>
    </row>
    <row r="193" spans="1:10" x14ac:dyDescent="0.3">
      <c r="A193" s="69"/>
      <c r="B193" s="69"/>
      <c r="C193" s="69"/>
      <c r="D193" s="69"/>
      <c r="E193" s="68"/>
      <c r="F193" s="73"/>
      <c r="G193" s="73"/>
      <c r="H193" s="78" t="str">
        <f t="shared" si="2"/>
        <v/>
      </c>
      <c r="I193" s="69"/>
      <c r="J193" s="69"/>
    </row>
    <row r="194" spans="1:10" x14ac:dyDescent="0.3">
      <c r="A194" s="69"/>
      <c r="B194" s="69"/>
      <c r="C194" s="69"/>
      <c r="D194" s="69"/>
      <c r="E194" s="68"/>
      <c r="F194" s="73"/>
      <c r="G194" s="73"/>
      <c r="H194" s="78" t="str">
        <f t="shared" si="2"/>
        <v/>
      </c>
      <c r="I194" s="69"/>
      <c r="J194" s="69"/>
    </row>
    <row r="195" spans="1:10" x14ac:dyDescent="0.3">
      <c r="A195" s="69"/>
      <c r="B195" s="69"/>
      <c r="C195" s="69"/>
      <c r="D195" s="69"/>
      <c r="E195" s="68"/>
      <c r="F195" s="73"/>
      <c r="G195" s="73"/>
      <c r="H195" s="78" t="str">
        <f t="shared" si="2"/>
        <v/>
      </c>
      <c r="I195" s="69"/>
      <c r="J195" s="69"/>
    </row>
    <row r="196" spans="1:10" x14ac:dyDescent="0.3">
      <c r="A196" s="69"/>
      <c r="B196" s="69"/>
      <c r="C196" s="69"/>
      <c r="D196" s="69"/>
      <c r="E196" s="68"/>
      <c r="F196" s="73"/>
      <c r="G196" s="73"/>
      <c r="H196" s="78" t="str">
        <f t="shared" si="2"/>
        <v/>
      </c>
      <c r="I196" s="69"/>
      <c r="J196" s="69"/>
    </row>
    <row r="197" spans="1:10" x14ac:dyDescent="0.3">
      <c r="A197" s="69"/>
      <c r="B197" s="69"/>
      <c r="C197" s="69"/>
      <c r="D197" s="69"/>
      <c r="E197" s="68"/>
      <c r="F197" s="73"/>
      <c r="G197" s="73"/>
      <c r="H197" s="78" t="str">
        <f t="shared" ref="H197:H260" si="3">IF(OR(F197="",F197=0,G197=""),"",G197/F197)</f>
        <v/>
      </c>
      <c r="I197" s="69"/>
      <c r="J197" s="69"/>
    </row>
    <row r="198" spans="1:10" x14ac:dyDescent="0.3">
      <c r="A198" s="69"/>
      <c r="B198" s="69"/>
      <c r="C198" s="69"/>
      <c r="D198" s="69"/>
      <c r="E198" s="68"/>
      <c r="F198" s="73"/>
      <c r="G198" s="73"/>
      <c r="H198" s="78" t="str">
        <f t="shared" si="3"/>
        <v/>
      </c>
      <c r="I198" s="69"/>
      <c r="J198" s="69"/>
    </row>
    <row r="199" spans="1:10" x14ac:dyDescent="0.3">
      <c r="A199" s="69"/>
      <c r="B199" s="69"/>
      <c r="C199" s="69"/>
      <c r="D199" s="69"/>
      <c r="E199" s="68"/>
      <c r="F199" s="73"/>
      <c r="G199" s="73"/>
      <c r="H199" s="78" t="str">
        <f t="shared" si="3"/>
        <v/>
      </c>
      <c r="I199" s="69"/>
      <c r="J199" s="69"/>
    </row>
    <row r="200" spans="1:10" x14ac:dyDescent="0.3">
      <c r="A200" s="69"/>
      <c r="B200" s="69"/>
      <c r="C200" s="69"/>
      <c r="D200" s="69"/>
      <c r="E200" s="68"/>
      <c r="F200" s="73"/>
      <c r="G200" s="73"/>
      <c r="H200" s="78" t="str">
        <f t="shared" si="3"/>
        <v/>
      </c>
      <c r="I200" s="69"/>
      <c r="J200" s="69"/>
    </row>
    <row r="201" spans="1:10" x14ac:dyDescent="0.3">
      <c r="A201" s="69"/>
      <c r="B201" s="69"/>
      <c r="C201" s="69"/>
      <c r="D201" s="69"/>
      <c r="E201" s="68"/>
      <c r="F201" s="73"/>
      <c r="G201" s="73"/>
      <c r="H201" s="78" t="str">
        <f t="shared" si="3"/>
        <v/>
      </c>
      <c r="I201" s="69"/>
      <c r="J201" s="69"/>
    </row>
    <row r="202" spans="1:10" x14ac:dyDescent="0.3">
      <c r="A202" s="69"/>
      <c r="B202" s="69"/>
      <c r="C202" s="69"/>
      <c r="D202" s="69"/>
      <c r="E202" s="68"/>
      <c r="F202" s="73"/>
      <c r="G202" s="73"/>
      <c r="H202" s="78" t="str">
        <f t="shared" si="3"/>
        <v/>
      </c>
      <c r="I202" s="69"/>
      <c r="J202" s="69"/>
    </row>
    <row r="203" spans="1:10" x14ac:dyDescent="0.3">
      <c r="A203" s="69"/>
      <c r="B203" s="69"/>
      <c r="C203" s="69"/>
      <c r="D203" s="69"/>
      <c r="E203" s="68"/>
      <c r="F203" s="73"/>
      <c r="G203" s="73"/>
      <c r="H203" s="78" t="str">
        <f t="shared" si="3"/>
        <v/>
      </c>
      <c r="I203" s="69"/>
      <c r="J203" s="69"/>
    </row>
    <row r="204" spans="1:10" x14ac:dyDescent="0.3">
      <c r="A204" s="69"/>
      <c r="B204" s="69"/>
      <c r="C204" s="69"/>
      <c r="D204" s="69"/>
      <c r="E204" s="68"/>
      <c r="F204" s="73"/>
      <c r="G204" s="73"/>
      <c r="H204" s="78" t="str">
        <f t="shared" si="3"/>
        <v/>
      </c>
      <c r="I204" s="69"/>
      <c r="J204" s="69"/>
    </row>
    <row r="205" spans="1:10" x14ac:dyDescent="0.3">
      <c r="A205" s="69"/>
      <c r="B205" s="69"/>
      <c r="C205" s="69"/>
      <c r="D205" s="69"/>
      <c r="E205" s="68"/>
      <c r="F205" s="73"/>
      <c r="G205" s="73"/>
      <c r="H205" s="78" t="str">
        <f t="shared" si="3"/>
        <v/>
      </c>
      <c r="I205" s="69"/>
      <c r="J205" s="69"/>
    </row>
    <row r="206" spans="1:10" x14ac:dyDescent="0.3">
      <c r="A206" s="69"/>
      <c r="B206" s="69"/>
      <c r="C206" s="69"/>
      <c r="D206" s="69"/>
      <c r="E206" s="68"/>
      <c r="F206" s="73"/>
      <c r="G206" s="73"/>
      <c r="H206" s="78" t="str">
        <f t="shared" si="3"/>
        <v/>
      </c>
      <c r="I206" s="69"/>
      <c r="J206" s="69"/>
    </row>
    <row r="207" spans="1:10" x14ac:dyDescent="0.3">
      <c r="A207" s="69"/>
      <c r="B207" s="69"/>
      <c r="C207" s="69"/>
      <c r="D207" s="69"/>
      <c r="E207" s="68"/>
      <c r="F207" s="73"/>
      <c r="G207" s="73"/>
      <c r="H207" s="78" t="str">
        <f t="shared" si="3"/>
        <v/>
      </c>
      <c r="I207" s="69"/>
      <c r="J207" s="69"/>
    </row>
    <row r="208" spans="1:10" x14ac:dyDescent="0.3">
      <c r="A208" s="69"/>
      <c r="B208" s="69"/>
      <c r="C208" s="69"/>
      <c r="D208" s="69"/>
      <c r="E208" s="68"/>
      <c r="F208" s="73"/>
      <c r="G208" s="73"/>
      <c r="H208" s="78" t="str">
        <f t="shared" si="3"/>
        <v/>
      </c>
      <c r="I208" s="69"/>
      <c r="J208" s="69"/>
    </row>
    <row r="209" spans="1:10" x14ac:dyDescent="0.3">
      <c r="A209" s="69"/>
      <c r="B209" s="69"/>
      <c r="C209" s="69"/>
      <c r="D209" s="69"/>
      <c r="E209" s="68"/>
      <c r="F209" s="73"/>
      <c r="G209" s="73"/>
      <c r="H209" s="78" t="str">
        <f t="shared" si="3"/>
        <v/>
      </c>
      <c r="I209" s="69"/>
      <c r="J209" s="69"/>
    </row>
    <row r="210" spans="1:10" x14ac:dyDescent="0.3">
      <c r="A210" s="69"/>
      <c r="B210" s="69"/>
      <c r="C210" s="69"/>
      <c r="D210" s="69"/>
      <c r="E210" s="68"/>
      <c r="F210" s="73"/>
      <c r="G210" s="73"/>
      <c r="H210" s="78" t="str">
        <f t="shared" si="3"/>
        <v/>
      </c>
      <c r="I210" s="69"/>
      <c r="J210" s="69"/>
    </row>
    <row r="211" spans="1:10" x14ac:dyDescent="0.3">
      <c r="A211" s="69"/>
      <c r="B211" s="69"/>
      <c r="C211" s="69"/>
      <c r="D211" s="69"/>
      <c r="E211" s="68"/>
      <c r="F211" s="73"/>
      <c r="G211" s="73"/>
      <c r="H211" s="78" t="str">
        <f t="shared" si="3"/>
        <v/>
      </c>
      <c r="I211" s="69"/>
      <c r="J211" s="69"/>
    </row>
    <row r="212" spans="1:10" x14ac:dyDescent="0.3">
      <c r="A212" s="69"/>
      <c r="B212" s="69"/>
      <c r="C212" s="69"/>
      <c r="D212" s="69"/>
      <c r="E212" s="68"/>
      <c r="F212" s="73"/>
      <c r="G212" s="73"/>
      <c r="H212" s="78" t="str">
        <f t="shared" si="3"/>
        <v/>
      </c>
      <c r="I212" s="69"/>
      <c r="J212" s="69"/>
    </row>
    <row r="213" spans="1:10" x14ac:dyDescent="0.3">
      <c r="A213" s="69"/>
      <c r="B213" s="69"/>
      <c r="C213" s="69"/>
      <c r="D213" s="69"/>
      <c r="E213" s="68"/>
      <c r="F213" s="73"/>
      <c r="G213" s="73"/>
      <c r="H213" s="78" t="str">
        <f t="shared" si="3"/>
        <v/>
      </c>
      <c r="I213" s="69"/>
      <c r="J213" s="69"/>
    </row>
    <row r="214" spans="1:10" x14ac:dyDescent="0.3">
      <c r="A214" s="69"/>
      <c r="B214" s="69"/>
      <c r="C214" s="69"/>
      <c r="D214" s="69"/>
      <c r="E214" s="68"/>
      <c r="F214" s="73"/>
      <c r="G214" s="73"/>
      <c r="H214" s="78" t="str">
        <f t="shared" si="3"/>
        <v/>
      </c>
      <c r="I214" s="69"/>
      <c r="J214" s="69"/>
    </row>
    <row r="215" spans="1:10" x14ac:dyDescent="0.3">
      <c r="A215" s="69"/>
      <c r="B215" s="69"/>
      <c r="C215" s="69"/>
      <c r="D215" s="69"/>
      <c r="E215" s="68"/>
      <c r="F215" s="73"/>
      <c r="G215" s="73"/>
      <c r="H215" s="78" t="str">
        <f t="shared" si="3"/>
        <v/>
      </c>
      <c r="I215" s="69"/>
      <c r="J215" s="69"/>
    </row>
    <row r="216" spans="1:10" x14ac:dyDescent="0.3">
      <c r="A216" s="69"/>
      <c r="B216" s="69"/>
      <c r="C216" s="69"/>
      <c r="D216" s="69"/>
      <c r="E216" s="68"/>
      <c r="F216" s="73"/>
      <c r="G216" s="73"/>
      <c r="H216" s="78" t="str">
        <f t="shared" si="3"/>
        <v/>
      </c>
      <c r="I216" s="69"/>
      <c r="J216" s="69"/>
    </row>
    <row r="217" spans="1:10" x14ac:dyDescent="0.3">
      <c r="A217" s="69"/>
      <c r="B217" s="69"/>
      <c r="C217" s="69"/>
      <c r="D217" s="69"/>
      <c r="E217" s="68"/>
      <c r="F217" s="73"/>
      <c r="G217" s="73"/>
      <c r="H217" s="78" t="str">
        <f t="shared" si="3"/>
        <v/>
      </c>
      <c r="I217" s="69"/>
      <c r="J217" s="69"/>
    </row>
    <row r="218" spans="1:10" x14ac:dyDescent="0.3">
      <c r="A218" s="69"/>
      <c r="B218" s="69"/>
      <c r="C218" s="69"/>
      <c r="D218" s="69"/>
      <c r="E218" s="68"/>
      <c r="F218" s="73"/>
      <c r="G218" s="73"/>
      <c r="H218" s="78" t="str">
        <f t="shared" si="3"/>
        <v/>
      </c>
      <c r="I218" s="69"/>
      <c r="J218" s="69"/>
    </row>
    <row r="219" spans="1:10" x14ac:dyDescent="0.3">
      <c r="A219" s="69"/>
      <c r="B219" s="69"/>
      <c r="C219" s="69"/>
      <c r="D219" s="69"/>
      <c r="E219" s="68"/>
      <c r="F219" s="73"/>
      <c r="G219" s="73"/>
      <c r="H219" s="78" t="str">
        <f t="shared" si="3"/>
        <v/>
      </c>
      <c r="I219" s="69"/>
      <c r="J219" s="69"/>
    </row>
    <row r="220" spans="1:10" x14ac:dyDescent="0.3">
      <c r="A220" s="69"/>
      <c r="B220" s="69"/>
      <c r="C220" s="69"/>
      <c r="D220" s="69"/>
      <c r="E220" s="68"/>
      <c r="F220" s="73"/>
      <c r="G220" s="73"/>
      <c r="H220" s="78" t="str">
        <f t="shared" si="3"/>
        <v/>
      </c>
      <c r="I220" s="69"/>
      <c r="J220" s="69"/>
    </row>
    <row r="221" spans="1:10" x14ac:dyDescent="0.3">
      <c r="A221" s="69"/>
      <c r="B221" s="69"/>
      <c r="C221" s="69"/>
      <c r="D221" s="69"/>
      <c r="E221" s="68"/>
      <c r="F221" s="73"/>
      <c r="G221" s="73"/>
      <c r="H221" s="78" t="str">
        <f t="shared" si="3"/>
        <v/>
      </c>
      <c r="I221" s="69"/>
      <c r="J221" s="69"/>
    </row>
    <row r="222" spans="1:10" x14ac:dyDescent="0.3">
      <c r="A222" s="69"/>
      <c r="B222" s="69"/>
      <c r="C222" s="69"/>
      <c r="D222" s="69"/>
      <c r="E222" s="68"/>
      <c r="F222" s="73"/>
      <c r="G222" s="73"/>
      <c r="H222" s="78" t="str">
        <f t="shared" si="3"/>
        <v/>
      </c>
      <c r="I222" s="69"/>
      <c r="J222" s="69"/>
    </row>
    <row r="223" spans="1:10" x14ac:dyDescent="0.3">
      <c r="A223" s="69"/>
      <c r="B223" s="69"/>
      <c r="C223" s="69"/>
      <c r="D223" s="69"/>
      <c r="E223" s="68"/>
      <c r="F223" s="73"/>
      <c r="G223" s="73"/>
      <c r="H223" s="78" t="str">
        <f t="shared" si="3"/>
        <v/>
      </c>
      <c r="I223" s="69"/>
      <c r="J223" s="69"/>
    </row>
    <row r="224" spans="1:10" x14ac:dyDescent="0.3">
      <c r="A224" s="69"/>
      <c r="B224" s="69"/>
      <c r="C224" s="69"/>
      <c r="D224" s="69"/>
      <c r="E224" s="68"/>
      <c r="F224" s="73"/>
      <c r="G224" s="73"/>
      <c r="H224" s="78" t="str">
        <f t="shared" si="3"/>
        <v/>
      </c>
      <c r="I224" s="69"/>
      <c r="J224" s="69"/>
    </row>
    <row r="225" spans="1:10" x14ac:dyDescent="0.3">
      <c r="A225" s="69"/>
      <c r="B225" s="69"/>
      <c r="C225" s="69"/>
      <c r="D225" s="69"/>
      <c r="E225" s="68"/>
      <c r="F225" s="73"/>
      <c r="G225" s="73"/>
      <c r="H225" s="78" t="str">
        <f t="shared" si="3"/>
        <v/>
      </c>
      <c r="I225" s="69"/>
      <c r="J225" s="69"/>
    </row>
    <row r="226" spans="1:10" x14ac:dyDescent="0.3">
      <c r="A226" s="69"/>
      <c r="B226" s="69"/>
      <c r="C226" s="69"/>
      <c r="D226" s="69"/>
      <c r="E226" s="68"/>
      <c r="F226" s="73"/>
      <c r="G226" s="73"/>
      <c r="H226" s="78" t="str">
        <f t="shared" si="3"/>
        <v/>
      </c>
      <c r="I226" s="69"/>
      <c r="J226" s="69"/>
    </row>
    <row r="227" spans="1:10" x14ac:dyDescent="0.3">
      <c r="A227" s="69"/>
      <c r="B227" s="69"/>
      <c r="C227" s="69"/>
      <c r="D227" s="69"/>
      <c r="E227" s="68"/>
      <c r="F227" s="73"/>
      <c r="G227" s="73"/>
      <c r="H227" s="78" t="str">
        <f t="shared" si="3"/>
        <v/>
      </c>
      <c r="I227" s="69"/>
      <c r="J227" s="69"/>
    </row>
    <row r="228" spans="1:10" x14ac:dyDescent="0.3">
      <c r="A228" s="69"/>
      <c r="B228" s="69"/>
      <c r="C228" s="69"/>
      <c r="D228" s="69"/>
      <c r="E228" s="68"/>
      <c r="F228" s="73"/>
      <c r="G228" s="73"/>
      <c r="H228" s="78" t="str">
        <f t="shared" si="3"/>
        <v/>
      </c>
      <c r="I228" s="69"/>
      <c r="J228" s="69"/>
    </row>
    <row r="229" spans="1:10" x14ac:dyDescent="0.3">
      <c r="A229" s="69"/>
      <c r="B229" s="69"/>
      <c r="C229" s="69"/>
      <c r="D229" s="69"/>
      <c r="E229" s="68"/>
      <c r="F229" s="73"/>
      <c r="G229" s="73"/>
      <c r="H229" s="78" t="str">
        <f t="shared" si="3"/>
        <v/>
      </c>
      <c r="I229" s="69"/>
      <c r="J229" s="69"/>
    </row>
    <row r="230" spans="1:10" x14ac:dyDescent="0.3">
      <c r="A230" s="69"/>
      <c r="B230" s="69"/>
      <c r="C230" s="69"/>
      <c r="D230" s="69"/>
      <c r="E230" s="68"/>
      <c r="F230" s="73"/>
      <c r="G230" s="73"/>
      <c r="H230" s="78" t="str">
        <f t="shared" si="3"/>
        <v/>
      </c>
      <c r="I230" s="69"/>
      <c r="J230" s="69"/>
    </row>
    <row r="231" spans="1:10" x14ac:dyDescent="0.3">
      <c r="A231" s="69"/>
      <c r="B231" s="69"/>
      <c r="C231" s="69"/>
      <c r="D231" s="69"/>
      <c r="E231" s="68"/>
      <c r="F231" s="73"/>
      <c r="G231" s="73"/>
      <c r="H231" s="78" t="str">
        <f t="shared" si="3"/>
        <v/>
      </c>
      <c r="I231" s="69"/>
      <c r="J231" s="69"/>
    </row>
    <row r="232" spans="1:10" x14ac:dyDescent="0.3">
      <c r="A232" s="69"/>
      <c r="B232" s="69"/>
      <c r="C232" s="69"/>
      <c r="D232" s="69"/>
      <c r="E232" s="68"/>
      <c r="F232" s="73"/>
      <c r="G232" s="73"/>
      <c r="H232" s="78" t="str">
        <f t="shared" si="3"/>
        <v/>
      </c>
      <c r="I232" s="69"/>
      <c r="J232" s="69"/>
    </row>
    <row r="233" spans="1:10" x14ac:dyDescent="0.3">
      <c r="A233" s="69"/>
      <c r="B233" s="69"/>
      <c r="C233" s="69"/>
      <c r="D233" s="69"/>
      <c r="E233" s="68"/>
      <c r="F233" s="73"/>
      <c r="G233" s="73"/>
      <c r="H233" s="78" t="str">
        <f t="shared" si="3"/>
        <v/>
      </c>
      <c r="I233" s="69"/>
      <c r="J233" s="69"/>
    </row>
    <row r="234" spans="1:10" x14ac:dyDescent="0.3">
      <c r="A234" s="69"/>
      <c r="B234" s="69"/>
      <c r="C234" s="69"/>
      <c r="D234" s="69"/>
      <c r="E234" s="68"/>
      <c r="F234" s="73"/>
      <c r="G234" s="73"/>
      <c r="H234" s="78" t="str">
        <f t="shared" si="3"/>
        <v/>
      </c>
      <c r="I234" s="69"/>
      <c r="J234" s="69"/>
    </row>
    <row r="235" spans="1:10" x14ac:dyDescent="0.3">
      <c r="A235" s="69"/>
      <c r="B235" s="69"/>
      <c r="C235" s="69"/>
      <c r="D235" s="69"/>
      <c r="E235" s="68"/>
      <c r="F235" s="73"/>
      <c r="G235" s="73"/>
      <c r="H235" s="78" t="str">
        <f t="shared" si="3"/>
        <v/>
      </c>
      <c r="I235" s="69"/>
      <c r="J235" s="69"/>
    </row>
    <row r="236" spans="1:10" x14ac:dyDescent="0.3">
      <c r="A236" s="69"/>
      <c r="B236" s="69"/>
      <c r="C236" s="69"/>
      <c r="D236" s="69"/>
      <c r="E236" s="68"/>
      <c r="F236" s="73"/>
      <c r="G236" s="73"/>
      <c r="H236" s="78" t="str">
        <f t="shared" si="3"/>
        <v/>
      </c>
      <c r="I236" s="69"/>
      <c r="J236" s="69"/>
    </row>
    <row r="237" spans="1:10" x14ac:dyDescent="0.3">
      <c r="A237" s="69"/>
      <c r="B237" s="69"/>
      <c r="C237" s="69"/>
      <c r="D237" s="69"/>
      <c r="E237" s="68"/>
      <c r="F237" s="73"/>
      <c r="G237" s="73"/>
      <c r="H237" s="78" t="str">
        <f t="shared" si="3"/>
        <v/>
      </c>
      <c r="I237" s="69"/>
      <c r="J237" s="69"/>
    </row>
    <row r="238" spans="1:10" x14ac:dyDescent="0.3">
      <c r="A238" s="69"/>
      <c r="B238" s="69"/>
      <c r="C238" s="69"/>
      <c r="D238" s="69"/>
      <c r="E238" s="68"/>
      <c r="F238" s="73"/>
      <c r="G238" s="73"/>
      <c r="H238" s="78" t="str">
        <f t="shared" si="3"/>
        <v/>
      </c>
      <c r="I238" s="69"/>
      <c r="J238" s="69"/>
    </row>
    <row r="239" spans="1:10" x14ac:dyDescent="0.3">
      <c r="A239" s="69"/>
      <c r="B239" s="69"/>
      <c r="C239" s="69"/>
      <c r="D239" s="69"/>
      <c r="E239" s="68"/>
      <c r="F239" s="73"/>
      <c r="G239" s="73"/>
      <c r="H239" s="78" t="str">
        <f t="shared" si="3"/>
        <v/>
      </c>
      <c r="I239" s="69"/>
      <c r="J239" s="69"/>
    </row>
    <row r="240" spans="1:10" x14ac:dyDescent="0.3">
      <c r="A240" s="69"/>
      <c r="B240" s="69"/>
      <c r="C240" s="69"/>
      <c r="D240" s="69"/>
      <c r="E240" s="68"/>
      <c r="F240" s="73"/>
      <c r="G240" s="73"/>
      <c r="H240" s="78" t="str">
        <f t="shared" si="3"/>
        <v/>
      </c>
      <c r="I240" s="69"/>
      <c r="J240" s="69"/>
    </row>
    <row r="241" spans="1:10" x14ac:dyDescent="0.3">
      <c r="A241" s="69"/>
      <c r="B241" s="69"/>
      <c r="C241" s="69"/>
      <c r="D241" s="69"/>
      <c r="E241" s="68"/>
      <c r="F241" s="73"/>
      <c r="G241" s="73"/>
      <c r="H241" s="78" t="str">
        <f t="shared" si="3"/>
        <v/>
      </c>
      <c r="I241" s="69"/>
      <c r="J241" s="69"/>
    </row>
    <row r="242" spans="1:10" x14ac:dyDescent="0.3">
      <c r="A242" s="69"/>
      <c r="B242" s="69"/>
      <c r="C242" s="69"/>
      <c r="D242" s="69"/>
      <c r="E242" s="68"/>
      <c r="F242" s="73"/>
      <c r="G242" s="73"/>
      <c r="H242" s="78" t="str">
        <f t="shared" si="3"/>
        <v/>
      </c>
      <c r="I242" s="69"/>
      <c r="J242" s="69"/>
    </row>
    <row r="243" spans="1:10" x14ac:dyDescent="0.3">
      <c r="A243" s="69"/>
      <c r="B243" s="69"/>
      <c r="C243" s="69"/>
      <c r="D243" s="69"/>
      <c r="E243" s="68"/>
      <c r="F243" s="73"/>
      <c r="G243" s="73"/>
      <c r="H243" s="78" t="str">
        <f t="shared" si="3"/>
        <v/>
      </c>
      <c r="I243" s="69"/>
      <c r="J243" s="69"/>
    </row>
    <row r="244" spans="1:10" x14ac:dyDescent="0.3">
      <c r="A244" s="69"/>
      <c r="B244" s="69"/>
      <c r="C244" s="69"/>
      <c r="D244" s="69"/>
      <c r="E244" s="68"/>
      <c r="F244" s="73"/>
      <c r="G244" s="73"/>
      <c r="H244" s="78" t="str">
        <f t="shared" si="3"/>
        <v/>
      </c>
      <c r="I244" s="69"/>
      <c r="J244" s="69"/>
    </row>
    <row r="245" spans="1:10" x14ac:dyDescent="0.3">
      <c r="A245" s="69"/>
      <c r="B245" s="69"/>
      <c r="C245" s="69"/>
      <c r="D245" s="69"/>
      <c r="E245" s="68"/>
      <c r="F245" s="73"/>
      <c r="G245" s="73"/>
      <c r="H245" s="78" t="str">
        <f t="shared" si="3"/>
        <v/>
      </c>
      <c r="I245" s="69"/>
      <c r="J245" s="69"/>
    </row>
    <row r="246" spans="1:10" x14ac:dyDescent="0.3">
      <c r="A246" s="69"/>
      <c r="B246" s="69"/>
      <c r="C246" s="69"/>
      <c r="D246" s="69"/>
      <c r="E246" s="68"/>
      <c r="F246" s="73"/>
      <c r="G246" s="73"/>
      <c r="H246" s="78" t="str">
        <f t="shared" si="3"/>
        <v/>
      </c>
      <c r="I246" s="69"/>
      <c r="J246" s="69"/>
    </row>
    <row r="247" spans="1:10" x14ac:dyDescent="0.3">
      <c r="A247" s="69"/>
      <c r="B247" s="69"/>
      <c r="C247" s="69"/>
      <c r="D247" s="69"/>
      <c r="E247" s="68"/>
      <c r="F247" s="73"/>
      <c r="G247" s="73"/>
      <c r="H247" s="78" t="str">
        <f t="shared" si="3"/>
        <v/>
      </c>
      <c r="I247" s="69"/>
      <c r="J247" s="69"/>
    </row>
    <row r="248" spans="1:10" x14ac:dyDescent="0.3">
      <c r="A248" s="69"/>
      <c r="B248" s="69"/>
      <c r="C248" s="69"/>
      <c r="D248" s="69"/>
      <c r="E248" s="68"/>
      <c r="F248" s="73"/>
      <c r="G248" s="73"/>
      <c r="H248" s="78" t="str">
        <f t="shared" si="3"/>
        <v/>
      </c>
      <c r="I248" s="69"/>
      <c r="J248" s="69"/>
    </row>
    <row r="249" spans="1:10" x14ac:dyDescent="0.3">
      <c r="A249" s="69"/>
      <c r="B249" s="69"/>
      <c r="C249" s="69"/>
      <c r="D249" s="69"/>
      <c r="E249" s="68"/>
      <c r="F249" s="73"/>
      <c r="G249" s="73"/>
      <c r="H249" s="78" t="str">
        <f t="shared" si="3"/>
        <v/>
      </c>
      <c r="I249" s="69"/>
      <c r="J249" s="69"/>
    </row>
    <row r="250" spans="1:10" x14ac:dyDescent="0.3">
      <c r="A250" s="69"/>
      <c r="B250" s="69"/>
      <c r="C250" s="69"/>
      <c r="D250" s="69"/>
      <c r="E250" s="68"/>
      <c r="F250" s="73"/>
      <c r="G250" s="73"/>
      <c r="H250" s="78" t="str">
        <f t="shared" si="3"/>
        <v/>
      </c>
      <c r="I250" s="69"/>
      <c r="J250" s="69"/>
    </row>
    <row r="251" spans="1:10" x14ac:dyDescent="0.3">
      <c r="A251" s="69"/>
      <c r="B251" s="69"/>
      <c r="C251" s="69"/>
      <c r="D251" s="69"/>
      <c r="E251" s="68"/>
      <c r="F251" s="73"/>
      <c r="G251" s="73"/>
      <c r="H251" s="78" t="str">
        <f t="shared" si="3"/>
        <v/>
      </c>
      <c r="I251" s="69"/>
      <c r="J251" s="69"/>
    </row>
    <row r="252" spans="1:10" x14ac:dyDescent="0.3">
      <c r="A252" s="69"/>
      <c r="B252" s="69"/>
      <c r="C252" s="69"/>
      <c r="D252" s="69"/>
      <c r="E252" s="68"/>
      <c r="F252" s="73"/>
      <c r="G252" s="73"/>
      <c r="H252" s="78" t="str">
        <f t="shared" si="3"/>
        <v/>
      </c>
      <c r="I252" s="69"/>
      <c r="J252" s="69"/>
    </row>
    <row r="253" spans="1:10" x14ac:dyDescent="0.3">
      <c r="A253" s="69"/>
      <c r="B253" s="69"/>
      <c r="C253" s="69"/>
      <c r="D253" s="69"/>
      <c r="E253" s="68"/>
      <c r="F253" s="73"/>
      <c r="G253" s="73"/>
      <c r="H253" s="78" t="str">
        <f t="shared" si="3"/>
        <v/>
      </c>
      <c r="I253" s="69"/>
      <c r="J253" s="69"/>
    </row>
    <row r="254" spans="1:10" x14ac:dyDescent="0.3">
      <c r="A254" s="69"/>
      <c r="B254" s="69"/>
      <c r="C254" s="69"/>
      <c r="D254" s="69"/>
      <c r="E254" s="68"/>
      <c r="F254" s="73"/>
      <c r="G254" s="73"/>
      <c r="H254" s="78" t="str">
        <f t="shared" si="3"/>
        <v/>
      </c>
      <c r="I254" s="69"/>
      <c r="J254" s="69"/>
    </row>
    <row r="255" spans="1:10" x14ac:dyDescent="0.3">
      <c r="A255" s="69"/>
      <c r="B255" s="69"/>
      <c r="C255" s="69"/>
      <c r="D255" s="69"/>
      <c r="E255" s="68"/>
      <c r="F255" s="73"/>
      <c r="G255" s="73"/>
      <c r="H255" s="78" t="str">
        <f t="shared" si="3"/>
        <v/>
      </c>
      <c r="I255" s="69"/>
      <c r="J255" s="69"/>
    </row>
    <row r="256" spans="1:10" x14ac:dyDescent="0.3">
      <c r="A256" s="69"/>
      <c r="B256" s="69"/>
      <c r="C256" s="69"/>
      <c r="D256" s="69"/>
      <c r="E256" s="68"/>
      <c r="F256" s="73"/>
      <c r="G256" s="73"/>
      <c r="H256" s="78" t="str">
        <f t="shared" si="3"/>
        <v/>
      </c>
      <c r="I256" s="69"/>
      <c r="J256" s="69"/>
    </row>
    <row r="257" spans="1:10" x14ac:dyDescent="0.3">
      <c r="A257" s="69"/>
      <c r="B257" s="69"/>
      <c r="C257" s="69"/>
      <c r="D257" s="69"/>
      <c r="E257" s="68"/>
      <c r="F257" s="73"/>
      <c r="G257" s="73"/>
      <c r="H257" s="78" t="str">
        <f t="shared" si="3"/>
        <v/>
      </c>
      <c r="I257" s="69"/>
      <c r="J257" s="69"/>
    </row>
    <row r="258" spans="1:10" x14ac:dyDescent="0.3">
      <c r="A258" s="69"/>
      <c r="B258" s="69"/>
      <c r="C258" s="69"/>
      <c r="D258" s="69"/>
      <c r="E258" s="68"/>
      <c r="F258" s="73"/>
      <c r="G258" s="73"/>
      <c r="H258" s="78" t="str">
        <f t="shared" si="3"/>
        <v/>
      </c>
      <c r="I258" s="69"/>
      <c r="J258" s="69"/>
    </row>
    <row r="259" spans="1:10" x14ac:dyDescent="0.3">
      <c r="A259" s="69"/>
      <c r="B259" s="69"/>
      <c r="C259" s="69"/>
      <c r="D259" s="69"/>
      <c r="E259" s="68"/>
      <c r="F259" s="73"/>
      <c r="G259" s="73"/>
      <c r="H259" s="78" t="str">
        <f t="shared" si="3"/>
        <v/>
      </c>
      <c r="I259" s="69"/>
      <c r="J259" s="69"/>
    </row>
    <row r="260" spans="1:10" x14ac:dyDescent="0.3">
      <c r="A260" s="69"/>
      <c r="B260" s="69"/>
      <c r="C260" s="69"/>
      <c r="D260" s="69"/>
      <c r="E260" s="68"/>
      <c r="F260" s="73"/>
      <c r="G260" s="73"/>
      <c r="H260" s="78" t="str">
        <f t="shared" si="3"/>
        <v/>
      </c>
      <c r="I260" s="69"/>
      <c r="J260" s="69"/>
    </row>
    <row r="261" spans="1:10" x14ac:dyDescent="0.3">
      <c r="A261" s="69"/>
      <c r="B261" s="69"/>
      <c r="C261" s="69"/>
      <c r="D261" s="69"/>
      <c r="E261" s="68"/>
      <c r="F261" s="73"/>
      <c r="G261" s="73"/>
      <c r="H261" s="78" t="str">
        <f t="shared" ref="H261:H324" si="4">IF(OR(F261="",F261=0,G261=""),"",G261/F261)</f>
        <v/>
      </c>
      <c r="I261" s="69"/>
      <c r="J261" s="69"/>
    </row>
    <row r="262" spans="1:10" x14ac:dyDescent="0.3">
      <c r="A262" s="69"/>
      <c r="B262" s="69"/>
      <c r="C262" s="69"/>
      <c r="D262" s="69"/>
      <c r="E262" s="68"/>
      <c r="F262" s="73"/>
      <c r="G262" s="73"/>
      <c r="H262" s="78" t="str">
        <f t="shared" si="4"/>
        <v/>
      </c>
      <c r="I262" s="69"/>
      <c r="J262" s="69"/>
    </row>
    <row r="263" spans="1:10" x14ac:dyDescent="0.3">
      <c r="A263" s="69"/>
      <c r="B263" s="69"/>
      <c r="C263" s="69"/>
      <c r="D263" s="69"/>
      <c r="E263" s="68"/>
      <c r="F263" s="73"/>
      <c r="G263" s="73"/>
      <c r="H263" s="78" t="str">
        <f t="shared" si="4"/>
        <v/>
      </c>
      <c r="I263" s="69"/>
      <c r="J263" s="69"/>
    </row>
    <row r="264" spans="1:10" x14ac:dyDescent="0.3">
      <c r="A264" s="69"/>
      <c r="B264" s="69"/>
      <c r="C264" s="69"/>
      <c r="D264" s="69"/>
      <c r="E264" s="68"/>
      <c r="F264" s="73"/>
      <c r="G264" s="73"/>
      <c r="H264" s="78" t="str">
        <f t="shared" si="4"/>
        <v/>
      </c>
      <c r="I264" s="69"/>
      <c r="J264" s="69"/>
    </row>
    <row r="265" spans="1:10" x14ac:dyDescent="0.3">
      <c r="A265" s="69"/>
      <c r="B265" s="69"/>
      <c r="C265" s="69"/>
      <c r="D265" s="69"/>
      <c r="E265" s="68"/>
      <c r="F265" s="73"/>
      <c r="G265" s="73"/>
      <c r="H265" s="78" t="str">
        <f t="shared" si="4"/>
        <v/>
      </c>
      <c r="I265" s="69"/>
      <c r="J265" s="69"/>
    </row>
    <row r="266" spans="1:10" x14ac:dyDescent="0.3">
      <c r="A266" s="69"/>
      <c r="B266" s="69"/>
      <c r="C266" s="69"/>
      <c r="D266" s="69"/>
      <c r="E266" s="68"/>
      <c r="F266" s="73"/>
      <c r="G266" s="73"/>
      <c r="H266" s="78" t="str">
        <f t="shared" si="4"/>
        <v/>
      </c>
      <c r="I266" s="69"/>
      <c r="J266" s="69"/>
    </row>
    <row r="267" spans="1:10" x14ac:dyDescent="0.3">
      <c r="A267" s="69"/>
      <c r="B267" s="69"/>
      <c r="C267" s="69"/>
      <c r="D267" s="69"/>
      <c r="E267" s="68"/>
      <c r="F267" s="73"/>
      <c r="G267" s="73"/>
      <c r="H267" s="78" t="str">
        <f t="shared" si="4"/>
        <v/>
      </c>
      <c r="I267" s="69"/>
      <c r="J267" s="69"/>
    </row>
    <row r="268" spans="1:10" x14ac:dyDescent="0.3">
      <c r="A268" s="69"/>
      <c r="B268" s="69"/>
      <c r="C268" s="69"/>
      <c r="D268" s="69"/>
      <c r="E268" s="68"/>
      <c r="F268" s="73"/>
      <c r="G268" s="73"/>
      <c r="H268" s="78" t="str">
        <f t="shared" si="4"/>
        <v/>
      </c>
      <c r="I268" s="69"/>
      <c r="J268" s="69"/>
    </row>
    <row r="269" spans="1:10" x14ac:dyDescent="0.3">
      <c r="A269" s="69"/>
      <c r="B269" s="69"/>
      <c r="C269" s="69"/>
      <c r="D269" s="69"/>
      <c r="E269" s="68"/>
      <c r="F269" s="73"/>
      <c r="G269" s="73"/>
      <c r="H269" s="78" t="str">
        <f t="shared" si="4"/>
        <v/>
      </c>
      <c r="I269" s="69"/>
      <c r="J269" s="69"/>
    </row>
    <row r="270" spans="1:10" x14ac:dyDescent="0.3">
      <c r="A270" s="69"/>
      <c r="B270" s="69"/>
      <c r="C270" s="69"/>
      <c r="D270" s="69"/>
      <c r="E270" s="68"/>
      <c r="F270" s="73"/>
      <c r="G270" s="73"/>
      <c r="H270" s="78" t="str">
        <f t="shared" si="4"/>
        <v/>
      </c>
      <c r="I270" s="69"/>
      <c r="J270" s="69"/>
    </row>
    <row r="271" spans="1:10" x14ac:dyDescent="0.3">
      <c r="A271" s="69"/>
      <c r="B271" s="69"/>
      <c r="C271" s="69"/>
      <c r="D271" s="69"/>
      <c r="E271" s="68"/>
      <c r="F271" s="73"/>
      <c r="G271" s="73"/>
      <c r="H271" s="78" t="str">
        <f t="shared" si="4"/>
        <v/>
      </c>
      <c r="I271" s="69"/>
      <c r="J271" s="69"/>
    </row>
    <row r="272" spans="1:10" x14ac:dyDescent="0.3">
      <c r="A272" s="69"/>
      <c r="B272" s="69"/>
      <c r="C272" s="69"/>
      <c r="D272" s="69"/>
      <c r="E272" s="68"/>
      <c r="F272" s="73"/>
      <c r="G272" s="73"/>
      <c r="H272" s="78" t="str">
        <f t="shared" si="4"/>
        <v/>
      </c>
      <c r="I272" s="69"/>
      <c r="J272" s="69"/>
    </row>
    <row r="273" spans="1:10" x14ac:dyDescent="0.3">
      <c r="A273" s="69"/>
      <c r="B273" s="69"/>
      <c r="C273" s="69"/>
      <c r="D273" s="69"/>
      <c r="E273" s="68"/>
      <c r="F273" s="73"/>
      <c r="G273" s="73"/>
      <c r="H273" s="78" t="str">
        <f t="shared" si="4"/>
        <v/>
      </c>
      <c r="I273" s="69"/>
      <c r="J273" s="69"/>
    </row>
    <row r="274" spans="1:10" x14ac:dyDescent="0.3">
      <c r="A274" s="69"/>
      <c r="B274" s="69"/>
      <c r="C274" s="69"/>
      <c r="D274" s="69"/>
      <c r="E274" s="68"/>
      <c r="F274" s="73"/>
      <c r="G274" s="73"/>
      <c r="H274" s="78" t="str">
        <f t="shared" si="4"/>
        <v/>
      </c>
      <c r="I274" s="69"/>
      <c r="J274" s="69"/>
    </row>
    <row r="275" spans="1:10" x14ac:dyDescent="0.3">
      <c r="A275" s="69"/>
      <c r="B275" s="69"/>
      <c r="C275" s="69"/>
      <c r="D275" s="69"/>
      <c r="E275" s="68"/>
      <c r="F275" s="73"/>
      <c r="G275" s="73"/>
      <c r="H275" s="78" t="str">
        <f t="shared" si="4"/>
        <v/>
      </c>
      <c r="I275" s="69"/>
      <c r="J275" s="69"/>
    </row>
    <row r="276" spans="1:10" x14ac:dyDescent="0.3">
      <c r="A276" s="69"/>
      <c r="B276" s="69"/>
      <c r="C276" s="69"/>
      <c r="D276" s="69"/>
      <c r="E276" s="68"/>
      <c r="F276" s="73"/>
      <c r="G276" s="73"/>
      <c r="H276" s="78" t="str">
        <f t="shared" si="4"/>
        <v/>
      </c>
      <c r="I276" s="69"/>
      <c r="J276" s="69"/>
    </row>
    <row r="277" spans="1:10" x14ac:dyDescent="0.3">
      <c r="A277" s="69"/>
      <c r="B277" s="69"/>
      <c r="C277" s="69"/>
      <c r="D277" s="69"/>
      <c r="E277" s="68"/>
      <c r="F277" s="73"/>
      <c r="G277" s="73"/>
      <c r="H277" s="78" t="str">
        <f t="shared" si="4"/>
        <v/>
      </c>
      <c r="I277" s="69"/>
      <c r="J277" s="69"/>
    </row>
    <row r="278" spans="1:10" x14ac:dyDescent="0.3">
      <c r="A278" s="69"/>
      <c r="B278" s="69"/>
      <c r="C278" s="69"/>
      <c r="D278" s="69"/>
      <c r="E278" s="68"/>
      <c r="F278" s="73"/>
      <c r="G278" s="73"/>
      <c r="H278" s="78" t="str">
        <f t="shared" si="4"/>
        <v/>
      </c>
      <c r="I278" s="69"/>
      <c r="J278" s="69"/>
    </row>
    <row r="279" spans="1:10" x14ac:dyDescent="0.3">
      <c r="A279" s="69"/>
      <c r="B279" s="69"/>
      <c r="C279" s="69"/>
      <c r="D279" s="69"/>
      <c r="E279" s="68"/>
      <c r="F279" s="73"/>
      <c r="G279" s="73"/>
      <c r="H279" s="78" t="str">
        <f t="shared" si="4"/>
        <v/>
      </c>
      <c r="I279" s="69"/>
      <c r="J279" s="69"/>
    </row>
    <row r="280" spans="1:10" x14ac:dyDescent="0.3">
      <c r="A280" s="69"/>
      <c r="B280" s="69"/>
      <c r="C280" s="69"/>
      <c r="D280" s="69"/>
      <c r="E280" s="68"/>
      <c r="F280" s="73"/>
      <c r="G280" s="73"/>
      <c r="H280" s="78" t="str">
        <f t="shared" si="4"/>
        <v/>
      </c>
      <c r="I280" s="69"/>
      <c r="J280" s="69"/>
    </row>
    <row r="281" spans="1:10" x14ac:dyDescent="0.3">
      <c r="A281" s="69"/>
      <c r="B281" s="69"/>
      <c r="C281" s="69"/>
      <c r="D281" s="69"/>
      <c r="E281" s="68"/>
      <c r="F281" s="73"/>
      <c r="G281" s="73"/>
      <c r="H281" s="78" t="str">
        <f t="shared" si="4"/>
        <v/>
      </c>
      <c r="I281" s="69"/>
      <c r="J281" s="69"/>
    </row>
    <row r="282" spans="1:10" x14ac:dyDescent="0.3">
      <c r="A282" s="69"/>
      <c r="B282" s="69"/>
      <c r="C282" s="69"/>
      <c r="D282" s="69"/>
      <c r="E282" s="68"/>
      <c r="F282" s="73"/>
      <c r="G282" s="73"/>
      <c r="H282" s="78" t="str">
        <f t="shared" si="4"/>
        <v/>
      </c>
      <c r="I282" s="69"/>
      <c r="J282" s="69"/>
    </row>
    <row r="283" spans="1:10" x14ac:dyDescent="0.3">
      <c r="A283" s="69"/>
      <c r="B283" s="69"/>
      <c r="C283" s="69"/>
      <c r="D283" s="69"/>
      <c r="E283" s="68"/>
      <c r="F283" s="73"/>
      <c r="G283" s="73"/>
      <c r="H283" s="78" t="str">
        <f t="shared" si="4"/>
        <v/>
      </c>
      <c r="I283" s="69"/>
      <c r="J283" s="69"/>
    </row>
    <row r="284" spans="1:10" x14ac:dyDescent="0.3">
      <c r="A284" s="69"/>
      <c r="B284" s="69"/>
      <c r="C284" s="69"/>
      <c r="D284" s="69"/>
      <c r="E284" s="68"/>
      <c r="F284" s="73"/>
      <c r="G284" s="73"/>
      <c r="H284" s="78" t="str">
        <f t="shared" si="4"/>
        <v/>
      </c>
      <c r="I284" s="69"/>
      <c r="J284" s="69"/>
    </row>
    <row r="285" spans="1:10" x14ac:dyDescent="0.3">
      <c r="A285" s="69"/>
      <c r="B285" s="69"/>
      <c r="C285" s="69"/>
      <c r="D285" s="69"/>
      <c r="E285" s="68"/>
      <c r="F285" s="73"/>
      <c r="G285" s="73"/>
      <c r="H285" s="78" t="str">
        <f t="shared" si="4"/>
        <v/>
      </c>
      <c r="I285" s="69"/>
      <c r="J285" s="69"/>
    </row>
    <row r="286" spans="1:10" x14ac:dyDescent="0.3">
      <c r="A286" s="69"/>
      <c r="B286" s="69"/>
      <c r="C286" s="69"/>
      <c r="D286" s="69"/>
      <c r="E286" s="68"/>
      <c r="F286" s="73"/>
      <c r="G286" s="73"/>
      <c r="H286" s="78" t="str">
        <f t="shared" si="4"/>
        <v/>
      </c>
      <c r="I286" s="69"/>
      <c r="J286" s="69"/>
    </row>
    <row r="287" spans="1:10" x14ac:dyDescent="0.3">
      <c r="A287" s="69"/>
      <c r="B287" s="69"/>
      <c r="C287" s="69"/>
      <c r="D287" s="69"/>
      <c r="E287" s="68"/>
      <c r="F287" s="73"/>
      <c r="G287" s="73"/>
      <c r="H287" s="78" t="str">
        <f t="shared" si="4"/>
        <v/>
      </c>
      <c r="I287" s="69"/>
      <c r="J287" s="69"/>
    </row>
    <row r="288" spans="1:10" x14ac:dyDescent="0.3">
      <c r="A288" s="69"/>
      <c r="B288" s="69"/>
      <c r="C288" s="69"/>
      <c r="D288" s="69"/>
      <c r="E288" s="68"/>
      <c r="F288" s="73"/>
      <c r="G288" s="73"/>
      <c r="H288" s="78" t="str">
        <f t="shared" si="4"/>
        <v/>
      </c>
      <c r="I288" s="69"/>
      <c r="J288" s="69"/>
    </row>
    <row r="289" spans="1:10" x14ac:dyDescent="0.3">
      <c r="A289" s="69"/>
      <c r="B289" s="69"/>
      <c r="C289" s="69"/>
      <c r="D289" s="69"/>
      <c r="E289" s="68"/>
      <c r="F289" s="73"/>
      <c r="G289" s="73"/>
      <c r="H289" s="78" t="str">
        <f t="shared" si="4"/>
        <v/>
      </c>
      <c r="I289" s="69"/>
      <c r="J289" s="69"/>
    </row>
    <row r="290" spans="1:10" x14ac:dyDescent="0.3">
      <c r="A290" s="69"/>
      <c r="B290" s="69"/>
      <c r="C290" s="69"/>
      <c r="D290" s="69"/>
      <c r="E290" s="68"/>
      <c r="F290" s="73"/>
      <c r="G290" s="73"/>
      <c r="H290" s="78" t="str">
        <f t="shared" si="4"/>
        <v/>
      </c>
      <c r="I290" s="69"/>
      <c r="J290" s="69"/>
    </row>
    <row r="291" spans="1:10" x14ac:dyDescent="0.3">
      <c r="A291" s="69"/>
      <c r="B291" s="69"/>
      <c r="C291" s="69"/>
      <c r="D291" s="69"/>
      <c r="E291" s="68"/>
      <c r="F291" s="73"/>
      <c r="G291" s="73"/>
      <c r="H291" s="78" t="str">
        <f t="shared" si="4"/>
        <v/>
      </c>
      <c r="I291" s="69"/>
      <c r="J291" s="69"/>
    </row>
    <row r="292" spans="1:10" x14ac:dyDescent="0.3">
      <c r="A292" s="69"/>
      <c r="B292" s="69"/>
      <c r="C292" s="69"/>
      <c r="D292" s="69"/>
      <c r="E292" s="68"/>
      <c r="F292" s="73"/>
      <c r="G292" s="73"/>
      <c r="H292" s="78" t="str">
        <f t="shared" si="4"/>
        <v/>
      </c>
      <c r="I292" s="69"/>
      <c r="J292" s="69"/>
    </row>
    <row r="293" spans="1:10" x14ac:dyDescent="0.3">
      <c r="A293" s="69"/>
      <c r="B293" s="69"/>
      <c r="C293" s="69"/>
      <c r="D293" s="69"/>
      <c r="E293" s="68"/>
      <c r="F293" s="73"/>
      <c r="G293" s="73"/>
      <c r="H293" s="78" t="str">
        <f t="shared" si="4"/>
        <v/>
      </c>
      <c r="I293" s="69"/>
      <c r="J293" s="69"/>
    </row>
    <row r="294" spans="1:10" x14ac:dyDescent="0.3">
      <c r="A294" s="69"/>
      <c r="B294" s="69"/>
      <c r="C294" s="69"/>
      <c r="D294" s="69"/>
      <c r="E294" s="68"/>
      <c r="F294" s="73"/>
      <c r="G294" s="73"/>
      <c r="H294" s="78" t="str">
        <f t="shared" si="4"/>
        <v/>
      </c>
      <c r="I294" s="69"/>
      <c r="J294" s="69"/>
    </row>
    <row r="295" spans="1:10" x14ac:dyDescent="0.3">
      <c r="A295" s="69"/>
      <c r="B295" s="69"/>
      <c r="C295" s="69"/>
      <c r="D295" s="69"/>
      <c r="E295" s="68"/>
      <c r="F295" s="73"/>
      <c r="G295" s="73"/>
      <c r="H295" s="78" t="str">
        <f t="shared" si="4"/>
        <v/>
      </c>
      <c r="I295" s="69"/>
      <c r="J295" s="69"/>
    </row>
    <row r="296" spans="1:10" x14ac:dyDescent="0.3">
      <c r="A296" s="69"/>
      <c r="B296" s="69"/>
      <c r="C296" s="69"/>
      <c r="D296" s="69"/>
      <c r="E296" s="68"/>
      <c r="F296" s="73"/>
      <c r="G296" s="73"/>
      <c r="H296" s="78" t="str">
        <f t="shared" si="4"/>
        <v/>
      </c>
      <c r="I296" s="69"/>
      <c r="J296" s="69"/>
    </row>
    <row r="297" spans="1:10" x14ac:dyDescent="0.3">
      <c r="A297" s="69"/>
      <c r="B297" s="69"/>
      <c r="C297" s="69"/>
      <c r="D297" s="69"/>
      <c r="E297" s="68"/>
      <c r="F297" s="73"/>
      <c r="G297" s="73"/>
      <c r="H297" s="78" t="str">
        <f t="shared" si="4"/>
        <v/>
      </c>
      <c r="I297" s="69"/>
      <c r="J297" s="69"/>
    </row>
    <row r="298" spans="1:10" x14ac:dyDescent="0.3">
      <c r="A298" s="69"/>
      <c r="B298" s="69"/>
      <c r="C298" s="69"/>
      <c r="D298" s="69"/>
      <c r="E298" s="68"/>
      <c r="F298" s="73"/>
      <c r="G298" s="73"/>
      <c r="H298" s="78" t="str">
        <f t="shared" si="4"/>
        <v/>
      </c>
      <c r="I298" s="69"/>
      <c r="J298" s="69"/>
    </row>
    <row r="299" spans="1:10" x14ac:dyDescent="0.3">
      <c r="A299" s="69"/>
      <c r="B299" s="69"/>
      <c r="C299" s="69"/>
      <c r="D299" s="69"/>
      <c r="E299" s="68"/>
      <c r="F299" s="73"/>
      <c r="G299" s="73"/>
      <c r="H299" s="78" t="str">
        <f t="shared" si="4"/>
        <v/>
      </c>
      <c r="I299" s="69"/>
      <c r="J299" s="69"/>
    </row>
    <row r="300" spans="1:10" x14ac:dyDescent="0.3">
      <c r="A300" s="69"/>
      <c r="B300" s="69"/>
      <c r="C300" s="69"/>
      <c r="D300" s="69"/>
      <c r="E300" s="68"/>
      <c r="F300" s="73"/>
      <c r="G300" s="73"/>
      <c r="H300" s="78" t="str">
        <f t="shared" si="4"/>
        <v/>
      </c>
      <c r="I300" s="69"/>
      <c r="J300" s="69"/>
    </row>
    <row r="301" spans="1:10" x14ac:dyDescent="0.3">
      <c r="A301" s="69"/>
      <c r="B301" s="69"/>
      <c r="C301" s="69"/>
      <c r="D301" s="69"/>
      <c r="E301" s="68"/>
      <c r="F301" s="73"/>
      <c r="G301" s="73"/>
      <c r="H301" s="78" t="str">
        <f t="shared" si="4"/>
        <v/>
      </c>
      <c r="I301" s="69"/>
      <c r="J301" s="69"/>
    </row>
    <row r="302" spans="1:10" x14ac:dyDescent="0.3">
      <c r="A302" s="69"/>
      <c r="B302" s="69"/>
      <c r="C302" s="69"/>
      <c r="D302" s="69"/>
      <c r="E302" s="68"/>
      <c r="F302" s="73"/>
      <c r="G302" s="73"/>
      <c r="H302" s="78" t="str">
        <f t="shared" si="4"/>
        <v/>
      </c>
      <c r="I302" s="69"/>
      <c r="J302" s="69"/>
    </row>
    <row r="303" spans="1:10" x14ac:dyDescent="0.3">
      <c r="A303" s="69"/>
      <c r="B303" s="69"/>
      <c r="C303" s="69"/>
      <c r="D303" s="69"/>
      <c r="E303" s="68"/>
      <c r="F303" s="73"/>
      <c r="G303" s="73"/>
      <c r="H303" s="78" t="str">
        <f t="shared" si="4"/>
        <v/>
      </c>
      <c r="I303" s="69"/>
      <c r="J303" s="69"/>
    </row>
    <row r="304" spans="1:10" x14ac:dyDescent="0.3">
      <c r="A304" s="69"/>
      <c r="B304" s="69"/>
      <c r="C304" s="69"/>
      <c r="D304" s="69"/>
      <c r="E304" s="68"/>
      <c r="F304" s="73"/>
      <c r="G304" s="73"/>
      <c r="H304" s="78" t="str">
        <f t="shared" si="4"/>
        <v/>
      </c>
      <c r="I304" s="69"/>
      <c r="J304" s="69"/>
    </row>
    <row r="305" spans="1:10" x14ac:dyDescent="0.3">
      <c r="A305" s="69"/>
      <c r="B305" s="69"/>
      <c r="C305" s="69"/>
      <c r="D305" s="69"/>
      <c r="E305" s="68"/>
      <c r="F305" s="73"/>
      <c r="G305" s="73"/>
      <c r="H305" s="78" t="str">
        <f t="shared" si="4"/>
        <v/>
      </c>
      <c r="I305" s="69"/>
      <c r="J305" s="69"/>
    </row>
    <row r="306" spans="1:10" x14ac:dyDescent="0.3">
      <c r="A306" s="69"/>
      <c r="B306" s="69"/>
      <c r="C306" s="69"/>
      <c r="D306" s="69"/>
      <c r="E306" s="68"/>
      <c r="F306" s="73"/>
      <c r="G306" s="73"/>
      <c r="H306" s="78" t="str">
        <f t="shared" si="4"/>
        <v/>
      </c>
      <c r="I306" s="69"/>
      <c r="J306" s="69"/>
    </row>
    <row r="307" spans="1:10" x14ac:dyDescent="0.3">
      <c r="A307" s="69"/>
      <c r="B307" s="69"/>
      <c r="C307" s="69"/>
      <c r="D307" s="69"/>
      <c r="E307" s="68"/>
      <c r="F307" s="73"/>
      <c r="G307" s="73"/>
      <c r="H307" s="78" t="str">
        <f t="shared" si="4"/>
        <v/>
      </c>
      <c r="I307" s="69"/>
      <c r="J307" s="69"/>
    </row>
    <row r="308" spans="1:10" x14ac:dyDescent="0.3">
      <c r="A308" s="69"/>
      <c r="B308" s="69"/>
      <c r="C308" s="69"/>
      <c r="D308" s="69"/>
      <c r="E308" s="68"/>
      <c r="F308" s="73"/>
      <c r="G308" s="73"/>
      <c r="H308" s="78" t="str">
        <f t="shared" si="4"/>
        <v/>
      </c>
      <c r="I308" s="69"/>
      <c r="J308" s="69"/>
    </row>
    <row r="309" spans="1:10" x14ac:dyDescent="0.3">
      <c r="A309" s="69"/>
      <c r="B309" s="69"/>
      <c r="C309" s="69"/>
      <c r="D309" s="69"/>
      <c r="E309" s="68"/>
      <c r="F309" s="73"/>
      <c r="G309" s="73"/>
      <c r="H309" s="78" t="str">
        <f t="shared" si="4"/>
        <v/>
      </c>
      <c r="I309" s="69"/>
      <c r="J309" s="69"/>
    </row>
    <row r="310" spans="1:10" x14ac:dyDescent="0.3">
      <c r="A310" s="69"/>
      <c r="B310" s="69"/>
      <c r="C310" s="69"/>
      <c r="D310" s="69"/>
      <c r="E310" s="68"/>
      <c r="F310" s="73"/>
      <c r="G310" s="73"/>
      <c r="H310" s="78" t="str">
        <f t="shared" si="4"/>
        <v/>
      </c>
      <c r="I310" s="69"/>
      <c r="J310" s="69"/>
    </row>
    <row r="311" spans="1:10" x14ac:dyDescent="0.3">
      <c r="A311" s="69"/>
      <c r="B311" s="69"/>
      <c r="C311" s="69"/>
      <c r="D311" s="69"/>
      <c r="E311" s="68"/>
      <c r="F311" s="73"/>
      <c r="G311" s="73"/>
      <c r="H311" s="78" t="str">
        <f t="shared" si="4"/>
        <v/>
      </c>
      <c r="I311" s="69"/>
      <c r="J311" s="69"/>
    </row>
    <row r="312" spans="1:10" x14ac:dyDescent="0.3">
      <c r="A312" s="69"/>
      <c r="B312" s="69"/>
      <c r="C312" s="69"/>
      <c r="D312" s="69"/>
      <c r="E312" s="68"/>
      <c r="F312" s="73"/>
      <c r="G312" s="73"/>
      <c r="H312" s="78" t="str">
        <f t="shared" si="4"/>
        <v/>
      </c>
      <c r="I312" s="69"/>
      <c r="J312" s="69"/>
    </row>
    <row r="313" spans="1:10" x14ac:dyDescent="0.3">
      <c r="A313" s="69"/>
      <c r="B313" s="69"/>
      <c r="C313" s="69"/>
      <c r="D313" s="69"/>
      <c r="E313" s="68"/>
      <c r="F313" s="73"/>
      <c r="G313" s="73"/>
      <c r="H313" s="78" t="str">
        <f t="shared" si="4"/>
        <v/>
      </c>
      <c r="I313" s="69"/>
      <c r="J313" s="69"/>
    </row>
    <row r="314" spans="1:10" x14ac:dyDescent="0.3">
      <c r="A314" s="69"/>
      <c r="B314" s="69"/>
      <c r="C314" s="69"/>
      <c r="D314" s="69"/>
      <c r="E314" s="68"/>
      <c r="F314" s="73"/>
      <c r="G314" s="73"/>
      <c r="H314" s="78" t="str">
        <f t="shared" si="4"/>
        <v/>
      </c>
      <c r="I314" s="69"/>
      <c r="J314" s="69"/>
    </row>
    <row r="315" spans="1:10" x14ac:dyDescent="0.3">
      <c r="A315" s="69"/>
      <c r="B315" s="69"/>
      <c r="C315" s="69"/>
      <c r="D315" s="69"/>
      <c r="E315" s="68"/>
      <c r="F315" s="73"/>
      <c r="G315" s="73"/>
      <c r="H315" s="78" t="str">
        <f t="shared" si="4"/>
        <v/>
      </c>
      <c r="I315" s="69"/>
      <c r="J315" s="69"/>
    </row>
    <row r="316" spans="1:10" x14ac:dyDescent="0.3">
      <c r="A316" s="69"/>
      <c r="B316" s="69"/>
      <c r="C316" s="69"/>
      <c r="D316" s="69"/>
      <c r="E316" s="68"/>
      <c r="F316" s="73"/>
      <c r="G316" s="73"/>
      <c r="H316" s="78" t="str">
        <f t="shared" si="4"/>
        <v/>
      </c>
      <c r="I316" s="69"/>
      <c r="J316" s="69"/>
    </row>
    <row r="317" spans="1:10" x14ac:dyDescent="0.3">
      <c r="A317" s="69"/>
      <c r="B317" s="69"/>
      <c r="C317" s="69"/>
      <c r="D317" s="69"/>
      <c r="E317" s="68"/>
      <c r="F317" s="73"/>
      <c r="G317" s="73"/>
      <c r="H317" s="78" t="str">
        <f t="shared" si="4"/>
        <v/>
      </c>
      <c r="I317" s="69"/>
      <c r="J317" s="69"/>
    </row>
    <row r="318" spans="1:10" x14ac:dyDescent="0.3">
      <c r="A318" s="69"/>
      <c r="B318" s="69"/>
      <c r="C318" s="69"/>
      <c r="D318" s="69"/>
      <c r="E318" s="68"/>
      <c r="F318" s="73"/>
      <c r="G318" s="73"/>
      <c r="H318" s="78" t="str">
        <f t="shared" si="4"/>
        <v/>
      </c>
      <c r="I318" s="69"/>
      <c r="J318" s="69"/>
    </row>
    <row r="319" spans="1:10" x14ac:dyDescent="0.3">
      <c r="A319" s="69"/>
      <c r="B319" s="69"/>
      <c r="C319" s="69"/>
      <c r="D319" s="69"/>
      <c r="E319" s="68"/>
      <c r="F319" s="73"/>
      <c r="G319" s="73"/>
      <c r="H319" s="78" t="str">
        <f t="shared" si="4"/>
        <v/>
      </c>
      <c r="I319" s="69"/>
      <c r="J319" s="69"/>
    </row>
    <row r="320" spans="1:10" x14ac:dyDescent="0.3">
      <c r="A320" s="69"/>
      <c r="B320" s="69"/>
      <c r="C320" s="69"/>
      <c r="D320" s="69"/>
      <c r="E320" s="68"/>
      <c r="F320" s="73"/>
      <c r="G320" s="73"/>
      <c r="H320" s="78" t="str">
        <f t="shared" si="4"/>
        <v/>
      </c>
      <c r="I320" s="69"/>
      <c r="J320" s="69"/>
    </row>
    <row r="321" spans="1:10" x14ac:dyDescent="0.3">
      <c r="A321" s="69"/>
      <c r="B321" s="69"/>
      <c r="C321" s="69"/>
      <c r="D321" s="69"/>
      <c r="E321" s="68"/>
      <c r="F321" s="73"/>
      <c r="G321" s="73"/>
      <c r="H321" s="78" t="str">
        <f t="shared" si="4"/>
        <v/>
      </c>
      <c r="I321" s="69"/>
      <c r="J321" s="69"/>
    </row>
    <row r="322" spans="1:10" x14ac:dyDescent="0.3">
      <c r="A322" s="69"/>
      <c r="B322" s="69"/>
      <c r="C322" s="69"/>
      <c r="D322" s="69"/>
      <c r="E322" s="68"/>
      <c r="F322" s="73"/>
      <c r="G322" s="73"/>
      <c r="H322" s="78" t="str">
        <f t="shared" si="4"/>
        <v/>
      </c>
      <c r="I322" s="69"/>
      <c r="J322" s="69"/>
    </row>
    <row r="323" spans="1:10" x14ac:dyDescent="0.3">
      <c r="A323" s="69"/>
      <c r="B323" s="69"/>
      <c r="C323" s="69"/>
      <c r="D323" s="69"/>
      <c r="E323" s="68"/>
      <c r="F323" s="73"/>
      <c r="G323" s="73"/>
      <c r="H323" s="78" t="str">
        <f t="shared" si="4"/>
        <v/>
      </c>
      <c r="I323" s="69"/>
      <c r="J323" s="69"/>
    </row>
    <row r="324" spans="1:10" x14ac:dyDescent="0.3">
      <c r="A324" s="69"/>
      <c r="B324" s="69"/>
      <c r="C324" s="69"/>
      <c r="D324" s="69"/>
      <c r="E324" s="68"/>
      <c r="F324" s="73"/>
      <c r="G324" s="73"/>
      <c r="H324" s="78" t="str">
        <f t="shared" si="4"/>
        <v/>
      </c>
      <c r="I324" s="69"/>
      <c r="J324" s="69"/>
    </row>
    <row r="325" spans="1:10" x14ac:dyDescent="0.3">
      <c r="A325" s="69"/>
      <c r="B325" s="69"/>
      <c r="C325" s="69"/>
      <c r="D325" s="69"/>
      <c r="E325" s="68"/>
      <c r="F325" s="73"/>
      <c r="G325" s="73"/>
      <c r="H325" s="78" t="str">
        <f t="shared" ref="H325:H388" si="5">IF(OR(F325="",F325=0,G325=""),"",G325/F325)</f>
        <v/>
      </c>
      <c r="I325" s="69"/>
      <c r="J325" s="69"/>
    </row>
    <row r="326" spans="1:10" x14ac:dyDescent="0.3">
      <c r="A326" s="69"/>
      <c r="B326" s="69"/>
      <c r="C326" s="69"/>
      <c r="D326" s="69"/>
      <c r="E326" s="68"/>
      <c r="F326" s="73"/>
      <c r="G326" s="73"/>
      <c r="H326" s="78" t="str">
        <f t="shared" si="5"/>
        <v/>
      </c>
      <c r="I326" s="69"/>
      <c r="J326" s="69"/>
    </row>
    <row r="327" spans="1:10" x14ac:dyDescent="0.3">
      <c r="A327" s="69"/>
      <c r="B327" s="69"/>
      <c r="C327" s="69"/>
      <c r="D327" s="69"/>
      <c r="E327" s="68"/>
      <c r="F327" s="73"/>
      <c r="G327" s="73"/>
      <c r="H327" s="78" t="str">
        <f t="shared" si="5"/>
        <v/>
      </c>
      <c r="I327" s="69"/>
      <c r="J327" s="69"/>
    </row>
    <row r="328" spans="1:10" x14ac:dyDescent="0.3">
      <c r="A328" s="69"/>
      <c r="B328" s="69"/>
      <c r="C328" s="69"/>
      <c r="D328" s="69"/>
      <c r="E328" s="68"/>
      <c r="F328" s="73"/>
      <c r="G328" s="73"/>
      <c r="H328" s="78" t="str">
        <f t="shared" si="5"/>
        <v/>
      </c>
      <c r="I328" s="69"/>
      <c r="J328" s="69"/>
    </row>
    <row r="329" spans="1:10" x14ac:dyDescent="0.3">
      <c r="A329" s="69"/>
      <c r="B329" s="69"/>
      <c r="C329" s="69"/>
      <c r="D329" s="69"/>
      <c r="E329" s="68"/>
      <c r="F329" s="73"/>
      <c r="G329" s="73"/>
      <c r="H329" s="78" t="str">
        <f t="shared" si="5"/>
        <v/>
      </c>
      <c r="I329" s="69"/>
      <c r="J329" s="69"/>
    </row>
    <row r="330" spans="1:10" x14ac:dyDescent="0.3">
      <c r="A330" s="69"/>
      <c r="B330" s="69"/>
      <c r="C330" s="69"/>
      <c r="D330" s="69"/>
      <c r="E330" s="68"/>
      <c r="F330" s="73"/>
      <c r="G330" s="73"/>
      <c r="H330" s="78" t="str">
        <f t="shared" si="5"/>
        <v/>
      </c>
      <c r="I330" s="69"/>
      <c r="J330" s="69"/>
    </row>
    <row r="331" spans="1:10" x14ac:dyDescent="0.3">
      <c r="A331" s="69"/>
      <c r="B331" s="69"/>
      <c r="C331" s="69"/>
      <c r="D331" s="69"/>
      <c r="E331" s="68"/>
      <c r="F331" s="73"/>
      <c r="G331" s="73"/>
      <c r="H331" s="78" t="str">
        <f t="shared" si="5"/>
        <v/>
      </c>
      <c r="I331" s="69"/>
      <c r="J331" s="69"/>
    </row>
    <row r="332" spans="1:10" x14ac:dyDescent="0.3">
      <c r="A332" s="69"/>
      <c r="B332" s="69"/>
      <c r="C332" s="69"/>
      <c r="D332" s="69"/>
      <c r="E332" s="68"/>
      <c r="F332" s="73"/>
      <c r="G332" s="73"/>
      <c r="H332" s="78" t="str">
        <f t="shared" si="5"/>
        <v/>
      </c>
      <c r="I332" s="69"/>
      <c r="J332" s="69"/>
    </row>
    <row r="333" spans="1:10" x14ac:dyDescent="0.3">
      <c r="A333" s="69"/>
      <c r="B333" s="69"/>
      <c r="C333" s="69"/>
      <c r="D333" s="69"/>
      <c r="E333" s="68"/>
      <c r="F333" s="73"/>
      <c r="G333" s="73"/>
      <c r="H333" s="78" t="str">
        <f t="shared" si="5"/>
        <v/>
      </c>
      <c r="I333" s="69"/>
      <c r="J333" s="69"/>
    </row>
    <row r="334" spans="1:10" x14ac:dyDescent="0.3">
      <c r="A334" s="69"/>
      <c r="B334" s="69"/>
      <c r="C334" s="69"/>
      <c r="D334" s="69"/>
      <c r="E334" s="68"/>
      <c r="F334" s="73"/>
      <c r="G334" s="73"/>
      <c r="H334" s="78" t="str">
        <f t="shared" si="5"/>
        <v/>
      </c>
      <c r="I334" s="69"/>
      <c r="J334" s="69"/>
    </row>
    <row r="335" spans="1:10" x14ac:dyDescent="0.3">
      <c r="A335" s="69"/>
      <c r="B335" s="69"/>
      <c r="C335" s="69"/>
      <c r="D335" s="69"/>
      <c r="E335" s="68"/>
      <c r="F335" s="73"/>
      <c r="G335" s="73"/>
      <c r="H335" s="78" t="str">
        <f t="shared" si="5"/>
        <v/>
      </c>
      <c r="I335" s="69"/>
      <c r="J335" s="69"/>
    </row>
    <row r="336" spans="1:10" x14ac:dyDescent="0.3">
      <c r="A336" s="69"/>
      <c r="B336" s="69"/>
      <c r="C336" s="69"/>
      <c r="D336" s="69"/>
      <c r="E336" s="68"/>
      <c r="F336" s="73"/>
      <c r="G336" s="73"/>
      <c r="H336" s="78" t="str">
        <f t="shared" si="5"/>
        <v/>
      </c>
      <c r="I336" s="69"/>
      <c r="J336" s="69"/>
    </row>
    <row r="337" spans="1:10" x14ac:dyDescent="0.3">
      <c r="A337" s="69"/>
      <c r="B337" s="69"/>
      <c r="C337" s="69"/>
      <c r="D337" s="69"/>
      <c r="E337" s="68"/>
      <c r="F337" s="73"/>
      <c r="G337" s="73"/>
      <c r="H337" s="78" t="str">
        <f t="shared" si="5"/>
        <v/>
      </c>
      <c r="I337" s="69"/>
      <c r="J337" s="69"/>
    </row>
    <row r="338" spans="1:10" x14ac:dyDescent="0.3">
      <c r="A338" s="69"/>
      <c r="B338" s="69"/>
      <c r="C338" s="69"/>
      <c r="D338" s="69"/>
      <c r="E338" s="68"/>
      <c r="F338" s="73"/>
      <c r="G338" s="73"/>
      <c r="H338" s="78" t="str">
        <f t="shared" si="5"/>
        <v/>
      </c>
      <c r="I338" s="69"/>
      <c r="J338" s="69"/>
    </row>
    <row r="339" spans="1:10" x14ac:dyDescent="0.3">
      <c r="A339" s="69"/>
      <c r="B339" s="69"/>
      <c r="C339" s="69"/>
      <c r="D339" s="69"/>
      <c r="E339" s="68"/>
      <c r="F339" s="73"/>
      <c r="G339" s="73"/>
      <c r="H339" s="78" t="str">
        <f t="shared" si="5"/>
        <v/>
      </c>
      <c r="I339" s="69"/>
      <c r="J339" s="69"/>
    </row>
    <row r="340" spans="1:10" x14ac:dyDescent="0.3">
      <c r="A340" s="69"/>
      <c r="B340" s="69"/>
      <c r="C340" s="69"/>
      <c r="D340" s="69"/>
      <c r="E340" s="68"/>
      <c r="F340" s="73"/>
      <c r="G340" s="73"/>
      <c r="H340" s="78" t="str">
        <f t="shared" si="5"/>
        <v/>
      </c>
      <c r="I340" s="69"/>
      <c r="J340" s="69"/>
    </row>
    <row r="341" spans="1:10" x14ac:dyDescent="0.3">
      <c r="A341" s="69"/>
      <c r="B341" s="69"/>
      <c r="C341" s="69"/>
      <c r="D341" s="69"/>
      <c r="E341" s="68"/>
      <c r="F341" s="73"/>
      <c r="G341" s="73"/>
      <c r="H341" s="78" t="str">
        <f t="shared" si="5"/>
        <v/>
      </c>
      <c r="I341" s="69"/>
      <c r="J341" s="69"/>
    </row>
    <row r="342" spans="1:10" x14ac:dyDescent="0.3">
      <c r="A342" s="69"/>
      <c r="B342" s="69"/>
      <c r="C342" s="69"/>
      <c r="D342" s="69"/>
      <c r="E342" s="68"/>
      <c r="F342" s="73"/>
      <c r="G342" s="73"/>
      <c r="H342" s="78" t="str">
        <f t="shared" si="5"/>
        <v/>
      </c>
      <c r="I342" s="69"/>
      <c r="J342" s="69"/>
    </row>
    <row r="343" spans="1:10" x14ac:dyDescent="0.3">
      <c r="A343" s="69"/>
      <c r="B343" s="69"/>
      <c r="C343" s="69"/>
      <c r="D343" s="69"/>
      <c r="E343" s="68"/>
      <c r="F343" s="73"/>
      <c r="G343" s="73"/>
      <c r="H343" s="78" t="str">
        <f t="shared" si="5"/>
        <v/>
      </c>
      <c r="I343" s="69"/>
      <c r="J343" s="69"/>
    </row>
    <row r="344" spans="1:10" x14ac:dyDescent="0.3">
      <c r="A344" s="69"/>
      <c r="B344" s="69"/>
      <c r="C344" s="69"/>
      <c r="D344" s="69"/>
      <c r="E344" s="68"/>
      <c r="F344" s="73"/>
      <c r="G344" s="73"/>
      <c r="H344" s="78" t="str">
        <f t="shared" si="5"/>
        <v/>
      </c>
      <c r="I344" s="69"/>
      <c r="J344" s="69"/>
    </row>
    <row r="345" spans="1:10" x14ac:dyDescent="0.3">
      <c r="A345" s="69"/>
      <c r="B345" s="69"/>
      <c r="C345" s="69"/>
      <c r="D345" s="69"/>
      <c r="E345" s="68"/>
      <c r="F345" s="73"/>
      <c r="G345" s="73"/>
      <c r="H345" s="78" t="str">
        <f t="shared" si="5"/>
        <v/>
      </c>
      <c r="I345" s="69"/>
      <c r="J345" s="69"/>
    </row>
    <row r="346" spans="1:10" x14ac:dyDescent="0.3">
      <c r="A346" s="69"/>
      <c r="B346" s="69"/>
      <c r="C346" s="69"/>
      <c r="D346" s="69"/>
      <c r="E346" s="68"/>
      <c r="F346" s="73"/>
      <c r="G346" s="73"/>
      <c r="H346" s="78" t="str">
        <f t="shared" si="5"/>
        <v/>
      </c>
      <c r="I346" s="69"/>
      <c r="J346" s="69"/>
    </row>
    <row r="347" spans="1:10" x14ac:dyDescent="0.3">
      <c r="A347" s="69"/>
      <c r="B347" s="69"/>
      <c r="C347" s="69"/>
      <c r="D347" s="69"/>
      <c r="E347" s="68"/>
      <c r="F347" s="73"/>
      <c r="G347" s="73"/>
      <c r="H347" s="78" t="str">
        <f t="shared" si="5"/>
        <v/>
      </c>
      <c r="I347" s="69"/>
      <c r="J347" s="69"/>
    </row>
    <row r="348" spans="1:10" x14ac:dyDescent="0.3">
      <c r="A348" s="69"/>
      <c r="B348" s="69"/>
      <c r="C348" s="69"/>
      <c r="D348" s="69"/>
      <c r="E348" s="68"/>
      <c r="F348" s="73"/>
      <c r="G348" s="73"/>
      <c r="H348" s="78" t="str">
        <f t="shared" si="5"/>
        <v/>
      </c>
      <c r="I348" s="69"/>
      <c r="J348" s="69"/>
    </row>
    <row r="349" spans="1:10" x14ac:dyDescent="0.3">
      <c r="A349" s="69"/>
      <c r="B349" s="69"/>
      <c r="C349" s="69"/>
      <c r="D349" s="69"/>
      <c r="E349" s="68"/>
      <c r="F349" s="73"/>
      <c r="G349" s="73"/>
      <c r="H349" s="78" t="str">
        <f t="shared" si="5"/>
        <v/>
      </c>
      <c r="I349" s="69"/>
      <c r="J349" s="69"/>
    </row>
    <row r="350" spans="1:10" x14ac:dyDescent="0.3">
      <c r="A350" s="69"/>
      <c r="B350" s="69"/>
      <c r="C350" s="69"/>
      <c r="D350" s="69"/>
      <c r="E350" s="68"/>
      <c r="F350" s="73"/>
      <c r="G350" s="73"/>
      <c r="H350" s="78" t="str">
        <f t="shared" si="5"/>
        <v/>
      </c>
      <c r="I350" s="69"/>
      <c r="J350" s="69"/>
    </row>
    <row r="351" spans="1:10" x14ac:dyDescent="0.3">
      <c r="A351" s="69"/>
      <c r="B351" s="69"/>
      <c r="C351" s="69"/>
      <c r="D351" s="69"/>
      <c r="E351" s="68"/>
      <c r="F351" s="73"/>
      <c r="G351" s="73"/>
      <c r="H351" s="78" t="str">
        <f t="shared" si="5"/>
        <v/>
      </c>
      <c r="I351" s="69"/>
      <c r="J351" s="69"/>
    </row>
    <row r="352" spans="1:10" x14ac:dyDescent="0.3">
      <c r="A352" s="69"/>
      <c r="B352" s="69"/>
      <c r="C352" s="69"/>
      <c r="D352" s="69"/>
      <c r="E352" s="68"/>
      <c r="F352" s="73"/>
      <c r="G352" s="73"/>
      <c r="H352" s="78" t="str">
        <f t="shared" si="5"/>
        <v/>
      </c>
      <c r="I352" s="69"/>
      <c r="J352" s="69"/>
    </row>
    <row r="353" spans="1:10" x14ac:dyDescent="0.3">
      <c r="A353" s="69"/>
      <c r="B353" s="69"/>
      <c r="C353" s="69"/>
      <c r="D353" s="69"/>
      <c r="E353" s="68"/>
      <c r="F353" s="73"/>
      <c r="G353" s="73"/>
      <c r="H353" s="78" t="str">
        <f t="shared" si="5"/>
        <v/>
      </c>
      <c r="I353" s="69"/>
      <c r="J353" s="69"/>
    </row>
    <row r="354" spans="1:10" x14ac:dyDescent="0.3">
      <c r="A354" s="69"/>
      <c r="B354" s="69"/>
      <c r="C354" s="69"/>
      <c r="D354" s="69"/>
      <c r="E354" s="68"/>
      <c r="F354" s="73"/>
      <c r="G354" s="73"/>
      <c r="H354" s="78" t="str">
        <f t="shared" si="5"/>
        <v/>
      </c>
      <c r="I354" s="69"/>
      <c r="J354" s="69"/>
    </row>
    <row r="355" spans="1:10" x14ac:dyDescent="0.3">
      <c r="A355" s="69"/>
      <c r="B355" s="69"/>
      <c r="C355" s="69"/>
      <c r="D355" s="69"/>
      <c r="E355" s="68"/>
      <c r="F355" s="73"/>
      <c r="G355" s="73"/>
      <c r="H355" s="78" t="str">
        <f t="shared" si="5"/>
        <v/>
      </c>
      <c r="I355" s="69"/>
      <c r="J355" s="69"/>
    </row>
    <row r="356" spans="1:10" x14ac:dyDescent="0.3">
      <c r="A356" s="69"/>
      <c r="B356" s="69"/>
      <c r="C356" s="69"/>
      <c r="D356" s="69"/>
      <c r="E356" s="68"/>
      <c r="F356" s="73"/>
      <c r="G356" s="73"/>
      <c r="H356" s="78" t="str">
        <f t="shared" si="5"/>
        <v/>
      </c>
      <c r="I356" s="69"/>
      <c r="J356" s="69"/>
    </row>
    <row r="357" spans="1:10" x14ac:dyDescent="0.3">
      <c r="A357" s="69"/>
      <c r="B357" s="69"/>
      <c r="C357" s="69"/>
      <c r="D357" s="69"/>
      <c r="E357" s="68"/>
      <c r="F357" s="73"/>
      <c r="G357" s="73"/>
      <c r="H357" s="78" t="str">
        <f t="shared" si="5"/>
        <v/>
      </c>
      <c r="I357" s="69"/>
      <c r="J357" s="69"/>
    </row>
    <row r="358" spans="1:10" x14ac:dyDescent="0.3">
      <c r="A358" s="69"/>
      <c r="B358" s="69"/>
      <c r="C358" s="69"/>
      <c r="D358" s="69"/>
      <c r="E358" s="68"/>
      <c r="F358" s="73"/>
      <c r="G358" s="73"/>
      <c r="H358" s="78" t="str">
        <f t="shared" si="5"/>
        <v/>
      </c>
      <c r="I358" s="69"/>
      <c r="J358" s="69"/>
    </row>
    <row r="359" spans="1:10" x14ac:dyDescent="0.3">
      <c r="A359" s="69"/>
      <c r="B359" s="69"/>
      <c r="C359" s="69"/>
      <c r="D359" s="69"/>
      <c r="E359" s="68"/>
      <c r="F359" s="73"/>
      <c r="G359" s="73"/>
      <c r="H359" s="78" t="str">
        <f t="shared" si="5"/>
        <v/>
      </c>
      <c r="I359" s="69"/>
      <c r="J359" s="69"/>
    </row>
    <row r="360" spans="1:10" x14ac:dyDescent="0.3">
      <c r="A360" s="69"/>
      <c r="B360" s="69"/>
      <c r="C360" s="69"/>
      <c r="D360" s="69"/>
      <c r="E360" s="68"/>
      <c r="F360" s="73"/>
      <c r="G360" s="73"/>
      <c r="H360" s="78" t="str">
        <f t="shared" si="5"/>
        <v/>
      </c>
      <c r="I360" s="69"/>
      <c r="J360" s="69"/>
    </row>
    <row r="361" spans="1:10" x14ac:dyDescent="0.3">
      <c r="A361" s="69"/>
      <c r="B361" s="69"/>
      <c r="C361" s="69"/>
      <c r="D361" s="69"/>
      <c r="E361" s="68"/>
      <c r="F361" s="73"/>
      <c r="G361" s="73"/>
      <c r="H361" s="78" t="str">
        <f t="shared" si="5"/>
        <v/>
      </c>
      <c r="I361" s="69"/>
      <c r="J361" s="69"/>
    </row>
    <row r="362" spans="1:10" x14ac:dyDescent="0.3">
      <c r="A362" s="69"/>
      <c r="B362" s="69"/>
      <c r="C362" s="69"/>
      <c r="D362" s="69"/>
      <c r="E362" s="68"/>
      <c r="F362" s="73"/>
      <c r="G362" s="73"/>
      <c r="H362" s="78" t="str">
        <f t="shared" si="5"/>
        <v/>
      </c>
      <c r="I362" s="69"/>
      <c r="J362" s="69"/>
    </row>
    <row r="363" spans="1:10" x14ac:dyDescent="0.3">
      <c r="A363" s="69"/>
      <c r="B363" s="69"/>
      <c r="C363" s="69"/>
      <c r="D363" s="69"/>
      <c r="E363" s="68"/>
      <c r="F363" s="73"/>
      <c r="G363" s="73"/>
      <c r="H363" s="78" t="str">
        <f t="shared" si="5"/>
        <v/>
      </c>
      <c r="I363" s="69"/>
      <c r="J363" s="69"/>
    </row>
    <row r="364" spans="1:10" x14ac:dyDescent="0.3">
      <c r="A364" s="69"/>
      <c r="B364" s="69"/>
      <c r="C364" s="69"/>
      <c r="D364" s="69"/>
      <c r="E364" s="68"/>
      <c r="F364" s="73"/>
      <c r="G364" s="73"/>
      <c r="H364" s="78" t="str">
        <f t="shared" si="5"/>
        <v/>
      </c>
      <c r="I364" s="69"/>
      <c r="J364" s="69"/>
    </row>
    <row r="365" spans="1:10" x14ac:dyDescent="0.3">
      <c r="A365" s="69"/>
      <c r="B365" s="69"/>
      <c r="C365" s="69"/>
      <c r="D365" s="69"/>
      <c r="E365" s="68"/>
      <c r="F365" s="73"/>
      <c r="G365" s="73"/>
      <c r="H365" s="78" t="str">
        <f t="shared" si="5"/>
        <v/>
      </c>
      <c r="I365" s="69"/>
      <c r="J365" s="69"/>
    </row>
    <row r="366" spans="1:10" x14ac:dyDescent="0.3">
      <c r="A366" s="69"/>
      <c r="B366" s="69"/>
      <c r="C366" s="69"/>
      <c r="D366" s="69"/>
      <c r="E366" s="68"/>
      <c r="F366" s="73"/>
      <c r="G366" s="73"/>
      <c r="H366" s="78" t="str">
        <f t="shared" si="5"/>
        <v/>
      </c>
      <c r="I366" s="69"/>
      <c r="J366" s="69"/>
    </row>
    <row r="367" spans="1:10" x14ac:dyDescent="0.3">
      <c r="A367" s="69"/>
      <c r="B367" s="69"/>
      <c r="C367" s="69"/>
      <c r="D367" s="69"/>
      <c r="E367" s="68"/>
      <c r="F367" s="73"/>
      <c r="G367" s="73"/>
      <c r="H367" s="78" t="str">
        <f t="shared" si="5"/>
        <v/>
      </c>
      <c r="I367" s="69"/>
      <c r="J367" s="69"/>
    </row>
    <row r="368" spans="1:10" x14ac:dyDescent="0.3">
      <c r="A368" s="69"/>
      <c r="B368" s="69"/>
      <c r="C368" s="69"/>
      <c r="D368" s="69"/>
      <c r="E368" s="68"/>
      <c r="F368" s="73"/>
      <c r="G368" s="73"/>
      <c r="H368" s="78" t="str">
        <f t="shared" si="5"/>
        <v/>
      </c>
      <c r="I368" s="69"/>
      <c r="J368" s="69"/>
    </row>
    <row r="369" spans="1:10" x14ac:dyDescent="0.3">
      <c r="A369" s="69"/>
      <c r="B369" s="69"/>
      <c r="C369" s="69"/>
      <c r="D369" s="69"/>
      <c r="E369" s="68"/>
      <c r="F369" s="73"/>
      <c r="G369" s="73"/>
      <c r="H369" s="78" t="str">
        <f t="shared" si="5"/>
        <v/>
      </c>
      <c r="I369" s="69"/>
      <c r="J369" s="69"/>
    </row>
    <row r="370" spans="1:10" x14ac:dyDescent="0.3">
      <c r="A370" s="69"/>
      <c r="B370" s="69"/>
      <c r="C370" s="69"/>
      <c r="D370" s="69"/>
      <c r="E370" s="68"/>
      <c r="F370" s="73"/>
      <c r="G370" s="73"/>
      <c r="H370" s="78" t="str">
        <f t="shared" si="5"/>
        <v/>
      </c>
      <c r="I370" s="69"/>
      <c r="J370" s="69"/>
    </row>
    <row r="371" spans="1:10" x14ac:dyDescent="0.3">
      <c r="A371" s="69"/>
      <c r="B371" s="69"/>
      <c r="C371" s="69"/>
      <c r="D371" s="69"/>
      <c r="E371" s="68"/>
      <c r="F371" s="73"/>
      <c r="G371" s="73"/>
      <c r="H371" s="78" t="str">
        <f t="shared" si="5"/>
        <v/>
      </c>
      <c r="I371" s="69"/>
      <c r="J371" s="69"/>
    </row>
    <row r="372" spans="1:10" x14ac:dyDescent="0.3">
      <c r="A372" s="69"/>
      <c r="B372" s="69"/>
      <c r="C372" s="69"/>
      <c r="D372" s="69"/>
      <c r="E372" s="68"/>
      <c r="F372" s="73"/>
      <c r="G372" s="73"/>
      <c r="H372" s="78" t="str">
        <f t="shared" si="5"/>
        <v/>
      </c>
      <c r="I372" s="69"/>
      <c r="J372" s="69"/>
    </row>
    <row r="373" spans="1:10" x14ac:dyDescent="0.3">
      <c r="A373" s="69"/>
      <c r="B373" s="69"/>
      <c r="C373" s="69"/>
      <c r="D373" s="69"/>
      <c r="E373" s="68"/>
      <c r="F373" s="73"/>
      <c r="G373" s="73"/>
      <c r="H373" s="78" t="str">
        <f t="shared" si="5"/>
        <v/>
      </c>
      <c r="I373" s="69"/>
      <c r="J373" s="69"/>
    </row>
    <row r="374" spans="1:10" x14ac:dyDescent="0.3">
      <c r="A374" s="69"/>
      <c r="B374" s="69"/>
      <c r="C374" s="69"/>
      <c r="D374" s="69"/>
      <c r="E374" s="68"/>
      <c r="F374" s="73"/>
      <c r="G374" s="73"/>
      <c r="H374" s="78" t="str">
        <f t="shared" si="5"/>
        <v/>
      </c>
      <c r="I374" s="69"/>
      <c r="J374" s="69"/>
    </row>
    <row r="375" spans="1:10" x14ac:dyDescent="0.3">
      <c r="A375" s="69"/>
      <c r="B375" s="69"/>
      <c r="C375" s="69"/>
      <c r="D375" s="69"/>
      <c r="E375" s="68"/>
      <c r="F375" s="73"/>
      <c r="G375" s="73"/>
      <c r="H375" s="78" t="str">
        <f t="shared" si="5"/>
        <v/>
      </c>
      <c r="I375" s="69"/>
      <c r="J375" s="69"/>
    </row>
    <row r="376" spans="1:10" x14ac:dyDescent="0.3">
      <c r="A376" s="69"/>
      <c r="B376" s="69"/>
      <c r="C376" s="69"/>
      <c r="D376" s="69"/>
      <c r="E376" s="68"/>
      <c r="F376" s="73"/>
      <c r="G376" s="73"/>
      <c r="H376" s="78" t="str">
        <f t="shared" si="5"/>
        <v/>
      </c>
      <c r="I376" s="69"/>
      <c r="J376" s="69"/>
    </row>
    <row r="377" spans="1:10" x14ac:dyDescent="0.3">
      <c r="A377" s="69"/>
      <c r="B377" s="69"/>
      <c r="C377" s="69"/>
      <c r="D377" s="69"/>
      <c r="E377" s="68"/>
      <c r="F377" s="73"/>
      <c r="G377" s="73"/>
      <c r="H377" s="78" t="str">
        <f t="shared" si="5"/>
        <v/>
      </c>
      <c r="I377" s="69"/>
      <c r="J377" s="69"/>
    </row>
    <row r="378" spans="1:10" x14ac:dyDescent="0.3">
      <c r="A378" s="69"/>
      <c r="B378" s="69"/>
      <c r="C378" s="69"/>
      <c r="D378" s="69"/>
      <c r="E378" s="68"/>
      <c r="F378" s="73"/>
      <c r="G378" s="73"/>
      <c r="H378" s="78" t="str">
        <f t="shared" si="5"/>
        <v/>
      </c>
      <c r="I378" s="69"/>
      <c r="J378" s="69"/>
    </row>
    <row r="379" spans="1:10" x14ac:dyDescent="0.3">
      <c r="A379" s="69"/>
      <c r="B379" s="69"/>
      <c r="C379" s="69"/>
      <c r="D379" s="69"/>
      <c r="E379" s="68"/>
      <c r="F379" s="73"/>
      <c r="G379" s="73"/>
      <c r="H379" s="78" t="str">
        <f t="shared" si="5"/>
        <v/>
      </c>
      <c r="I379" s="69"/>
      <c r="J379" s="69"/>
    </row>
    <row r="380" spans="1:10" x14ac:dyDescent="0.3">
      <c r="A380" s="69"/>
      <c r="B380" s="69"/>
      <c r="C380" s="69"/>
      <c r="D380" s="69"/>
      <c r="E380" s="68"/>
      <c r="F380" s="73"/>
      <c r="G380" s="73"/>
      <c r="H380" s="78" t="str">
        <f t="shared" si="5"/>
        <v/>
      </c>
      <c r="I380" s="69"/>
      <c r="J380" s="69"/>
    </row>
    <row r="381" spans="1:10" x14ac:dyDescent="0.3">
      <c r="A381" s="69"/>
      <c r="B381" s="69"/>
      <c r="C381" s="69"/>
      <c r="D381" s="69"/>
      <c r="E381" s="68"/>
      <c r="F381" s="73"/>
      <c r="G381" s="73"/>
      <c r="H381" s="78" t="str">
        <f t="shared" si="5"/>
        <v/>
      </c>
      <c r="I381" s="69"/>
      <c r="J381" s="69"/>
    </row>
    <row r="382" spans="1:10" x14ac:dyDescent="0.3">
      <c r="A382" s="69"/>
      <c r="B382" s="69"/>
      <c r="C382" s="69"/>
      <c r="D382" s="69"/>
      <c r="E382" s="68"/>
      <c r="F382" s="73"/>
      <c r="G382" s="73"/>
      <c r="H382" s="78" t="str">
        <f t="shared" si="5"/>
        <v/>
      </c>
      <c r="I382" s="69"/>
      <c r="J382" s="69"/>
    </row>
    <row r="383" spans="1:10" x14ac:dyDescent="0.3">
      <c r="A383" s="69"/>
      <c r="B383" s="69"/>
      <c r="C383" s="69"/>
      <c r="D383" s="69"/>
      <c r="E383" s="68"/>
      <c r="F383" s="73"/>
      <c r="G383" s="73"/>
      <c r="H383" s="78" t="str">
        <f t="shared" si="5"/>
        <v/>
      </c>
      <c r="I383" s="69"/>
      <c r="J383" s="69"/>
    </row>
    <row r="384" spans="1:10" x14ac:dyDescent="0.3">
      <c r="A384" s="69"/>
      <c r="B384" s="69"/>
      <c r="C384" s="69"/>
      <c r="D384" s="69"/>
      <c r="E384" s="68"/>
      <c r="F384" s="73"/>
      <c r="G384" s="73"/>
      <c r="H384" s="78" t="str">
        <f t="shared" si="5"/>
        <v/>
      </c>
      <c r="I384" s="69"/>
      <c r="J384" s="69"/>
    </row>
    <row r="385" spans="1:10" x14ac:dyDescent="0.3">
      <c r="A385" s="69"/>
      <c r="B385" s="69"/>
      <c r="C385" s="69"/>
      <c r="D385" s="69"/>
      <c r="E385" s="68"/>
      <c r="F385" s="73"/>
      <c r="G385" s="73"/>
      <c r="H385" s="78" t="str">
        <f t="shared" si="5"/>
        <v/>
      </c>
      <c r="I385" s="69"/>
      <c r="J385" s="69"/>
    </row>
    <row r="386" spans="1:10" x14ac:dyDescent="0.3">
      <c r="A386" s="69"/>
      <c r="B386" s="69"/>
      <c r="C386" s="69"/>
      <c r="D386" s="69"/>
      <c r="E386" s="68"/>
      <c r="F386" s="73"/>
      <c r="G386" s="73"/>
      <c r="H386" s="78" t="str">
        <f t="shared" si="5"/>
        <v/>
      </c>
      <c r="I386" s="69"/>
      <c r="J386" s="69"/>
    </row>
    <row r="387" spans="1:10" x14ac:dyDescent="0.3">
      <c r="A387" s="69"/>
      <c r="B387" s="69"/>
      <c r="C387" s="69"/>
      <c r="D387" s="69"/>
      <c r="E387" s="68"/>
      <c r="F387" s="73"/>
      <c r="G387" s="73"/>
      <c r="H387" s="78" t="str">
        <f t="shared" si="5"/>
        <v/>
      </c>
      <c r="I387" s="69"/>
      <c r="J387" s="69"/>
    </row>
    <row r="388" spans="1:10" x14ac:dyDescent="0.3">
      <c r="A388" s="69"/>
      <c r="B388" s="69"/>
      <c r="C388" s="69"/>
      <c r="D388" s="69"/>
      <c r="E388" s="68"/>
      <c r="F388" s="73"/>
      <c r="G388" s="73"/>
      <c r="H388" s="78" t="str">
        <f t="shared" si="5"/>
        <v/>
      </c>
      <c r="I388" s="69"/>
      <c r="J388" s="69"/>
    </row>
    <row r="389" spans="1:10" x14ac:dyDescent="0.3">
      <c r="A389" s="69"/>
      <c r="B389" s="69"/>
      <c r="C389" s="69"/>
      <c r="D389" s="69"/>
      <c r="E389" s="68"/>
      <c r="F389" s="73"/>
      <c r="G389" s="73"/>
      <c r="H389" s="78" t="str">
        <f t="shared" ref="H389:H452" si="6">IF(OR(F389="",F389=0,G389=""),"",G389/F389)</f>
        <v/>
      </c>
      <c r="I389" s="69"/>
      <c r="J389" s="69"/>
    </row>
    <row r="390" spans="1:10" x14ac:dyDescent="0.3">
      <c r="A390" s="69"/>
      <c r="B390" s="69"/>
      <c r="C390" s="69"/>
      <c r="D390" s="69"/>
      <c r="E390" s="68"/>
      <c r="F390" s="73"/>
      <c r="G390" s="73"/>
      <c r="H390" s="78" t="str">
        <f t="shared" si="6"/>
        <v/>
      </c>
      <c r="I390" s="69"/>
      <c r="J390" s="69"/>
    </row>
    <row r="391" spans="1:10" x14ac:dyDescent="0.3">
      <c r="A391" s="69"/>
      <c r="B391" s="69"/>
      <c r="C391" s="69"/>
      <c r="D391" s="69"/>
      <c r="E391" s="68"/>
      <c r="F391" s="73"/>
      <c r="G391" s="73"/>
      <c r="H391" s="78" t="str">
        <f t="shared" si="6"/>
        <v/>
      </c>
      <c r="I391" s="69"/>
      <c r="J391" s="69"/>
    </row>
    <row r="392" spans="1:10" x14ac:dyDescent="0.3">
      <c r="A392" s="69"/>
      <c r="B392" s="69"/>
      <c r="C392" s="69"/>
      <c r="D392" s="69"/>
      <c r="E392" s="68"/>
      <c r="F392" s="73"/>
      <c r="G392" s="73"/>
      <c r="H392" s="78" t="str">
        <f t="shared" si="6"/>
        <v/>
      </c>
      <c r="I392" s="69"/>
      <c r="J392" s="69"/>
    </row>
    <row r="393" spans="1:10" x14ac:dyDescent="0.3">
      <c r="A393" s="69"/>
      <c r="B393" s="69"/>
      <c r="C393" s="69"/>
      <c r="D393" s="69"/>
      <c r="E393" s="68"/>
      <c r="F393" s="73"/>
      <c r="G393" s="73"/>
      <c r="H393" s="78" t="str">
        <f t="shared" si="6"/>
        <v/>
      </c>
      <c r="I393" s="69"/>
      <c r="J393" s="69"/>
    </row>
    <row r="394" spans="1:10" x14ac:dyDescent="0.3">
      <c r="A394" s="69"/>
      <c r="B394" s="69"/>
      <c r="C394" s="69"/>
      <c r="D394" s="69"/>
      <c r="E394" s="68"/>
      <c r="F394" s="73"/>
      <c r="G394" s="73"/>
      <c r="H394" s="78" t="str">
        <f t="shared" si="6"/>
        <v/>
      </c>
      <c r="I394" s="69"/>
      <c r="J394" s="69"/>
    </row>
    <row r="395" spans="1:10" x14ac:dyDescent="0.3">
      <c r="A395" s="69"/>
      <c r="B395" s="69"/>
      <c r="C395" s="69"/>
      <c r="D395" s="69"/>
      <c r="E395" s="68"/>
      <c r="F395" s="73"/>
      <c r="G395" s="73"/>
      <c r="H395" s="78" t="str">
        <f t="shared" si="6"/>
        <v/>
      </c>
      <c r="I395" s="69"/>
      <c r="J395" s="69"/>
    </row>
    <row r="396" spans="1:10" x14ac:dyDescent="0.3">
      <c r="A396" s="69"/>
      <c r="B396" s="69"/>
      <c r="C396" s="69"/>
      <c r="D396" s="69"/>
      <c r="E396" s="68"/>
      <c r="F396" s="73"/>
      <c r="G396" s="73"/>
      <c r="H396" s="78" t="str">
        <f t="shared" si="6"/>
        <v/>
      </c>
      <c r="I396" s="69"/>
      <c r="J396" s="69"/>
    </row>
    <row r="397" spans="1:10" x14ac:dyDescent="0.3">
      <c r="A397" s="69"/>
      <c r="B397" s="69"/>
      <c r="C397" s="69"/>
      <c r="D397" s="69"/>
      <c r="E397" s="68"/>
      <c r="F397" s="73"/>
      <c r="G397" s="73"/>
      <c r="H397" s="78" t="str">
        <f t="shared" si="6"/>
        <v/>
      </c>
      <c r="I397" s="69"/>
      <c r="J397" s="69"/>
    </row>
    <row r="398" spans="1:10" x14ac:dyDescent="0.3">
      <c r="A398" s="69"/>
      <c r="B398" s="69"/>
      <c r="C398" s="69"/>
      <c r="D398" s="69"/>
      <c r="E398" s="68"/>
      <c r="F398" s="73"/>
      <c r="G398" s="73"/>
      <c r="H398" s="78" t="str">
        <f t="shared" si="6"/>
        <v/>
      </c>
      <c r="I398" s="69"/>
      <c r="J398" s="69"/>
    </row>
    <row r="399" spans="1:10" x14ac:dyDescent="0.3">
      <c r="A399" s="69"/>
      <c r="B399" s="69"/>
      <c r="C399" s="69"/>
      <c r="D399" s="69"/>
      <c r="E399" s="68"/>
      <c r="F399" s="73"/>
      <c r="G399" s="73"/>
      <c r="H399" s="78" t="str">
        <f t="shared" si="6"/>
        <v/>
      </c>
      <c r="I399" s="69"/>
      <c r="J399" s="69"/>
    </row>
    <row r="400" spans="1:10" x14ac:dyDescent="0.3">
      <c r="A400" s="69"/>
      <c r="B400" s="69"/>
      <c r="C400" s="69"/>
      <c r="D400" s="69"/>
      <c r="E400" s="68"/>
      <c r="F400" s="73"/>
      <c r="G400" s="73"/>
      <c r="H400" s="78" t="str">
        <f t="shared" si="6"/>
        <v/>
      </c>
      <c r="I400" s="69"/>
      <c r="J400" s="69"/>
    </row>
    <row r="401" spans="1:10" x14ac:dyDescent="0.3">
      <c r="A401" s="69"/>
      <c r="B401" s="69"/>
      <c r="C401" s="69"/>
      <c r="D401" s="69"/>
      <c r="E401" s="68"/>
      <c r="F401" s="73"/>
      <c r="G401" s="73"/>
      <c r="H401" s="78" t="str">
        <f t="shared" si="6"/>
        <v/>
      </c>
      <c r="I401" s="69"/>
      <c r="J401" s="69"/>
    </row>
    <row r="402" spans="1:10" x14ac:dyDescent="0.3">
      <c r="A402" s="69"/>
      <c r="B402" s="69"/>
      <c r="C402" s="69"/>
      <c r="D402" s="69"/>
      <c r="E402" s="68"/>
      <c r="F402" s="73"/>
      <c r="G402" s="73"/>
      <c r="H402" s="78" t="str">
        <f t="shared" si="6"/>
        <v/>
      </c>
      <c r="I402" s="69"/>
      <c r="J402" s="69"/>
    </row>
    <row r="403" spans="1:10" x14ac:dyDescent="0.3">
      <c r="A403" s="69"/>
      <c r="B403" s="69"/>
      <c r="C403" s="69"/>
      <c r="D403" s="69"/>
      <c r="E403" s="68"/>
      <c r="F403" s="73"/>
      <c r="G403" s="73"/>
      <c r="H403" s="78" t="str">
        <f t="shared" si="6"/>
        <v/>
      </c>
      <c r="I403" s="69"/>
      <c r="J403" s="69"/>
    </row>
    <row r="404" spans="1:10" x14ac:dyDescent="0.3">
      <c r="A404" s="69"/>
      <c r="B404" s="69"/>
      <c r="C404" s="69"/>
      <c r="D404" s="69"/>
      <c r="E404" s="68"/>
      <c r="F404" s="73"/>
      <c r="G404" s="73"/>
      <c r="H404" s="78" t="str">
        <f t="shared" si="6"/>
        <v/>
      </c>
      <c r="I404" s="69"/>
      <c r="J404" s="69"/>
    </row>
    <row r="405" spans="1:10" x14ac:dyDescent="0.3">
      <c r="A405" s="69"/>
      <c r="B405" s="69"/>
      <c r="C405" s="69"/>
      <c r="D405" s="69"/>
      <c r="E405" s="68"/>
      <c r="F405" s="73"/>
      <c r="G405" s="73"/>
      <c r="H405" s="78" t="str">
        <f t="shared" si="6"/>
        <v/>
      </c>
      <c r="I405" s="69"/>
      <c r="J405" s="69"/>
    </row>
    <row r="406" spans="1:10" x14ac:dyDescent="0.3">
      <c r="A406" s="69"/>
      <c r="B406" s="69"/>
      <c r="C406" s="69"/>
      <c r="D406" s="69"/>
      <c r="E406" s="68"/>
      <c r="F406" s="73"/>
      <c r="G406" s="73"/>
      <c r="H406" s="78" t="str">
        <f t="shared" si="6"/>
        <v/>
      </c>
      <c r="I406" s="69"/>
      <c r="J406" s="69"/>
    </row>
    <row r="407" spans="1:10" x14ac:dyDescent="0.3">
      <c r="A407" s="69"/>
      <c r="B407" s="69"/>
      <c r="C407" s="69"/>
      <c r="D407" s="69"/>
      <c r="E407" s="68"/>
      <c r="F407" s="73"/>
      <c r="G407" s="73"/>
      <c r="H407" s="78" t="str">
        <f t="shared" si="6"/>
        <v/>
      </c>
      <c r="I407" s="69"/>
      <c r="J407" s="69"/>
    </row>
    <row r="408" spans="1:10" x14ac:dyDescent="0.3">
      <c r="A408" s="69"/>
      <c r="B408" s="69"/>
      <c r="C408" s="69"/>
      <c r="D408" s="69"/>
      <c r="E408" s="68"/>
      <c r="F408" s="73"/>
      <c r="G408" s="73"/>
      <c r="H408" s="78" t="str">
        <f t="shared" si="6"/>
        <v/>
      </c>
      <c r="I408" s="69"/>
      <c r="J408" s="69"/>
    </row>
    <row r="409" spans="1:10" x14ac:dyDescent="0.3">
      <c r="A409" s="69"/>
      <c r="B409" s="69"/>
      <c r="C409" s="69"/>
      <c r="D409" s="69"/>
      <c r="E409" s="68"/>
      <c r="F409" s="73"/>
      <c r="G409" s="73"/>
      <c r="H409" s="78" t="str">
        <f t="shared" si="6"/>
        <v/>
      </c>
      <c r="I409" s="69"/>
      <c r="J409" s="69"/>
    </row>
    <row r="410" spans="1:10" x14ac:dyDescent="0.3">
      <c r="A410" s="69"/>
      <c r="B410" s="69"/>
      <c r="C410" s="69"/>
      <c r="D410" s="69"/>
      <c r="E410" s="68"/>
      <c r="F410" s="73"/>
      <c r="G410" s="73"/>
      <c r="H410" s="78" t="str">
        <f t="shared" si="6"/>
        <v/>
      </c>
      <c r="I410" s="69"/>
      <c r="J410" s="69"/>
    </row>
    <row r="411" spans="1:10" x14ac:dyDescent="0.3">
      <c r="A411" s="69"/>
      <c r="B411" s="69"/>
      <c r="C411" s="69"/>
      <c r="D411" s="69"/>
      <c r="E411" s="68"/>
      <c r="F411" s="73"/>
      <c r="G411" s="73"/>
      <c r="H411" s="78" t="str">
        <f t="shared" si="6"/>
        <v/>
      </c>
      <c r="I411" s="69"/>
      <c r="J411" s="69"/>
    </row>
    <row r="412" spans="1:10" x14ac:dyDescent="0.3">
      <c r="A412" s="69"/>
      <c r="B412" s="69"/>
      <c r="C412" s="69"/>
      <c r="D412" s="69"/>
      <c r="E412" s="68"/>
      <c r="F412" s="73"/>
      <c r="G412" s="73"/>
      <c r="H412" s="78" t="str">
        <f t="shared" si="6"/>
        <v/>
      </c>
      <c r="I412" s="69"/>
      <c r="J412" s="69"/>
    </row>
    <row r="413" spans="1:10" x14ac:dyDescent="0.3">
      <c r="A413" s="69"/>
      <c r="B413" s="69"/>
      <c r="C413" s="69"/>
      <c r="D413" s="69"/>
      <c r="E413" s="68"/>
      <c r="F413" s="73"/>
      <c r="G413" s="73"/>
      <c r="H413" s="78" t="str">
        <f t="shared" si="6"/>
        <v/>
      </c>
      <c r="I413" s="69"/>
      <c r="J413" s="69"/>
    </row>
    <row r="414" spans="1:10" x14ac:dyDescent="0.3">
      <c r="A414" s="69"/>
      <c r="B414" s="69"/>
      <c r="C414" s="69"/>
      <c r="D414" s="69"/>
      <c r="E414" s="68"/>
      <c r="F414" s="73"/>
      <c r="G414" s="73"/>
      <c r="H414" s="78" t="str">
        <f t="shared" si="6"/>
        <v/>
      </c>
      <c r="I414" s="69"/>
      <c r="J414" s="69"/>
    </row>
    <row r="415" spans="1:10" x14ac:dyDescent="0.3">
      <c r="A415" s="69"/>
      <c r="B415" s="69"/>
      <c r="C415" s="69"/>
      <c r="D415" s="69"/>
      <c r="E415" s="68"/>
      <c r="F415" s="73"/>
      <c r="G415" s="73"/>
      <c r="H415" s="78" t="str">
        <f t="shared" si="6"/>
        <v/>
      </c>
      <c r="I415" s="69"/>
      <c r="J415" s="69"/>
    </row>
    <row r="416" spans="1:10" x14ac:dyDescent="0.3">
      <c r="A416" s="69"/>
      <c r="B416" s="69"/>
      <c r="C416" s="69"/>
      <c r="D416" s="69"/>
      <c r="E416" s="68"/>
      <c r="F416" s="73"/>
      <c r="G416" s="73"/>
      <c r="H416" s="78" t="str">
        <f t="shared" si="6"/>
        <v/>
      </c>
      <c r="I416" s="69"/>
      <c r="J416" s="69"/>
    </row>
    <row r="417" spans="1:10" x14ac:dyDescent="0.3">
      <c r="A417" s="69"/>
      <c r="B417" s="69"/>
      <c r="C417" s="69"/>
      <c r="D417" s="69"/>
      <c r="E417" s="68"/>
      <c r="F417" s="73"/>
      <c r="G417" s="73"/>
      <c r="H417" s="78" t="str">
        <f t="shared" si="6"/>
        <v/>
      </c>
      <c r="I417" s="69"/>
      <c r="J417" s="69"/>
    </row>
    <row r="418" spans="1:10" x14ac:dyDescent="0.3">
      <c r="A418" s="69"/>
      <c r="B418" s="69"/>
      <c r="C418" s="69"/>
      <c r="D418" s="69"/>
      <c r="E418" s="68"/>
      <c r="F418" s="73"/>
      <c r="G418" s="73"/>
      <c r="H418" s="78" t="str">
        <f t="shared" si="6"/>
        <v/>
      </c>
      <c r="I418" s="69"/>
      <c r="J418" s="69"/>
    </row>
    <row r="419" spans="1:10" x14ac:dyDescent="0.3">
      <c r="A419" s="69"/>
      <c r="B419" s="69"/>
      <c r="C419" s="69"/>
      <c r="D419" s="69"/>
      <c r="E419" s="68"/>
      <c r="F419" s="73"/>
      <c r="G419" s="73"/>
      <c r="H419" s="78" t="str">
        <f t="shared" si="6"/>
        <v/>
      </c>
      <c r="I419" s="69"/>
      <c r="J419" s="69"/>
    </row>
    <row r="420" spans="1:10" x14ac:dyDescent="0.3">
      <c r="A420" s="69"/>
      <c r="B420" s="69"/>
      <c r="C420" s="69"/>
      <c r="D420" s="69"/>
      <c r="E420" s="68"/>
      <c r="F420" s="73"/>
      <c r="G420" s="73"/>
      <c r="H420" s="78" t="str">
        <f t="shared" si="6"/>
        <v/>
      </c>
      <c r="I420" s="69"/>
      <c r="J420" s="69"/>
    </row>
    <row r="421" spans="1:10" x14ac:dyDescent="0.3">
      <c r="A421" s="69"/>
      <c r="B421" s="69"/>
      <c r="C421" s="69"/>
      <c r="D421" s="69"/>
      <c r="E421" s="68"/>
      <c r="F421" s="73"/>
      <c r="G421" s="73"/>
      <c r="H421" s="78" t="str">
        <f t="shared" si="6"/>
        <v/>
      </c>
      <c r="I421" s="69"/>
      <c r="J421" s="69"/>
    </row>
    <row r="422" spans="1:10" x14ac:dyDescent="0.3">
      <c r="A422" s="69"/>
      <c r="B422" s="69"/>
      <c r="C422" s="69"/>
      <c r="D422" s="69"/>
      <c r="E422" s="68"/>
      <c r="F422" s="73"/>
      <c r="G422" s="73"/>
      <c r="H422" s="78" t="str">
        <f t="shared" si="6"/>
        <v/>
      </c>
      <c r="I422" s="69"/>
      <c r="J422" s="69"/>
    </row>
    <row r="423" spans="1:10" x14ac:dyDescent="0.3">
      <c r="A423" s="69"/>
      <c r="B423" s="69"/>
      <c r="C423" s="69"/>
      <c r="D423" s="69"/>
      <c r="E423" s="68"/>
      <c r="F423" s="73"/>
      <c r="G423" s="73"/>
      <c r="H423" s="78" t="str">
        <f t="shared" si="6"/>
        <v/>
      </c>
      <c r="I423" s="69"/>
      <c r="J423" s="69"/>
    </row>
    <row r="424" spans="1:10" x14ac:dyDescent="0.3">
      <c r="A424" s="69"/>
      <c r="B424" s="69"/>
      <c r="C424" s="69"/>
      <c r="D424" s="69"/>
      <c r="E424" s="68"/>
      <c r="F424" s="73"/>
      <c r="G424" s="73"/>
      <c r="H424" s="78" t="str">
        <f t="shared" si="6"/>
        <v/>
      </c>
      <c r="I424" s="69"/>
      <c r="J424" s="69"/>
    </row>
    <row r="425" spans="1:10" x14ac:dyDescent="0.3">
      <c r="A425" s="69"/>
      <c r="B425" s="69"/>
      <c r="C425" s="69"/>
      <c r="D425" s="69"/>
      <c r="E425" s="68"/>
      <c r="F425" s="73"/>
      <c r="G425" s="73"/>
      <c r="H425" s="78" t="str">
        <f t="shared" si="6"/>
        <v/>
      </c>
      <c r="I425" s="69"/>
      <c r="J425" s="69"/>
    </row>
    <row r="426" spans="1:10" x14ac:dyDescent="0.3">
      <c r="A426" s="69"/>
      <c r="B426" s="69"/>
      <c r="C426" s="69"/>
      <c r="D426" s="69"/>
      <c r="E426" s="68"/>
      <c r="F426" s="73"/>
      <c r="G426" s="73"/>
      <c r="H426" s="78" t="str">
        <f t="shared" si="6"/>
        <v/>
      </c>
      <c r="I426" s="69"/>
      <c r="J426" s="69"/>
    </row>
    <row r="427" spans="1:10" x14ac:dyDescent="0.3">
      <c r="A427" s="69"/>
      <c r="B427" s="69"/>
      <c r="C427" s="69"/>
      <c r="D427" s="69"/>
      <c r="E427" s="68"/>
      <c r="F427" s="73"/>
      <c r="G427" s="73"/>
      <c r="H427" s="78" t="str">
        <f t="shared" si="6"/>
        <v/>
      </c>
      <c r="I427" s="69"/>
      <c r="J427" s="69"/>
    </row>
    <row r="428" spans="1:10" x14ac:dyDescent="0.3">
      <c r="A428" s="69"/>
      <c r="B428" s="69"/>
      <c r="C428" s="69"/>
      <c r="D428" s="69"/>
      <c r="E428" s="68"/>
      <c r="F428" s="73"/>
      <c r="G428" s="73"/>
      <c r="H428" s="78" t="str">
        <f t="shared" si="6"/>
        <v/>
      </c>
      <c r="I428" s="69"/>
      <c r="J428" s="69"/>
    </row>
    <row r="429" spans="1:10" x14ac:dyDescent="0.3">
      <c r="A429" s="69"/>
      <c r="B429" s="69"/>
      <c r="C429" s="69"/>
      <c r="D429" s="69"/>
      <c r="E429" s="68"/>
      <c r="F429" s="73"/>
      <c r="G429" s="73"/>
      <c r="H429" s="78" t="str">
        <f t="shared" si="6"/>
        <v/>
      </c>
      <c r="I429" s="69"/>
      <c r="J429" s="69"/>
    </row>
    <row r="430" spans="1:10" x14ac:dyDescent="0.3">
      <c r="A430" s="69"/>
      <c r="B430" s="69"/>
      <c r="C430" s="69"/>
      <c r="D430" s="69"/>
      <c r="E430" s="68"/>
      <c r="F430" s="73"/>
      <c r="G430" s="73"/>
      <c r="H430" s="78" t="str">
        <f t="shared" si="6"/>
        <v/>
      </c>
      <c r="I430" s="69"/>
      <c r="J430" s="69"/>
    </row>
    <row r="431" spans="1:10" x14ac:dyDescent="0.3">
      <c r="A431" s="69"/>
      <c r="B431" s="69"/>
      <c r="C431" s="69"/>
      <c r="D431" s="69"/>
      <c r="E431" s="68"/>
      <c r="F431" s="73"/>
      <c r="G431" s="73"/>
      <c r="H431" s="78" t="str">
        <f t="shared" si="6"/>
        <v/>
      </c>
      <c r="I431" s="69"/>
      <c r="J431" s="69"/>
    </row>
    <row r="432" spans="1:10" x14ac:dyDescent="0.3">
      <c r="A432" s="69"/>
      <c r="B432" s="69"/>
      <c r="C432" s="69"/>
      <c r="D432" s="69"/>
      <c r="E432" s="68"/>
      <c r="F432" s="73"/>
      <c r="G432" s="73"/>
      <c r="H432" s="78" t="str">
        <f t="shared" si="6"/>
        <v/>
      </c>
      <c r="I432" s="69"/>
      <c r="J432" s="69"/>
    </row>
    <row r="433" spans="1:10" x14ac:dyDescent="0.3">
      <c r="A433" s="69"/>
      <c r="B433" s="69"/>
      <c r="C433" s="69"/>
      <c r="D433" s="69"/>
      <c r="E433" s="68"/>
      <c r="F433" s="73"/>
      <c r="G433" s="73"/>
      <c r="H433" s="78" t="str">
        <f t="shared" si="6"/>
        <v/>
      </c>
      <c r="I433" s="69"/>
      <c r="J433" s="69"/>
    </row>
    <row r="434" spans="1:10" x14ac:dyDescent="0.3">
      <c r="A434" s="69"/>
      <c r="B434" s="69"/>
      <c r="C434" s="69"/>
      <c r="D434" s="69"/>
      <c r="E434" s="68"/>
      <c r="F434" s="73"/>
      <c r="G434" s="73"/>
      <c r="H434" s="78" t="str">
        <f t="shared" si="6"/>
        <v/>
      </c>
      <c r="I434" s="69"/>
      <c r="J434" s="69"/>
    </row>
    <row r="435" spans="1:10" x14ac:dyDescent="0.3">
      <c r="A435" s="69"/>
      <c r="B435" s="69"/>
      <c r="C435" s="69"/>
      <c r="D435" s="69"/>
      <c r="E435" s="68"/>
      <c r="F435" s="73"/>
      <c r="G435" s="73"/>
      <c r="H435" s="78" t="str">
        <f t="shared" si="6"/>
        <v/>
      </c>
      <c r="I435" s="69"/>
      <c r="J435" s="69"/>
    </row>
    <row r="436" spans="1:10" x14ac:dyDescent="0.3">
      <c r="A436" s="69"/>
      <c r="B436" s="69"/>
      <c r="C436" s="69"/>
      <c r="D436" s="69"/>
      <c r="E436" s="68"/>
      <c r="F436" s="73"/>
      <c r="G436" s="73"/>
      <c r="H436" s="78" t="str">
        <f t="shared" si="6"/>
        <v/>
      </c>
      <c r="I436" s="69"/>
      <c r="J436" s="69"/>
    </row>
    <row r="437" spans="1:10" x14ac:dyDescent="0.3">
      <c r="A437" s="69"/>
      <c r="B437" s="69"/>
      <c r="C437" s="69"/>
      <c r="D437" s="69"/>
      <c r="E437" s="68"/>
      <c r="F437" s="73"/>
      <c r="G437" s="73"/>
      <c r="H437" s="78" t="str">
        <f t="shared" si="6"/>
        <v/>
      </c>
      <c r="I437" s="69"/>
      <c r="J437" s="69"/>
    </row>
    <row r="438" spans="1:10" x14ac:dyDescent="0.3">
      <c r="A438" s="69"/>
      <c r="B438" s="69"/>
      <c r="C438" s="69"/>
      <c r="D438" s="69"/>
      <c r="E438" s="68"/>
      <c r="F438" s="73"/>
      <c r="G438" s="73"/>
      <c r="H438" s="78" t="str">
        <f t="shared" si="6"/>
        <v/>
      </c>
      <c r="I438" s="69"/>
      <c r="J438" s="69"/>
    </row>
    <row r="439" spans="1:10" x14ac:dyDescent="0.3">
      <c r="A439" s="69"/>
      <c r="B439" s="69"/>
      <c r="C439" s="69"/>
      <c r="D439" s="69"/>
      <c r="E439" s="68"/>
      <c r="F439" s="73"/>
      <c r="G439" s="73"/>
      <c r="H439" s="78" t="str">
        <f t="shared" si="6"/>
        <v/>
      </c>
      <c r="I439" s="69"/>
      <c r="J439" s="69"/>
    </row>
    <row r="440" spans="1:10" x14ac:dyDescent="0.3">
      <c r="A440" s="69"/>
      <c r="B440" s="69"/>
      <c r="C440" s="69"/>
      <c r="D440" s="69"/>
      <c r="E440" s="68"/>
      <c r="F440" s="73"/>
      <c r="G440" s="73"/>
      <c r="H440" s="78" t="str">
        <f t="shared" si="6"/>
        <v/>
      </c>
      <c r="I440" s="69"/>
      <c r="J440" s="69"/>
    </row>
    <row r="441" spans="1:10" x14ac:dyDescent="0.3">
      <c r="A441" s="69"/>
      <c r="B441" s="69"/>
      <c r="C441" s="69"/>
      <c r="D441" s="69"/>
      <c r="E441" s="68"/>
      <c r="F441" s="73"/>
      <c r="G441" s="73"/>
      <c r="H441" s="78" t="str">
        <f t="shared" si="6"/>
        <v/>
      </c>
      <c r="I441" s="69"/>
      <c r="J441" s="69"/>
    </row>
    <row r="442" spans="1:10" x14ac:dyDescent="0.3">
      <c r="A442" s="69"/>
      <c r="B442" s="69"/>
      <c r="C442" s="69"/>
      <c r="D442" s="69"/>
      <c r="E442" s="68"/>
      <c r="F442" s="73"/>
      <c r="G442" s="73"/>
      <c r="H442" s="78" t="str">
        <f t="shared" si="6"/>
        <v/>
      </c>
      <c r="I442" s="69"/>
      <c r="J442" s="69"/>
    </row>
    <row r="443" spans="1:10" x14ac:dyDescent="0.3">
      <c r="A443" s="69"/>
      <c r="B443" s="69"/>
      <c r="C443" s="69"/>
      <c r="D443" s="69"/>
      <c r="E443" s="68"/>
      <c r="F443" s="73"/>
      <c r="G443" s="73"/>
      <c r="H443" s="78" t="str">
        <f t="shared" si="6"/>
        <v/>
      </c>
      <c r="I443" s="69"/>
      <c r="J443" s="69"/>
    </row>
    <row r="444" spans="1:10" x14ac:dyDescent="0.3">
      <c r="A444" s="69"/>
      <c r="B444" s="69"/>
      <c r="C444" s="69"/>
      <c r="D444" s="69"/>
      <c r="E444" s="68"/>
      <c r="F444" s="73"/>
      <c r="G444" s="73"/>
      <c r="H444" s="78" t="str">
        <f t="shared" si="6"/>
        <v/>
      </c>
      <c r="I444" s="69"/>
      <c r="J444" s="69"/>
    </row>
    <row r="445" spans="1:10" x14ac:dyDescent="0.3">
      <c r="A445" s="69"/>
      <c r="B445" s="69"/>
      <c r="C445" s="69"/>
      <c r="D445" s="69"/>
      <c r="E445" s="68"/>
      <c r="F445" s="73"/>
      <c r="G445" s="73"/>
      <c r="H445" s="78" t="str">
        <f t="shared" si="6"/>
        <v/>
      </c>
      <c r="I445" s="69"/>
      <c r="J445" s="69"/>
    </row>
    <row r="446" spans="1:10" x14ac:dyDescent="0.3">
      <c r="A446" s="69"/>
      <c r="B446" s="69"/>
      <c r="C446" s="69"/>
      <c r="D446" s="69"/>
      <c r="E446" s="68"/>
      <c r="F446" s="73"/>
      <c r="G446" s="73"/>
      <c r="H446" s="78" t="str">
        <f t="shared" si="6"/>
        <v/>
      </c>
      <c r="I446" s="69"/>
      <c r="J446" s="69"/>
    </row>
    <row r="447" spans="1:10" x14ac:dyDescent="0.3">
      <c r="A447" s="69"/>
      <c r="B447" s="69"/>
      <c r="C447" s="69"/>
      <c r="D447" s="69"/>
      <c r="E447" s="68"/>
      <c r="F447" s="73"/>
      <c r="G447" s="73"/>
      <c r="H447" s="78" t="str">
        <f t="shared" si="6"/>
        <v/>
      </c>
      <c r="I447" s="69"/>
      <c r="J447" s="69"/>
    </row>
    <row r="448" spans="1:10" x14ac:dyDescent="0.3">
      <c r="A448" s="69"/>
      <c r="B448" s="69"/>
      <c r="C448" s="69"/>
      <c r="D448" s="69"/>
      <c r="E448" s="68"/>
      <c r="F448" s="73"/>
      <c r="G448" s="73"/>
      <c r="H448" s="78" t="str">
        <f t="shared" si="6"/>
        <v/>
      </c>
      <c r="I448" s="69"/>
      <c r="J448" s="69"/>
    </row>
    <row r="449" spans="1:10" x14ac:dyDescent="0.3">
      <c r="A449" s="69"/>
      <c r="B449" s="69"/>
      <c r="C449" s="69"/>
      <c r="D449" s="69"/>
      <c r="E449" s="68"/>
      <c r="F449" s="73"/>
      <c r="G449" s="73"/>
      <c r="H449" s="78" t="str">
        <f t="shared" si="6"/>
        <v/>
      </c>
      <c r="I449" s="69"/>
      <c r="J449" s="69"/>
    </row>
    <row r="450" spans="1:10" x14ac:dyDescent="0.3">
      <c r="A450" s="69"/>
      <c r="B450" s="69"/>
      <c r="C450" s="69"/>
      <c r="D450" s="69"/>
      <c r="E450" s="68"/>
      <c r="F450" s="73"/>
      <c r="G450" s="73"/>
      <c r="H450" s="78" t="str">
        <f t="shared" si="6"/>
        <v/>
      </c>
      <c r="I450" s="69"/>
      <c r="J450" s="69"/>
    </row>
    <row r="451" spans="1:10" x14ac:dyDescent="0.3">
      <c r="A451" s="69"/>
      <c r="B451" s="69"/>
      <c r="C451" s="69"/>
      <c r="D451" s="69"/>
      <c r="E451" s="68"/>
      <c r="F451" s="73"/>
      <c r="G451" s="73"/>
      <c r="H451" s="78" t="str">
        <f t="shared" si="6"/>
        <v/>
      </c>
      <c r="I451" s="69"/>
      <c r="J451" s="69"/>
    </row>
    <row r="452" spans="1:10" x14ac:dyDescent="0.3">
      <c r="A452" s="69"/>
      <c r="B452" s="69"/>
      <c r="C452" s="69"/>
      <c r="D452" s="69"/>
      <c r="E452" s="68"/>
      <c r="F452" s="73"/>
      <c r="G452" s="73"/>
      <c r="H452" s="78" t="str">
        <f t="shared" si="6"/>
        <v/>
      </c>
      <c r="I452" s="69"/>
      <c r="J452" s="69"/>
    </row>
    <row r="453" spans="1:10" x14ac:dyDescent="0.3">
      <c r="A453" s="69"/>
      <c r="B453" s="69"/>
      <c r="C453" s="69"/>
      <c r="D453" s="69"/>
      <c r="E453" s="68"/>
      <c r="F453" s="73"/>
      <c r="G453" s="73"/>
      <c r="H453" s="78" t="str">
        <f t="shared" ref="H453:H516" si="7">IF(OR(F453="",F453=0,G453=""),"",G453/F453)</f>
        <v/>
      </c>
      <c r="I453" s="69"/>
      <c r="J453" s="69"/>
    </row>
    <row r="454" spans="1:10" x14ac:dyDescent="0.3">
      <c r="A454" s="69"/>
      <c r="B454" s="69"/>
      <c r="C454" s="69"/>
      <c r="D454" s="69"/>
      <c r="E454" s="68"/>
      <c r="F454" s="73"/>
      <c r="G454" s="73"/>
      <c r="H454" s="78" t="str">
        <f t="shared" si="7"/>
        <v/>
      </c>
      <c r="I454" s="69"/>
      <c r="J454" s="69"/>
    </row>
    <row r="455" spans="1:10" x14ac:dyDescent="0.3">
      <c r="A455" s="69"/>
      <c r="B455" s="69"/>
      <c r="C455" s="69"/>
      <c r="D455" s="69"/>
      <c r="E455" s="68"/>
      <c r="F455" s="73"/>
      <c r="G455" s="73"/>
      <c r="H455" s="78" t="str">
        <f t="shared" si="7"/>
        <v/>
      </c>
      <c r="I455" s="69"/>
      <c r="J455" s="69"/>
    </row>
    <row r="456" spans="1:10" x14ac:dyDescent="0.3">
      <c r="A456" s="69"/>
      <c r="B456" s="69"/>
      <c r="C456" s="69"/>
      <c r="D456" s="69"/>
      <c r="E456" s="68"/>
      <c r="F456" s="73"/>
      <c r="G456" s="73"/>
      <c r="H456" s="78" t="str">
        <f t="shared" si="7"/>
        <v/>
      </c>
      <c r="I456" s="69"/>
      <c r="J456" s="69"/>
    </row>
    <row r="457" spans="1:10" x14ac:dyDescent="0.3">
      <c r="A457" s="69"/>
      <c r="B457" s="69"/>
      <c r="C457" s="69"/>
      <c r="D457" s="69"/>
      <c r="E457" s="68"/>
      <c r="F457" s="73"/>
      <c r="G457" s="73"/>
      <c r="H457" s="78" t="str">
        <f t="shared" si="7"/>
        <v/>
      </c>
      <c r="I457" s="69"/>
      <c r="J457" s="69"/>
    </row>
    <row r="458" spans="1:10" x14ac:dyDescent="0.3">
      <c r="A458" s="69"/>
      <c r="B458" s="69"/>
      <c r="C458" s="69"/>
      <c r="D458" s="69"/>
      <c r="E458" s="68"/>
      <c r="F458" s="73"/>
      <c r="G458" s="73"/>
      <c r="H458" s="78" t="str">
        <f t="shared" si="7"/>
        <v/>
      </c>
      <c r="I458" s="69"/>
      <c r="J458" s="69"/>
    </row>
    <row r="459" spans="1:10" x14ac:dyDescent="0.3">
      <c r="A459" s="69"/>
      <c r="B459" s="69"/>
      <c r="C459" s="69"/>
      <c r="D459" s="69"/>
      <c r="E459" s="68"/>
      <c r="F459" s="73"/>
      <c r="G459" s="73"/>
      <c r="H459" s="78" t="str">
        <f t="shared" si="7"/>
        <v/>
      </c>
      <c r="I459" s="69"/>
      <c r="J459" s="69"/>
    </row>
    <row r="460" spans="1:10" x14ac:dyDescent="0.3">
      <c r="A460" s="69"/>
      <c r="B460" s="69"/>
      <c r="C460" s="69"/>
      <c r="D460" s="69"/>
      <c r="E460" s="68"/>
      <c r="F460" s="73"/>
      <c r="G460" s="73"/>
      <c r="H460" s="78" t="str">
        <f t="shared" si="7"/>
        <v/>
      </c>
      <c r="I460" s="69"/>
      <c r="J460" s="69"/>
    </row>
    <row r="461" spans="1:10" x14ac:dyDescent="0.3">
      <c r="A461" s="69"/>
      <c r="B461" s="69"/>
      <c r="C461" s="69"/>
      <c r="D461" s="69"/>
      <c r="E461" s="68"/>
      <c r="F461" s="73"/>
      <c r="G461" s="73"/>
      <c r="H461" s="78" t="str">
        <f t="shared" si="7"/>
        <v/>
      </c>
      <c r="I461" s="69"/>
      <c r="J461" s="69"/>
    </row>
    <row r="462" spans="1:10" x14ac:dyDescent="0.3">
      <c r="A462" s="69"/>
      <c r="B462" s="69"/>
      <c r="C462" s="69"/>
      <c r="D462" s="69"/>
      <c r="E462" s="68"/>
      <c r="F462" s="73"/>
      <c r="G462" s="73"/>
      <c r="H462" s="78" t="str">
        <f t="shared" si="7"/>
        <v/>
      </c>
      <c r="I462" s="69"/>
      <c r="J462" s="69"/>
    </row>
    <row r="463" spans="1:10" x14ac:dyDescent="0.3">
      <c r="A463" s="69"/>
      <c r="B463" s="69"/>
      <c r="C463" s="69"/>
      <c r="D463" s="69"/>
      <c r="E463" s="68"/>
      <c r="F463" s="73"/>
      <c r="G463" s="73"/>
      <c r="H463" s="78" t="str">
        <f t="shared" si="7"/>
        <v/>
      </c>
      <c r="I463" s="69"/>
      <c r="J463" s="69"/>
    </row>
    <row r="464" spans="1:10" x14ac:dyDescent="0.3">
      <c r="A464" s="69"/>
      <c r="B464" s="69"/>
      <c r="C464" s="69"/>
      <c r="D464" s="69"/>
      <c r="E464" s="68"/>
      <c r="F464" s="73"/>
      <c r="G464" s="73"/>
      <c r="H464" s="78" t="str">
        <f t="shared" si="7"/>
        <v/>
      </c>
      <c r="I464" s="69"/>
      <c r="J464" s="69"/>
    </row>
    <row r="465" spans="1:10" x14ac:dyDescent="0.3">
      <c r="A465" s="69"/>
      <c r="B465" s="69"/>
      <c r="C465" s="69"/>
      <c r="D465" s="69"/>
      <c r="E465" s="68"/>
      <c r="F465" s="73"/>
      <c r="G465" s="73"/>
      <c r="H465" s="78" t="str">
        <f t="shared" si="7"/>
        <v/>
      </c>
      <c r="I465" s="69"/>
      <c r="J465" s="69"/>
    </row>
    <row r="466" spans="1:10" x14ac:dyDescent="0.3">
      <c r="A466" s="69"/>
      <c r="B466" s="69"/>
      <c r="C466" s="69"/>
      <c r="D466" s="69"/>
      <c r="E466" s="68"/>
      <c r="F466" s="73"/>
      <c r="G466" s="73"/>
      <c r="H466" s="78" t="str">
        <f t="shared" si="7"/>
        <v/>
      </c>
      <c r="I466" s="69"/>
      <c r="J466" s="69"/>
    </row>
    <row r="467" spans="1:10" x14ac:dyDescent="0.3">
      <c r="A467" s="69"/>
      <c r="B467" s="69"/>
      <c r="C467" s="69"/>
      <c r="D467" s="69"/>
      <c r="E467" s="68"/>
      <c r="F467" s="73"/>
      <c r="G467" s="73"/>
      <c r="H467" s="78" t="str">
        <f t="shared" si="7"/>
        <v/>
      </c>
      <c r="I467" s="69"/>
      <c r="J467" s="69"/>
    </row>
    <row r="468" spans="1:10" x14ac:dyDescent="0.3">
      <c r="A468" s="69"/>
      <c r="B468" s="69"/>
      <c r="C468" s="69"/>
      <c r="D468" s="69"/>
      <c r="E468" s="68"/>
      <c r="F468" s="73"/>
      <c r="G468" s="73"/>
      <c r="H468" s="78" t="str">
        <f t="shared" si="7"/>
        <v/>
      </c>
      <c r="I468" s="69"/>
      <c r="J468" s="69"/>
    </row>
    <row r="469" spans="1:10" x14ac:dyDescent="0.3">
      <c r="A469" s="69"/>
      <c r="B469" s="69"/>
      <c r="C469" s="69"/>
      <c r="D469" s="69"/>
      <c r="E469" s="68"/>
      <c r="F469" s="73"/>
      <c r="G469" s="73"/>
      <c r="H469" s="78" t="str">
        <f t="shared" si="7"/>
        <v/>
      </c>
      <c r="I469" s="69"/>
      <c r="J469" s="69"/>
    </row>
    <row r="470" spans="1:10" x14ac:dyDescent="0.3">
      <c r="A470" s="69"/>
      <c r="B470" s="69"/>
      <c r="C470" s="69"/>
      <c r="D470" s="69"/>
      <c r="E470" s="68"/>
      <c r="F470" s="73"/>
      <c r="G470" s="73"/>
      <c r="H470" s="78" t="str">
        <f t="shared" si="7"/>
        <v/>
      </c>
      <c r="I470" s="69"/>
      <c r="J470" s="69"/>
    </row>
    <row r="471" spans="1:10" x14ac:dyDescent="0.3">
      <c r="A471" s="69"/>
      <c r="B471" s="69"/>
      <c r="C471" s="69"/>
      <c r="D471" s="69"/>
      <c r="E471" s="68"/>
      <c r="F471" s="73"/>
      <c r="G471" s="73"/>
      <c r="H471" s="78" t="str">
        <f t="shared" si="7"/>
        <v/>
      </c>
      <c r="I471" s="69"/>
      <c r="J471" s="69"/>
    </row>
    <row r="472" spans="1:10" x14ac:dyDescent="0.3">
      <c r="A472" s="69"/>
      <c r="B472" s="69"/>
      <c r="C472" s="69"/>
      <c r="D472" s="69"/>
      <c r="E472" s="68"/>
      <c r="F472" s="73"/>
      <c r="G472" s="73"/>
      <c r="H472" s="78" t="str">
        <f t="shared" si="7"/>
        <v/>
      </c>
      <c r="I472" s="69"/>
      <c r="J472" s="69"/>
    </row>
    <row r="473" spans="1:10" x14ac:dyDescent="0.3">
      <c r="A473" s="69"/>
      <c r="B473" s="69"/>
      <c r="C473" s="69"/>
      <c r="D473" s="69"/>
      <c r="E473" s="68"/>
      <c r="F473" s="73"/>
      <c r="G473" s="73"/>
      <c r="H473" s="78" t="str">
        <f t="shared" si="7"/>
        <v/>
      </c>
      <c r="I473" s="69"/>
      <c r="J473" s="69"/>
    </row>
    <row r="474" spans="1:10" x14ac:dyDescent="0.3">
      <c r="A474" s="69"/>
      <c r="B474" s="69"/>
      <c r="C474" s="69"/>
      <c r="D474" s="69"/>
      <c r="E474" s="68"/>
      <c r="F474" s="73"/>
      <c r="G474" s="73"/>
      <c r="H474" s="78" t="str">
        <f t="shared" si="7"/>
        <v/>
      </c>
      <c r="I474" s="69"/>
      <c r="J474" s="69"/>
    </row>
    <row r="475" spans="1:10" x14ac:dyDescent="0.3">
      <c r="A475" s="69"/>
      <c r="B475" s="69"/>
      <c r="C475" s="69"/>
      <c r="D475" s="69"/>
      <c r="E475" s="68"/>
      <c r="F475" s="73"/>
      <c r="G475" s="73"/>
      <c r="H475" s="78" t="str">
        <f t="shared" si="7"/>
        <v/>
      </c>
      <c r="I475" s="69"/>
      <c r="J475" s="69"/>
    </row>
    <row r="476" spans="1:10" x14ac:dyDescent="0.3">
      <c r="A476" s="69"/>
      <c r="B476" s="69"/>
      <c r="C476" s="69"/>
      <c r="D476" s="69"/>
      <c r="E476" s="68"/>
      <c r="F476" s="73"/>
      <c r="G476" s="73"/>
      <c r="H476" s="78" t="str">
        <f t="shared" si="7"/>
        <v/>
      </c>
      <c r="I476" s="69"/>
      <c r="J476" s="69"/>
    </row>
    <row r="477" spans="1:10" x14ac:dyDescent="0.3">
      <c r="A477" s="69"/>
      <c r="B477" s="69"/>
      <c r="C477" s="69"/>
      <c r="D477" s="69"/>
      <c r="E477" s="68"/>
      <c r="F477" s="73"/>
      <c r="G477" s="73"/>
      <c r="H477" s="78" t="str">
        <f t="shared" si="7"/>
        <v/>
      </c>
      <c r="I477" s="69"/>
      <c r="J477" s="69"/>
    </row>
    <row r="478" spans="1:10" x14ac:dyDescent="0.3">
      <c r="A478" s="69"/>
      <c r="B478" s="69"/>
      <c r="C478" s="69"/>
      <c r="D478" s="69"/>
      <c r="E478" s="68"/>
      <c r="F478" s="73"/>
      <c r="G478" s="73"/>
      <c r="H478" s="78" t="str">
        <f t="shared" si="7"/>
        <v/>
      </c>
      <c r="I478" s="69"/>
      <c r="J478" s="69"/>
    </row>
    <row r="479" spans="1:10" x14ac:dyDescent="0.3">
      <c r="A479" s="69"/>
      <c r="B479" s="69"/>
      <c r="C479" s="69"/>
      <c r="D479" s="69"/>
      <c r="E479" s="68"/>
      <c r="F479" s="73"/>
      <c r="G479" s="73"/>
      <c r="H479" s="78" t="str">
        <f t="shared" si="7"/>
        <v/>
      </c>
      <c r="I479" s="69"/>
      <c r="J479" s="69"/>
    </row>
    <row r="480" spans="1:10" x14ac:dyDescent="0.3">
      <c r="A480" s="69"/>
      <c r="B480" s="69"/>
      <c r="C480" s="69"/>
      <c r="D480" s="69"/>
      <c r="E480" s="68"/>
      <c r="F480" s="73"/>
      <c r="G480" s="73"/>
      <c r="H480" s="78" t="str">
        <f t="shared" si="7"/>
        <v/>
      </c>
      <c r="I480" s="69"/>
      <c r="J480" s="69"/>
    </row>
    <row r="481" spans="1:10" x14ac:dyDescent="0.3">
      <c r="A481" s="69"/>
      <c r="B481" s="69"/>
      <c r="C481" s="69"/>
      <c r="D481" s="69"/>
      <c r="E481" s="68"/>
      <c r="F481" s="73"/>
      <c r="G481" s="73"/>
      <c r="H481" s="78" t="str">
        <f t="shared" si="7"/>
        <v/>
      </c>
      <c r="I481" s="69"/>
      <c r="J481" s="69"/>
    </row>
    <row r="482" spans="1:10" x14ac:dyDescent="0.3">
      <c r="A482" s="69"/>
      <c r="B482" s="69"/>
      <c r="C482" s="69"/>
      <c r="D482" s="69"/>
      <c r="E482" s="68"/>
      <c r="F482" s="73"/>
      <c r="G482" s="73"/>
      <c r="H482" s="78" t="str">
        <f t="shared" si="7"/>
        <v/>
      </c>
      <c r="I482" s="69"/>
      <c r="J482" s="69"/>
    </row>
    <row r="483" spans="1:10" x14ac:dyDescent="0.3">
      <c r="A483" s="69"/>
      <c r="B483" s="69"/>
      <c r="C483" s="69"/>
      <c r="D483" s="69"/>
      <c r="E483" s="68"/>
      <c r="F483" s="73"/>
      <c r="G483" s="73"/>
      <c r="H483" s="78" t="str">
        <f t="shared" si="7"/>
        <v/>
      </c>
      <c r="I483" s="69"/>
      <c r="J483" s="69"/>
    </row>
    <row r="484" spans="1:10" x14ac:dyDescent="0.3">
      <c r="A484" s="69"/>
      <c r="B484" s="69"/>
      <c r="C484" s="69"/>
      <c r="D484" s="69"/>
      <c r="E484" s="68"/>
      <c r="F484" s="73"/>
      <c r="G484" s="73"/>
      <c r="H484" s="78" t="str">
        <f t="shared" si="7"/>
        <v/>
      </c>
      <c r="I484" s="69"/>
      <c r="J484" s="69"/>
    </row>
    <row r="485" spans="1:10" x14ac:dyDescent="0.3">
      <c r="A485" s="69"/>
      <c r="B485" s="69"/>
      <c r="C485" s="69"/>
      <c r="D485" s="69"/>
      <c r="E485" s="68"/>
      <c r="F485" s="73"/>
      <c r="G485" s="73"/>
      <c r="H485" s="78" t="str">
        <f t="shared" si="7"/>
        <v/>
      </c>
      <c r="I485" s="69"/>
      <c r="J485" s="69"/>
    </row>
    <row r="486" spans="1:10" x14ac:dyDescent="0.3">
      <c r="A486" s="69"/>
      <c r="B486" s="69"/>
      <c r="C486" s="69"/>
      <c r="D486" s="69"/>
      <c r="E486" s="68"/>
      <c r="F486" s="73"/>
      <c r="G486" s="73"/>
      <c r="H486" s="78" t="str">
        <f t="shared" si="7"/>
        <v/>
      </c>
      <c r="I486" s="69"/>
      <c r="J486" s="69"/>
    </row>
    <row r="487" spans="1:10" x14ac:dyDescent="0.3">
      <c r="A487" s="69"/>
      <c r="B487" s="69"/>
      <c r="C487" s="69"/>
      <c r="D487" s="69"/>
      <c r="E487" s="68"/>
      <c r="F487" s="73"/>
      <c r="G487" s="73"/>
      <c r="H487" s="78" t="str">
        <f t="shared" si="7"/>
        <v/>
      </c>
      <c r="I487" s="69"/>
      <c r="J487" s="69"/>
    </row>
    <row r="488" spans="1:10" x14ac:dyDescent="0.3">
      <c r="A488" s="69"/>
      <c r="B488" s="69"/>
      <c r="C488" s="69"/>
      <c r="D488" s="69"/>
      <c r="E488" s="68"/>
      <c r="F488" s="73"/>
      <c r="G488" s="73"/>
      <c r="H488" s="78" t="str">
        <f t="shared" si="7"/>
        <v/>
      </c>
      <c r="I488" s="69"/>
      <c r="J488" s="69"/>
    </row>
    <row r="489" spans="1:10" x14ac:dyDescent="0.3">
      <c r="A489" s="69"/>
      <c r="B489" s="69"/>
      <c r="C489" s="69"/>
      <c r="D489" s="69"/>
      <c r="E489" s="68"/>
      <c r="F489" s="73"/>
      <c r="G489" s="73"/>
      <c r="H489" s="78" t="str">
        <f t="shared" si="7"/>
        <v/>
      </c>
      <c r="I489" s="69"/>
      <c r="J489" s="69"/>
    </row>
    <row r="490" spans="1:10" x14ac:dyDescent="0.3">
      <c r="A490" s="69"/>
      <c r="B490" s="69"/>
      <c r="C490" s="69"/>
      <c r="D490" s="69"/>
      <c r="E490" s="68"/>
      <c r="F490" s="73"/>
      <c r="G490" s="73"/>
      <c r="H490" s="78" t="str">
        <f t="shared" si="7"/>
        <v/>
      </c>
      <c r="I490" s="69"/>
      <c r="J490" s="69"/>
    </row>
    <row r="491" spans="1:10" x14ac:dyDescent="0.3">
      <c r="A491" s="69"/>
      <c r="B491" s="69"/>
      <c r="C491" s="69"/>
      <c r="D491" s="69"/>
      <c r="E491" s="68"/>
      <c r="F491" s="73"/>
      <c r="G491" s="73"/>
      <c r="H491" s="78" t="str">
        <f t="shared" si="7"/>
        <v/>
      </c>
      <c r="I491" s="69"/>
      <c r="J491" s="69"/>
    </row>
    <row r="492" spans="1:10" x14ac:dyDescent="0.3">
      <c r="A492" s="69"/>
      <c r="B492" s="69"/>
      <c r="C492" s="69"/>
      <c r="D492" s="69"/>
      <c r="E492" s="68"/>
      <c r="F492" s="73"/>
      <c r="G492" s="73"/>
      <c r="H492" s="78" t="str">
        <f t="shared" si="7"/>
        <v/>
      </c>
      <c r="I492" s="69"/>
      <c r="J492" s="69"/>
    </row>
    <row r="493" spans="1:10" x14ac:dyDescent="0.3">
      <c r="A493" s="69"/>
      <c r="B493" s="69"/>
      <c r="C493" s="69"/>
      <c r="D493" s="69"/>
      <c r="E493" s="68"/>
      <c r="F493" s="73"/>
      <c r="G493" s="73"/>
      <c r="H493" s="78" t="str">
        <f t="shared" si="7"/>
        <v/>
      </c>
      <c r="I493" s="69"/>
      <c r="J493" s="69"/>
    </row>
    <row r="494" spans="1:10" x14ac:dyDescent="0.3">
      <c r="A494" s="69"/>
      <c r="B494" s="69"/>
      <c r="C494" s="69"/>
      <c r="D494" s="69"/>
      <c r="E494" s="68"/>
      <c r="F494" s="73"/>
      <c r="G494" s="73"/>
      <c r="H494" s="78" t="str">
        <f t="shared" si="7"/>
        <v/>
      </c>
      <c r="I494" s="69"/>
      <c r="J494" s="69"/>
    </row>
    <row r="495" spans="1:10" x14ac:dyDescent="0.3">
      <c r="A495" s="69"/>
      <c r="B495" s="69"/>
      <c r="C495" s="69"/>
      <c r="D495" s="69"/>
      <c r="E495" s="68"/>
      <c r="F495" s="73"/>
      <c r="G495" s="73"/>
      <c r="H495" s="78" t="str">
        <f t="shared" si="7"/>
        <v/>
      </c>
      <c r="I495" s="69"/>
      <c r="J495" s="69"/>
    </row>
    <row r="496" spans="1:10" x14ac:dyDescent="0.3">
      <c r="A496" s="69"/>
      <c r="B496" s="69"/>
      <c r="C496" s="69"/>
      <c r="D496" s="69"/>
      <c r="E496" s="68"/>
      <c r="F496" s="73"/>
      <c r="G496" s="73"/>
      <c r="H496" s="78" t="str">
        <f t="shared" si="7"/>
        <v/>
      </c>
      <c r="I496" s="69"/>
      <c r="J496" s="69"/>
    </row>
    <row r="497" spans="1:10" x14ac:dyDescent="0.3">
      <c r="A497" s="69"/>
      <c r="B497" s="69"/>
      <c r="C497" s="69"/>
      <c r="D497" s="69"/>
      <c r="E497" s="68"/>
      <c r="F497" s="73"/>
      <c r="G497" s="73"/>
      <c r="H497" s="78" t="str">
        <f t="shared" si="7"/>
        <v/>
      </c>
      <c r="I497" s="69"/>
      <c r="J497" s="69"/>
    </row>
    <row r="498" spans="1:10" x14ac:dyDescent="0.3">
      <c r="A498" s="69"/>
      <c r="B498" s="69"/>
      <c r="C498" s="69"/>
      <c r="D498" s="69"/>
      <c r="E498" s="68"/>
      <c r="F498" s="73"/>
      <c r="G498" s="73"/>
      <c r="H498" s="78" t="str">
        <f t="shared" si="7"/>
        <v/>
      </c>
      <c r="I498" s="69"/>
      <c r="J498" s="69"/>
    </row>
    <row r="499" spans="1:10" x14ac:dyDescent="0.3">
      <c r="A499" s="69"/>
      <c r="B499" s="69"/>
      <c r="C499" s="69"/>
      <c r="D499" s="69"/>
      <c r="E499" s="68"/>
      <c r="F499" s="73"/>
      <c r="G499" s="73"/>
      <c r="H499" s="78" t="str">
        <f t="shared" si="7"/>
        <v/>
      </c>
      <c r="I499" s="69"/>
      <c r="J499" s="69"/>
    </row>
    <row r="500" spans="1:10" x14ac:dyDescent="0.3">
      <c r="A500" s="69"/>
      <c r="B500" s="69"/>
      <c r="C500" s="69"/>
      <c r="D500" s="69"/>
      <c r="E500" s="68"/>
      <c r="F500" s="73"/>
      <c r="G500" s="73"/>
      <c r="H500" s="78" t="str">
        <f t="shared" si="7"/>
        <v/>
      </c>
      <c r="I500" s="69"/>
      <c r="J500" s="69"/>
    </row>
    <row r="501" spans="1:10" x14ac:dyDescent="0.3">
      <c r="A501" s="69"/>
      <c r="B501" s="69"/>
      <c r="C501" s="69"/>
      <c r="D501" s="69"/>
      <c r="E501" s="68"/>
      <c r="F501" s="73"/>
      <c r="G501" s="73"/>
      <c r="H501" s="78" t="str">
        <f t="shared" si="7"/>
        <v/>
      </c>
      <c r="I501" s="69"/>
      <c r="J501" s="69"/>
    </row>
    <row r="502" spans="1:10" x14ac:dyDescent="0.3">
      <c r="A502" s="69"/>
      <c r="B502" s="69"/>
      <c r="C502" s="69"/>
      <c r="D502" s="69"/>
      <c r="E502" s="68"/>
      <c r="F502" s="73"/>
      <c r="G502" s="73"/>
      <c r="H502" s="78" t="str">
        <f t="shared" si="7"/>
        <v/>
      </c>
      <c r="I502" s="69"/>
      <c r="J502" s="69"/>
    </row>
    <row r="503" spans="1:10" x14ac:dyDescent="0.3">
      <c r="A503" s="69"/>
      <c r="B503" s="69"/>
      <c r="C503" s="69"/>
      <c r="D503" s="69"/>
      <c r="E503" s="68"/>
      <c r="F503" s="73"/>
      <c r="G503" s="73"/>
      <c r="H503" s="78" t="str">
        <f t="shared" si="7"/>
        <v/>
      </c>
      <c r="I503" s="69"/>
      <c r="J503" s="69"/>
    </row>
    <row r="504" spans="1:10" x14ac:dyDescent="0.3">
      <c r="A504" s="69"/>
      <c r="B504" s="69"/>
      <c r="C504" s="69"/>
      <c r="D504" s="69"/>
      <c r="E504" s="68"/>
      <c r="F504" s="73"/>
      <c r="G504" s="73"/>
      <c r="H504" s="78" t="str">
        <f t="shared" si="7"/>
        <v/>
      </c>
      <c r="I504" s="69"/>
      <c r="J504" s="69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entry" error="Pick a value from the list" xr:uid="{00000000-0002-0000-1000-000000000000}">
          <x14:formula1>
            <xm:f>Projects!$A$5:$A$104</xm:f>
          </x14:formula1>
          <x14:formula2>
            <xm:f>0</xm:f>
          </x14:formula2>
          <xm:sqref>B5:B504</xm:sqref>
        </x14:dataValidation>
        <x14:dataValidation type="list" allowBlank="1" errorTitle="Invalid entry" error="Pick a value from the list" xr:uid="{00000000-0002-0000-1000-000001000000}">
          <x14:formula1>
            <xm:f>Settings!$P$4:$P$30</xm:f>
          </x14:formula1>
          <x14:formula2>
            <xm:f>0</xm:f>
          </x14:formula2>
          <xm:sqref>I5:I504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48235"/>
  </sheetPr>
  <dimension ref="A1:K50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8" customWidth="1"/>
    <col min="2" max="2" width="12" customWidth="1"/>
    <col min="3" max="3" width="38" customWidth="1"/>
    <col min="4" max="4" width="30" customWidth="1"/>
    <col min="5" max="6" width="12" customWidth="1"/>
    <col min="7" max="7" width="13" customWidth="1"/>
    <col min="8" max="8" width="32" customWidth="1"/>
    <col min="9" max="9" width="10" customWidth="1"/>
    <col min="10" max="10" width="30" customWidth="1"/>
    <col min="11" max="11" width="24" customWidth="1"/>
  </cols>
  <sheetData>
    <row r="1" spans="1:11" ht="21" x14ac:dyDescent="0.4">
      <c r="A1" s="40" t="s">
        <v>233</v>
      </c>
    </row>
    <row r="2" spans="1:11" x14ac:dyDescent="0.3">
      <c r="A2" s="41" t="s">
        <v>778</v>
      </c>
    </row>
    <row r="4" spans="1:11" ht="31.5" customHeight="1" x14ac:dyDescent="0.3">
      <c r="A4" s="42" t="s">
        <v>779</v>
      </c>
      <c r="B4" s="42" t="s">
        <v>780</v>
      </c>
      <c r="C4" s="42" t="s">
        <v>781</v>
      </c>
      <c r="D4" s="42" t="s">
        <v>782</v>
      </c>
      <c r="E4" s="42" t="s">
        <v>150</v>
      </c>
      <c r="F4" s="42" t="s">
        <v>99</v>
      </c>
      <c r="G4" s="42" t="s">
        <v>372</v>
      </c>
      <c r="H4" s="42" t="s">
        <v>783</v>
      </c>
      <c r="I4" s="42" t="s">
        <v>784</v>
      </c>
      <c r="J4" s="42" t="s">
        <v>785</v>
      </c>
      <c r="K4" s="42" t="s">
        <v>269</v>
      </c>
    </row>
    <row r="5" spans="1:11" x14ac:dyDescent="0.3">
      <c r="A5" s="69" t="s">
        <v>786</v>
      </c>
      <c r="B5" s="68">
        <v>46025</v>
      </c>
      <c r="C5" s="69" t="s">
        <v>787</v>
      </c>
      <c r="D5" s="69" t="s">
        <v>211</v>
      </c>
      <c r="E5" s="69" t="s">
        <v>188</v>
      </c>
      <c r="F5" s="69" t="s">
        <v>274</v>
      </c>
      <c r="G5" s="68">
        <v>46049</v>
      </c>
      <c r="H5" s="69" t="s">
        <v>788</v>
      </c>
      <c r="I5" s="69" t="s">
        <v>328</v>
      </c>
      <c r="J5" s="69" t="s">
        <v>789</v>
      </c>
      <c r="K5" s="69"/>
    </row>
    <row r="6" spans="1:11" x14ac:dyDescent="0.3">
      <c r="A6" s="69" t="s">
        <v>790</v>
      </c>
      <c r="B6" s="68">
        <v>46026</v>
      </c>
      <c r="C6" s="69" t="s">
        <v>791</v>
      </c>
      <c r="D6" s="69" t="s">
        <v>219</v>
      </c>
      <c r="E6" s="69" t="s">
        <v>170</v>
      </c>
      <c r="F6" s="69" t="s">
        <v>274</v>
      </c>
      <c r="G6" s="68">
        <v>46059</v>
      </c>
      <c r="H6" s="69" t="s">
        <v>792</v>
      </c>
      <c r="I6" s="69" t="s">
        <v>328</v>
      </c>
      <c r="J6" s="69" t="s">
        <v>789</v>
      </c>
      <c r="K6" s="69"/>
    </row>
    <row r="7" spans="1:11" x14ac:dyDescent="0.3">
      <c r="A7" s="69" t="s">
        <v>793</v>
      </c>
      <c r="B7" s="68">
        <v>46054</v>
      </c>
      <c r="C7" s="69" t="s">
        <v>794</v>
      </c>
      <c r="D7" s="69" t="s">
        <v>190</v>
      </c>
      <c r="E7" s="69" t="s">
        <v>159</v>
      </c>
      <c r="F7" s="69" t="s">
        <v>274</v>
      </c>
      <c r="G7" s="68">
        <v>46072</v>
      </c>
      <c r="H7" s="69" t="s">
        <v>795</v>
      </c>
      <c r="I7" s="69" t="s">
        <v>328</v>
      </c>
      <c r="J7" s="69" t="s">
        <v>789</v>
      </c>
      <c r="K7" s="69"/>
    </row>
    <row r="8" spans="1:11" x14ac:dyDescent="0.3">
      <c r="A8" s="69" t="s">
        <v>796</v>
      </c>
      <c r="B8" s="68">
        <v>46096</v>
      </c>
      <c r="C8" s="69" t="s">
        <v>797</v>
      </c>
      <c r="D8" s="69" t="s">
        <v>152</v>
      </c>
      <c r="E8" s="69" t="s">
        <v>159</v>
      </c>
      <c r="F8" s="69" t="s">
        <v>274</v>
      </c>
      <c r="G8" s="68">
        <v>46123</v>
      </c>
      <c r="H8" s="69" t="s">
        <v>798</v>
      </c>
      <c r="I8" s="69" t="s">
        <v>328</v>
      </c>
      <c r="J8" s="69" t="s">
        <v>789</v>
      </c>
      <c r="K8" s="69"/>
    </row>
    <row r="9" spans="1:11" x14ac:dyDescent="0.3">
      <c r="A9" s="69" t="s">
        <v>799</v>
      </c>
      <c r="B9" s="68">
        <v>46086</v>
      </c>
      <c r="C9" s="69" t="s">
        <v>800</v>
      </c>
      <c r="D9" s="69" t="s">
        <v>215</v>
      </c>
      <c r="E9" s="69" t="s">
        <v>201</v>
      </c>
      <c r="F9" s="69" t="s">
        <v>274</v>
      </c>
      <c r="G9" s="68">
        <v>46121</v>
      </c>
      <c r="H9" s="69" t="s">
        <v>801</v>
      </c>
      <c r="I9" s="69" t="s">
        <v>338</v>
      </c>
      <c r="J9" s="69"/>
      <c r="K9" s="69"/>
    </row>
    <row r="10" spans="1:11" x14ac:dyDescent="0.3">
      <c r="A10" s="69" t="s">
        <v>802</v>
      </c>
      <c r="B10" s="68">
        <v>46113</v>
      </c>
      <c r="C10" s="69" t="s">
        <v>803</v>
      </c>
      <c r="D10" s="69" t="s">
        <v>196</v>
      </c>
      <c r="E10" s="69" t="s">
        <v>188</v>
      </c>
      <c r="F10" s="69" t="s">
        <v>274</v>
      </c>
      <c r="G10" s="68">
        <v>46126</v>
      </c>
      <c r="H10" s="69" t="s">
        <v>804</v>
      </c>
      <c r="I10" s="69" t="s">
        <v>328</v>
      </c>
      <c r="J10" s="69" t="s">
        <v>789</v>
      </c>
      <c r="K10" s="69"/>
    </row>
    <row r="11" spans="1:11" x14ac:dyDescent="0.3">
      <c r="A11" s="69" t="s">
        <v>805</v>
      </c>
      <c r="B11" s="68">
        <v>46155</v>
      </c>
      <c r="C11" s="69" t="s">
        <v>806</v>
      </c>
      <c r="D11" s="69" t="s">
        <v>203</v>
      </c>
      <c r="E11" s="69" t="s">
        <v>183</v>
      </c>
      <c r="F11" s="69" t="s">
        <v>274</v>
      </c>
      <c r="G11" s="68">
        <v>46165</v>
      </c>
      <c r="H11" s="69" t="s">
        <v>807</v>
      </c>
      <c r="I11" s="69" t="s">
        <v>328</v>
      </c>
      <c r="J11" s="69" t="s">
        <v>789</v>
      </c>
      <c r="K11" s="69"/>
    </row>
    <row r="12" spans="1:11" x14ac:dyDescent="0.3">
      <c r="A12" s="69" t="s">
        <v>808</v>
      </c>
      <c r="B12" s="68">
        <v>46183</v>
      </c>
      <c r="C12" s="69" t="s">
        <v>809</v>
      </c>
      <c r="D12" s="69" t="s">
        <v>185</v>
      </c>
      <c r="E12" s="69" t="s">
        <v>164</v>
      </c>
      <c r="F12" s="69" t="s">
        <v>274</v>
      </c>
      <c r="G12" s="68">
        <v>46211</v>
      </c>
      <c r="H12" s="69" t="s">
        <v>810</v>
      </c>
      <c r="I12" s="69" t="s">
        <v>328</v>
      </c>
      <c r="J12" s="69" t="s">
        <v>789</v>
      </c>
      <c r="K12" s="69"/>
    </row>
    <row r="13" spans="1:11" x14ac:dyDescent="0.3">
      <c r="A13" s="69" t="s">
        <v>811</v>
      </c>
      <c r="B13" s="68">
        <v>46181</v>
      </c>
      <c r="C13" s="69" t="s">
        <v>812</v>
      </c>
      <c r="D13" s="69" t="s">
        <v>207</v>
      </c>
      <c r="E13" s="69" t="s">
        <v>183</v>
      </c>
      <c r="F13" s="69" t="s">
        <v>274</v>
      </c>
      <c r="G13" s="68">
        <v>46201</v>
      </c>
      <c r="H13" s="69" t="s">
        <v>813</v>
      </c>
      <c r="I13" s="69" t="s">
        <v>328</v>
      </c>
      <c r="J13" s="69" t="s">
        <v>789</v>
      </c>
      <c r="K13" s="69"/>
    </row>
    <row r="14" spans="1:11" x14ac:dyDescent="0.3">
      <c r="A14" s="69" t="s">
        <v>814</v>
      </c>
      <c r="B14" s="68">
        <v>46210</v>
      </c>
      <c r="C14" s="69" t="s">
        <v>815</v>
      </c>
      <c r="D14" s="69" t="s">
        <v>178</v>
      </c>
      <c r="E14" s="69" t="s">
        <v>201</v>
      </c>
      <c r="F14" s="69" t="s">
        <v>274</v>
      </c>
      <c r="G14" s="68">
        <v>46223</v>
      </c>
      <c r="H14" s="69" t="s">
        <v>816</v>
      </c>
      <c r="I14" s="69" t="s">
        <v>328</v>
      </c>
      <c r="J14" s="69" t="s">
        <v>789</v>
      </c>
      <c r="K14" s="69"/>
    </row>
    <row r="15" spans="1:11" x14ac:dyDescent="0.3">
      <c r="A15" s="69" t="s">
        <v>817</v>
      </c>
      <c r="B15" s="68">
        <v>46241</v>
      </c>
      <c r="C15" s="69" t="s">
        <v>818</v>
      </c>
      <c r="D15" s="69" t="s">
        <v>215</v>
      </c>
      <c r="E15" s="69" t="s">
        <v>176</v>
      </c>
      <c r="F15" s="69" t="s">
        <v>274</v>
      </c>
      <c r="G15" s="68">
        <v>46256</v>
      </c>
      <c r="H15" s="69" t="s">
        <v>819</v>
      </c>
      <c r="I15" s="69" t="s">
        <v>328</v>
      </c>
      <c r="J15" s="69" t="s">
        <v>789</v>
      </c>
      <c r="K15" s="69"/>
    </row>
    <row r="16" spans="1:11" x14ac:dyDescent="0.3">
      <c r="A16" s="69" t="s">
        <v>820</v>
      </c>
      <c r="B16" s="68">
        <v>46247</v>
      </c>
      <c r="C16" s="69" t="s">
        <v>821</v>
      </c>
      <c r="D16" s="69" t="s">
        <v>228</v>
      </c>
      <c r="E16" s="69" t="s">
        <v>159</v>
      </c>
      <c r="F16" s="69" t="s">
        <v>382</v>
      </c>
      <c r="G16" s="68"/>
      <c r="H16" s="69" t="s">
        <v>822</v>
      </c>
      <c r="I16" s="69"/>
      <c r="J16" s="69"/>
      <c r="K16" s="69"/>
    </row>
    <row r="17" spans="1:11" x14ac:dyDescent="0.3">
      <c r="A17" s="69" t="s">
        <v>823</v>
      </c>
      <c r="B17" s="68">
        <v>46273</v>
      </c>
      <c r="C17" s="69" t="s">
        <v>824</v>
      </c>
      <c r="D17" s="69" t="s">
        <v>223</v>
      </c>
      <c r="E17" s="69" t="s">
        <v>176</v>
      </c>
      <c r="F17" s="69" t="s">
        <v>825</v>
      </c>
      <c r="G17" s="68"/>
      <c r="H17" s="69" t="s">
        <v>826</v>
      </c>
      <c r="I17" s="69"/>
      <c r="J17" s="69"/>
      <c r="K17" s="69"/>
    </row>
    <row r="18" spans="1:11" x14ac:dyDescent="0.3">
      <c r="A18" s="69" t="s">
        <v>827</v>
      </c>
      <c r="B18" s="68">
        <v>46308</v>
      </c>
      <c r="C18" s="69" t="s">
        <v>828</v>
      </c>
      <c r="D18" s="69" t="s">
        <v>166</v>
      </c>
      <c r="E18" s="69" t="s">
        <v>170</v>
      </c>
      <c r="F18" s="69" t="s">
        <v>382</v>
      </c>
      <c r="G18" s="68"/>
      <c r="H18" s="69" t="s">
        <v>829</v>
      </c>
      <c r="I18" s="69"/>
      <c r="J18" s="69"/>
      <c r="K18" s="69"/>
    </row>
    <row r="19" spans="1:11" x14ac:dyDescent="0.3">
      <c r="A19" s="69"/>
      <c r="B19" s="68"/>
      <c r="C19" s="69"/>
      <c r="D19" s="69"/>
      <c r="E19" s="69"/>
      <c r="F19" s="69"/>
      <c r="G19" s="68"/>
      <c r="H19" s="69"/>
      <c r="I19" s="69"/>
      <c r="J19" s="69"/>
      <c r="K19" s="69"/>
    </row>
    <row r="20" spans="1:11" x14ac:dyDescent="0.3">
      <c r="A20" s="69"/>
      <c r="B20" s="68"/>
      <c r="C20" s="69"/>
      <c r="D20" s="69"/>
      <c r="E20" s="69"/>
      <c r="F20" s="69"/>
      <c r="G20" s="68"/>
      <c r="H20" s="69"/>
      <c r="I20" s="69"/>
      <c r="J20" s="69"/>
      <c r="K20" s="69"/>
    </row>
    <row r="21" spans="1:11" x14ac:dyDescent="0.3">
      <c r="A21" s="69"/>
      <c r="B21" s="68"/>
      <c r="C21" s="69"/>
      <c r="D21" s="69"/>
      <c r="E21" s="69"/>
      <c r="F21" s="69"/>
      <c r="G21" s="68"/>
      <c r="H21" s="69"/>
      <c r="I21" s="69"/>
      <c r="J21" s="69"/>
      <c r="K21" s="69"/>
    </row>
    <row r="22" spans="1:11" x14ac:dyDescent="0.3">
      <c r="A22" s="69"/>
      <c r="B22" s="68"/>
      <c r="C22" s="69"/>
      <c r="D22" s="69"/>
      <c r="E22" s="69"/>
      <c r="F22" s="69"/>
      <c r="G22" s="68"/>
      <c r="H22" s="69"/>
      <c r="I22" s="69"/>
      <c r="J22" s="69"/>
      <c r="K22" s="69"/>
    </row>
    <row r="23" spans="1:11" x14ac:dyDescent="0.3">
      <c r="A23" s="69"/>
      <c r="B23" s="68"/>
      <c r="C23" s="69"/>
      <c r="D23" s="69"/>
      <c r="E23" s="69"/>
      <c r="F23" s="69"/>
      <c r="G23" s="68"/>
      <c r="H23" s="69"/>
      <c r="I23" s="69"/>
      <c r="J23" s="69"/>
      <c r="K23" s="69"/>
    </row>
    <row r="24" spans="1:11" x14ac:dyDescent="0.3">
      <c r="A24" s="69"/>
      <c r="B24" s="68"/>
      <c r="C24" s="69"/>
      <c r="D24" s="69"/>
      <c r="E24" s="69"/>
      <c r="F24" s="69"/>
      <c r="G24" s="68"/>
      <c r="H24" s="69"/>
      <c r="I24" s="69"/>
      <c r="J24" s="69"/>
      <c r="K24" s="69"/>
    </row>
    <row r="25" spans="1:11" x14ac:dyDescent="0.3">
      <c r="A25" s="69"/>
      <c r="B25" s="68"/>
      <c r="C25" s="69"/>
      <c r="D25" s="69"/>
      <c r="E25" s="69"/>
      <c r="F25" s="69"/>
      <c r="G25" s="68"/>
      <c r="H25" s="69"/>
      <c r="I25" s="69"/>
      <c r="J25" s="69"/>
      <c r="K25" s="69"/>
    </row>
    <row r="26" spans="1:11" x14ac:dyDescent="0.3">
      <c r="A26" s="69"/>
      <c r="B26" s="68"/>
      <c r="C26" s="69"/>
      <c r="D26" s="69"/>
      <c r="E26" s="69"/>
      <c r="F26" s="69"/>
      <c r="G26" s="68"/>
      <c r="H26" s="69"/>
      <c r="I26" s="69"/>
      <c r="J26" s="69"/>
      <c r="K26" s="69"/>
    </row>
    <row r="27" spans="1:11" x14ac:dyDescent="0.3">
      <c r="A27" s="69"/>
      <c r="B27" s="68"/>
      <c r="C27" s="69"/>
      <c r="D27" s="69"/>
      <c r="E27" s="69"/>
      <c r="F27" s="69"/>
      <c r="G27" s="68"/>
      <c r="H27" s="69"/>
      <c r="I27" s="69"/>
      <c r="J27" s="69"/>
      <c r="K27" s="69"/>
    </row>
    <row r="28" spans="1:11" x14ac:dyDescent="0.3">
      <c r="A28" s="69"/>
      <c r="B28" s="68"/>
      <c r="C28" s="69"/>
      <c r="D28" s="69"/>
      <c r="E28" s="69"/>
      <c r="F28" s="69"/>
      <c r="G28" s="68"/>
      <c r="H28" s="69"/>
      <c r="I28" s="69"/>
      <c r="J28" s="69"/>
      <c r="K28" s="69"/>
    </row>
    <row r="29" spans="1:11" x14ac:dyDescent="0.3">
      <c r="A29" s="69"/>
      <c r="B29" s="68"/>
      <c r="C29" s="69"/>
      <c r="D29" s="69"/>
      <c r="E29" s="69"/>
      <c r="F29" s="69"/>
      <c r="G29" s="68"/>
      <c r="H29" s="69"/>
      <c r="I29" s="69"/>
      <c r="J29" s="69"/>
      <c r="K29" s="69"/>
    </row>
    <row r="30" spans="1:11" x14ac:dyDescent="0.3">
      <c r="A30" s="69"/>
      <c r="B30" s="68"/>
      <c r="C30" s="69"/>
      <c r="D30" s="69"/>
      <c r="E30" s="69"/>
      <c r="F30" s="69"/>
      <c r="G30" s="68"/>
      <c r="H30" s="69"/>
      <c r="I30" s="69"/>
      <c r="J30" s="69"/>
      <c r="K30" s="69"/>
    </row>
    <row r="31" spans="1:11" x14ac:dyDescent="0.3">
      <c r="A31" s="69"/>
      <c r="B31" s="68"/>
      <c r="C31" s="69"/>
      <c r="D31" s="69"/>
      <c r="E31" s="69"/>
      <c r="F31" s="69"/>
      <c r="G31" s="68"/>
      <c r="H31" s="69"/>
      <c r="I31" s="69"/>
      <c r="J31" s="69"/>
      <c r="K31" s="69"/>
    </row>
    <row r="32" spans="1:11" x14ac:dyDescent="0.3">
      <c r="A32" s="69"/>
      <c r="B32" s="68"/>
      <c r="C32" s="69"/>
      <c r="D32" s="69"/>
      <c r="E32" s="69"/>
      <c r="F32" s="69"/>
      <c r="G32" s="68"/>
      <c r="H32" s="69"/>
      <c r="I32" s="69"/>
      <c r="J32" s="69"/>
      <c r="K32" s="69"/>
    </row>
    <row r="33" spans="1:11" x14ac:dyDescent="0.3">
      <c r="A33" s="69"/>
      <c r="B33" s="68"/>
      <c r="C33" s="69"/>
      <c r="D33" s="69"/>
      <c r="E33" s="69"/>
      <c r="F33" s="69"/>
      <c r="G33" s="68"/>
      <c r="H33" s="69"/>
      <c r="I33" s="69"/>
      <c r="J33" s="69"/>
      <c r="K33" s="69"/>
    </row>
    <row r="34" spans="1:11" x14ac:dyDescent="0.3">
      <c r="A34" s="69"/>
      <c r="B34" s="68"/>
      <c r="C34" s="69"/>
      <c r="D34" s="69"/>
      <c r="E34" s="69"/>
      <c r="F34" s="69"/>
      <c r="G34" s="68"/>
      <c r="H34" s="69"/>
      <c r="I34" s="69"/>
      <c r="J34" s="69"/>
      <c r="K34" s="69"/>
    </row>
    <row r="35" spans="1:11" x14ac:dyDescent="0.3">
      <c r="A35" s="69"/>
      <c r="B35" s="68"/>
      <c r="C35" s="69"/>
      <c r="D35" s="69"/>
      <c r="E35" s="69"/>
      <c r="F35" s="69"/>
      <c r="G35" s="68"/>
      <c r="H35" s="69"/>
      <c r="I35" s="69"/>
      <c r="J35" s="69"/>
      <c r="K35" s="69"/>
    </row>
    <row r="36" spans="1:11" x14ac:dyDescent="0.3">
      <c r="A36" s="69"/>
      <c r="B36" s="68"/>
      <c r="C36" s="69"/>
      <c r="D36" s="69"/>
      <c r="E36" s="69"/>
      <c r="F36" s="69"/>
      <c r="G36" s="68"/>
      <c r="H36" s="69"/>
      <c r="I36" s="69"/>
      <c r="J36" s="69"/>
      <c r="K36" s="69"/>
    </row>
    <row r="37" spans="1:11" x14ac:dyDescent="0.3">
      <c r="A37" s="69"/>
      <c r="B37" s="68"/>
      <c r="C37" s="69"/>
      <c r="D37" s="69"/>
      <c r="E37" s="69"/>
      <c r="F37" s="69"/>
      <c r="G37" s="68"/>
      <c r="H37" s="69"/>
      <c r="I37" s="69"/>
      <c r="J37" s="69"/>
      <c r="K37" s="69"/>
    </row>
    <row r="38" spans="1:11" x14ac:dyDescent="0.3">
      <c r="A38" s="69"/>
      <c r="B38" s="68"/>
      <c r="C38" s="69"/>
      <c r="D38" s="69"/>
      <c r="E38" s="69"/>
      <c r="F38" s="69"/>
      <c r="G38" s="68"/>
      <c r="H38" s="69"/>
      <c r="I38" s="69"/>
      <c r="J38" s="69"/>
      <c r="K38" s="69"/>
    </row>
    <row r="39" spans="1:11" x14ac:dyDescent="0.3">
      <c r="A39" s="69"/>
      <c r="B39" s="68"/>
      <c r="C39" s="69"/>
      <c r="D39" s="69"/>
      <c r="E39" s="69"/>
      <c r="F39" s="69"/>
      <c r="G39" s="68"/>
      <c r="H39" s="69"/>
      <c r="I39" s="69"/>
      <c r="J39" s="69"/>
      <c r="K39" s="69"/>
    </row>
    <row r="40" spans="1:11" x14ac:dyDescent="0.3">
      <c r="A40" s="69"/>
      <c r="B40" s="68"/>
      <c r="C40" s="69"/>
      <c r="D40" s="69"/>
      <c r="E40" s="69"/>
      <c r="F40" s="69"/>
      <c r="G40" s="68"/>
      <c r="H40" s="69"/>
      <c r="I40" s="69"/>
      <c r="J40" s="69"/>
      <c r="K40" s="69"/>
    </row>
    <row r="41" spans="1:11" x14ac:dyDescent="0.3">
      <c r="A41" s="69"/>
      <c r="B41" s="68"/>
      <c r="C41" s="69"/>
      <c r="D41" s="69"/>
      <c r="E41" s="69"/>
      <c r="F41" s="69"/>
      <c r="G41" s="68"/>
      <c r="H41" s="69"/>
      <c r="I41" s="69"/>
      <c r="J41" s="69"/>
      <c r="K41" s="69"/>
    </row>
    <row r="42" spans="1:11" x14ac:dyDescent="0.3">
      <c r="A42" s="69"/>
      <c r="B42" s="68"/>
      <c r="C42" s="69"/>
      <c r="D42" s="69"/>
      <c r="E42" s="69"/>
      <c r="F42" s="69"/>
      <c r="G42" s="68"/>
      <c r="H42" s="69"/>
      <c r="I42" s="69"/>
      <c r="J42" s="69"/>
      <c r="K42" s="69"/>
    </row>
    <row r="43" spans="1:11" x14ac:dyDescent="0.3">
      <c r="A43" s="69"/>
      <c r="B43" s="68"/>
      <c r="C43" s="69"/>
      <c r="D43" s="69"/>
      <c r="E43" s="69"/>
      <c r="F43" s="69"/>
      <c r="G43" s="68"/>
      <c r="H43" s="69"/>
      <c r="I43" s="69"/>
      <c r="J43" s="69"/>
      <c r="K43" s="69"/>
    </row>
    <row r="44" spans="1:11" x14ac:dyDescent="0.3">
      <c r="A44" s="69"/>
      <c r="B44" s="68"/>
      <c r="C44" s="69"/>
      <c r="D44" s="69"/>
      <c r="E44" s="69"/>
      <c r="F44" s="69"/>
      <c r="G44" s="68"/>
      <c r="H44" s="69"/>
      <c r="I44" s="69"/>
      <c r="J44" s="69"/>
      <c r="K44" s="69"/>
    </row>
    <row r="45" spans="1:11" x14ac:dyDescent="0.3">
      <c r="A45" s="69"/>
      <c r="B45" s="68"/>
      <c r="C45" s="69"/>
      <c r="D45" s="69"/>
      <c r="E45" s="69"/>
      <c r="F45" s="69"/>
      <c r="G45" s="68"/>
      <c r="H45" s="69"/>
      <c r="I45" s="69"/>
      <c r="J45" s="69"/>
      <c r="K45" s="69"/>
    </row>
    <row r="46" spans="1:11" x14ac:dyDescent="0.3">
      <c r="A46" s="69"/>
      <c r="B46" s="68"/>
      <c r="C46" s="69"/>
      <c r="D46" s="69"/>
      <c r="E46" s="69"/>
      <c r="F46" s="69"/>
      <c r="G46" s="68"/>
      <c r="H46" s="69"/>
      <c r="I46" s="69"/>
      <c r="J46" s="69"/>
      <c r="K46" s="69"/>
    </row>
    <row r="47" spans="1:11" x14ac:dyDescent="0.3">
      <c r="A47" s="69"/>
      <c r="B47" s="68"/>
      <c r="C47" s="69"/>
      <c r="D47" s="69"/>
      <c r="E47" s="69"/>
      <c r="F47" s="69"/>
      <c r="G47" s="68"/>
      <c r="H47" s="69"/>
      <c r="I47" s="69"/>
      <c r="J47" s="69"/>
      <c r="K47" s="69"/>
    </row>
    <row r="48" spans="1:11" x14ac:dyDescent="0.3">
      <c r="A48" s="69"/>
      <c r="B48" s="68"/>
      <c r="C48" s="69"/>
      <c r="D48" s="69"/>
      <c r="E48" s="69"/>
      <c r="F48" s="69"/>
      <c r="G48" s="68"/>
      <c r="H48" s="69"/>
      <c r="I48" s="69"/>
      <c r="J48" s="69"/>
      <c r="K48" s="69"/>
    </row>
    <row r="49" spans="1:11" x14ac:dyDescent="0.3">
      <c r="A49" s="69"/>
      <c r="B49" s="68"/>
      <c r="C49" s="69"/>
      <c r="D49" s="69"/>
      <c r="E49" s="69"/>
      <c r="F49" s="69"/>
      <c r="G49" s="68"/>
      <c r="H49" s="69"/>
      <c r="I49" s="69"/>
      <c r="J49" s="69"/>
      <c r="K49" s="69"/>
    </row>
    <row r="50" spans="1:11" x14ac:dyDescent="0.3">
      <c r="A50" s="69"/>
      <c r="B50" s="68"/>
      <c r="C50" s="69"/>
      <c r="D50" s="69"/>
      <c r="E50" s="69"/>
      <c r="F50" s="69"/>
      <c r="G50" s="68"/>
      <c r="H50" s="69"/>
      <c r="I50" s="69"/>
      <c r="J50" s="69"/>
      <c r="K50" s="69"/>
    </row>
    <row r="51" spans="1:11" x14ac:dyDescent="0.3">
      <c r="A51" s="69"/>
      <c r="B51" s="68"/>
      <c r="C51" s="69"/>
      <c r="D51" s="69"/>
      <c r="E51" s="69"/>
      <c r="F51" s="69"/>
      <c r="G51" s="68"/>
      <c r="H51" s="69"/>
      <c r="I51" s="69"/>
      <c r="J51" s="69"/>
      <c r="K51" s="69"/>
    </row>
    <row r="52" spans="1:11" x14ac:dyDescent="0.3">
      <c r="A52" s="69"/>
      <c r="B52" s="68"/>
      <c r="C52" s="69"/>
      <c r="D52" s="69"/>
      <c r="E52" s="69"/>
      <c r="F52" s="69"/>
      <c r="G52" s="68"/>
      <c r="H52" s="69"/>
      <c r="I52" s="69"/>
      <c r="J52" s="69"/>
      <c r="K52" s="69"/>
    </row>
    <row r="53" spans="1:11" x14ac:dyDescent="0.3">
      <c r="A53" s="69"/>
      <c r="B53" s="68"/>
      <c r="C53" s="69"/>
      <c r="D53" s="69"/>
      <c r="E53" s="69"/>
      <c r="F53" s="69"/>
      <c r="G53" s="68"/>
      <c r="H53" s="69"/>
      <c r="I53" s="69"/>
      <c r="J53" s="69"/>
      <c r="K53" s="69"/>
    </row>
    <row r="54" spans="1:11" x14ac:dyDescent="0.3">
      <c r="A54" s="69"/>
      <c r="B54" s="68"/>
      <c r="C54" s="69"/>
      <c r="D54" s="69"/>
      <c r="E54" s="69"/>
      <c r="F54" s="69"/>
      <c r="G54" s="68"/>
      <c r="H54" s="69"/>
      <c r="I54" s="69"/>
      <c r="J54" s="69"/>
      <c r="K54" s="69"/>
    </row>
    <row r="55" spans="1:11" x14ac:dyDescent="0.3">
      <c r="A55" s="69"/>
      <c r="B55" s="68"/>
      <c r="C55" s="69"/>
      <c r="D55" s="69"/>
      <c r="E55" s="69"/>
      <c r="F55" s="69"/>
      <c r="G55" s="68"/>
      <c r="H55" s="69"/>
      <c r="I55" s="69"/>
      <c r="J55" s="69"/>
      <c r="K55" s="69"/>
    </row>
    <row r="56" spans="1:11" x14ac:dyDescent="0.3">
      <c r="A56" s="69"/>
      <c r="B56" s="68"/>
      <c r="C56" s="69"/>
      <c r="D56" s="69"/>
      <c r="E56" s="69"/>
      <c r="F56" s="69"/>
      <c r="G56" s="68"/>
      <c r="H56" s="69"/>
      <c r="I56" s="69"/>
      <c r="J56" s="69"/>
      <c r="K56" s="69"/>
    </row>
    <row r="57" spans="1:11" x14ac:dyDescent="0.3">
      <c r="A57" s="69"/>
      <c r="B57" s="68"/>
      <c r="C57" s="69"/>
      <c r="D57" s="69"/>
      <c r="E57" s="69"/>
      <c r="F57" s="69"/>
      <c r="G57" s="68"/>
      <c r="H57" s="69"/>
      <c r="I57" s="69"/>
      <c r="J57" s="69"/>
      <c r="K57" s="69"/>
    </row>
    <row r="58" spans="1:11" x14ac:dyDescent="0.3">
      <c r="A58" s="69"/>
      <c r="B58" s="68"/>
      <c r="C58" s="69"/>
      <c r="D58" s="69"/>
      <c r="E58" s="69"/>
      <c r="F58" s="69"/>
      <c r="G58" s="68"/>
      <c r="H58" s="69"/>
      <c r="I58" s="69"/>
      <c r="J58" s="69"/>
      <c r="K58" s="69"/>
    </row>
    <row r="59" spans="1:11" x14ac:dyDescent="0.3">
      <c r="A59" s="69"/>
      <c r="B59" s="68"/>
      <c r="C59" s="69"/>
      <c r="D59" s="69"/>
      <c r="E59" s="69"/>
      <c r="F59" s="69"/>
      <c r="G59" s="68"/>
      <c r="H59" s="69"/>
      <c r="I59" s="69"/>
      <c r="J59" s="69"/>
      <c r="K59" s="69"/>
    </row>
    <row r="60" spans="1:11" x14ac:dyDescent="0.3">
      <c r="A60" s="69"/>
      <c r="B60" s="68"/>
      <c r="C60" s="69"/>
      <c r="D60" s="69"/>
      <c r="E60" s="69"/>
      <c r="F60" s="69"/>
      <c r="G60" s="68"/>
      <c r="H60" s="69"/>
      <c r="I60" s="69"/>
      <c r="J60" s="69"/>
      <c r="K60" s="69"/>
    </row>
    <row r="61" spans="1:11" x14ac:dyDescent="0.3">
      <c r="A61" s="69"/>
      <c r="B61" s="68"/>
      <c r="C61" s="69"/>
      <c r="D61" s="69"/>
      <c r="E61" s="69"/>
      <c r="F61" s="69"/>
      <c r="G61" s="68"/>
      <c r="H61" s="69"/>
      <c r="I61" s="69"/>
      <c r="J61" s="69"/>
      <c r="K61" s="69"/>
    </row>
    <row r="62" spans="1:11" x14ac:dyDescent="0.3">
      <c r="A62" s="69"/>
      <c r="B62" s="68"/>
      <c r="C62" s="69"/>
      <c r="D62" s="69"/>
      <c r="E62" s="69"/>
      <c r="F62" s="69"/>
      <c r="G62" s="68"/>
      <c r="H62" s="69"/>
      <c r="I62" s="69"/>
      <c r="J62" s="69"/>
      <c r="K62" s="69"/>
    </row>
    <row r="63" spans="1:11" x14ac:dyDescent="0.3">
      <c r="A63" s="69"/>
      <c r="B63" s="68"/>
      <c r="C63" s="69"/>
      <c r="D63" s="69"/>
      <c r="E63" s="69"/>
      <c r="F63" s="69"/>
      <c r="G63" s="68"/>
      <c r="H63" s="69"/>
      <c r="I63" s="69"/>
      <c r="J63" s="69"/>
      <c r="K63" s="69"/>
    </row>
    <row r="64" spans="1:11" x14ac:dyDescent="0.3">
      <c r="A64" s="69"/>
      <c r="B64" s="68"/>
      <c r="C64" s="69"/>
      <c r="D64" s="69"/>
      <c r="E64" s="69"/>
      <c r="F64" s="69"/>
      <c r="G64" s="68"/>
      <c r="H64" s="69"/>
      <c r="I64" s="69"/>
      <c r="J64" s="69"/>
      <c r="K64" s="69"/>
    </row>
    <row r="65" spans="1:11" x14ac:dyDescent="0.3">
      <c r="A65" s="69"/>
      <c r="B65" s="68"/>
      <c r="C65" s="69"/>
      <c r="D65" s="69"/>
      <c r="E65" s="69"/>
      <c r="F65" s="69"/>
      <c r="G65" s="68"/>
      <c r="H65" s="69"/>
      <c r="I65" s="69"/>
      <c r="J65" s="69"/>
      <c r="K65" s="69"/>
    </row>
    <row r="66" spans="1:11" x14ac:dyDescent="0.3">
      <c r="A66" s="69"/>
      <c r="B66" s="68"/>
      <c r="C66" s="69"/>
      <c r="D66" s="69"/>
      <c r="E66" s="69"/>
      <c r="F66" s="69"/>
      <c r="G66" s="68"/>
      <c r="H66" s="69"/>
      <c r="I66" s="69"/>
      <c r="J66" s="69"/>
      <c r="K66" s="69"/>
    </row>
    <row r="67" spans="1:11" x14ac:dyDescent="0.3">
      <c r="A67" s="69"/>
      <c r="B67" s="68"/>
      <c r="C67" s="69"/>
      <c r="D67" s="69"/>
      <c r="E67" s="69"/>
      <c r="F67" s="69"/>
      <c r="G67" s="68"/>
      <c r="H67" s="69"/>
      <c r="I67" s="69"/>
      <c r="J67" s="69"/>
      <c r="K67" s="69"/>
    </row>
    <row r="68" spans="1:11" x14ac:dyDescent="0.3">
      <c r="A68" s="69"/>
      <c r="B68" s="68"/>
      <c r="C68" s="69"/>
      <c r="D68" s="69"/>
      <c r="E68" s="69"/>
      <c r="F68" s="69"/>
      <c r="G68" s="68"/>
      <c r="H68" s="69"/>
      <c r="I68" s="69"/>
      <c r="J68" s="69"/>
      <c r="K68" s="69"/>
    </row>
    <row r="69" spans="1:11" x14ac:dyDescent="0.3">
      <c r="A69" s="69"/>
      <c r="B69" s="68"/>
      <c r="C69" s="69"/>
      <c r="D69" s="69"/>
      <c r="E69" s="69"/>
      <c r="F69" s="69"/>
      <c r="G69" s="68"/>
      <c r="H69" s="69"/>
      <c r="I69" s="69"/>
      <c r="J69" s="69"/>
      <c r="K69" s="69"/>
    </row>
    <row r="70" spans="1:11" x14ac:dyDescent="0.3">
      <c r="A70" s="69"/>
      <c r="B70" s="68"/>
      <c r="C70" s="69"/>
      <c r="D70" s="69"/>
      <c r="E70" s="69"/>
      <c r="F70" s="69"/>
      <c r="G70" s="68"/>
      <c r="H70" s="69"/>
      <c r="I70" s="69"/>
      <c r="J70" s="69"/>
      <c r="K70" s="69"/>
    </row>
    <row r="71" spans="1:11" x14ac:dyDescent="0.3">
      <c r="A71" s="69"/>
      <c r="B71" s="68"/>
      <c r="C71" s="69"/>
      <c r="D71" s="69"/>
      <c r="E71" s="69"/>
      <c r="F71" s="69"/>
      <c r="G71" s="68"/>
      <c r="H71" s="69"/>
      <c r="I71" s="69"/>
      <c r="J71" s="69"/>
      <c r="K71" s="69"/>
    </row>
    <row r="72" spans="1:11" x14ac:dyDescent="0.3">
      <c r="A72" s="69"/>
      <c r="B72" s="68"/>
      <c r="C72" s="69"/>
      <c r="D72" s="69"/>
      <c r="E72" s="69"/>
      <c r="F72" s="69"/>
      <c r="G72" s="68"/>
      <c r="H72" s="69"/>
      <c r="I72" s="69"/>
      <c r="J72" s="69"/>
      <c r="K72" s="69"/>
    </row>
    <row r="73" spans="1:11" x14ac:dyDescent="0.3">
      <c r="A73" s="69"/>
      <c r="B73" s="68"/>
      <c r="C73" s="69"/>
      <c r="D73" s="69"/>
      <c r="E73" s="69"/>
      <c r="F73" s="69"/>
      <c r="G73" s="68"/>
      <c r="H73" s="69"/>
      <c r="I73" s="69"/>
      <c r="J73" s="69"/>
      <c r="K73" s="69"/>
    </row>
    <row r="74" spans="1:11" x14ac:dyDescent="0.3">
      <c r="A74" s="69"/>
      <c r="B74" s="68"/>
      <c r="C74" s="69"/>
      <c r="D74" s="69"/>
      <c r="E74" s="69"/>
      <c r="F74" s="69"/>
      <c r="G74" s="68"/>
      <c r="H74" s="69"/>
      <c r="I74" s="69"/>
      <c r="J74" s="69"/>
      <c r="K74" s="69"/>
    </row>
    <row r="75" spans="1:11" x14ac:dyDescent="0.3">
      <c r="A75" s="69"/>
      <c r="B75" s="68"/>
      <c r="C75" s="69"/>
      <c r="D75" s="69"/>
      <c r="E75" s="69"/>
      <c r="F75" s="69"/>
      <c r="G75" s="68"/>
      <c r="H75" s="69"/>
      <c r="I75" s="69"/>
      <c r="J75" s="69"/>
      <c r="K75" s="69"/>
    </row>
    <row r="76" spans="1:11" x14ac:dyDescent="0.3">
      <c r="A76" s="69"/>
      <c r="B76" s="68"/>
      <c r="C76" s="69"/>
      <c r="D76" s="69"/>
      <c r="E76" s="69"/>
      <c r="F76" s="69"/>
      <c r="G76" s="68"/>
      <c r="H76" s="69"/>
      <c r="I76" s="69"/>
      <c r="J76" s="69"/>
      <c r="K76" s="69"/>
    </row>
    <row r="77" spans="1:11" x14ac:dyDescent="0.3">
      <c r="A77" s="69"/>
      <c r="B77" s="68"/>
      <c r="C77" s="69"/>
      <c r="D77" s="69"/>
      <c r="E77" s="69"/>
      <c r="F77" s="69"/>
      <c r="G77" s="68"/>
      <c r="H77" s="69"/>
      <c r="I77" s="69"/>
      <c r="J77" s="69"/>
      <c r="K77" s="69"/>
    </row>
    <row r="78" spans="1:11" x14ac:dyDescent="0.3">
      <c r="A78" s="69"/>
      <c r="B78" s="68"/>
      <c r="C78" s="69"/>
      <c r="D78" s="69"/>
      <c r="E78" s="69"/>
      <c r="F78" s="69"/>
      <c r="G78" s="68"/>
      <c r="H78" s="69"/>
      <c r="I78" s="69"/>
      <c r="J78" s="69"/>
      <c r="K78" s="69"/>
    </row>
    <row r="79" spans="1:11" x14ac:dyDescent="0.3">
      <c r="A79" s="69"/>
      <c r="B79" s="68"/>
      <c r="C79" s="69"/>
      <c r="D79" s="69"/>
      <c r="E79" s="69"/>
      <c r="F79" s="69"/>
      <c r="G79" s="68"/>
      <c r="H79" s="69"/>
      <c r="I79" s="69"/>
      <c r="J79" s="69"/>
      <c r="K79" s="69"/>
    </row>
    <row r="80" spans="1:11" x14ac:dyDescent="0.3">
      <c r="A80" s="69"/>
      <c r="B80" s="68"/>
      <c r="C80" s="69"/>
      <c r="D80" s="69"/>
      <c r="E80" s="69"/>
      <c r="F80" s="69"/>
      <c r="G80" s="68"/>
      <c r="H80" s="69"/>
      <c r="I80" s="69"/>
      <c r="J80" s="69"/>
      <c r="K80" s="69"/>
    </row>
    <row r="81" spans="1:11" x14ac:dyDescent="0.3">
      <c r="A81" s="69"/>
      <c r="B81" s="68"/>
      <c r="C81" s="69"/>
      <c r="D81" s="69"/>
      <c r="E81" s="69"/>
      <c r="F81" s="69"/>
      <c r="G81" s="68"/>
      <c r="H81" s="69"/>
      <c r="I81" s="69"/>
      <c r="J81" s="69"/>
      <c r="K81" s="69"/>
    </row>
    <row r="82" spans="1:11" x14ac:dyDescent="0.3">
      <c r="A82" s="69"/>
      <c r="B82" s="68"/>
      <c r="C82" s="69"/>
      <c r="D82" s="69"/>
      <c r="E82" s="69"/>
      <c r="F82" s="69"/>
      <c r="G82" s="68"/>
      <c r="H82" s="69"/>
      <c r="I82" s="69"/>
      <c r="J82" s="69"/>
      <c r="K82" s="69"/>
    </row>
    <row r="83" spans="1:11" x14ac:dyDescent="0.3">
      <c r="A83" s="69"/>
      <c r="B83" s="68"/>
      <c r="C83" s="69"/>
      <c r="D83" s="69"/>
      <c r="E83" s="69"/>
      <c r="F83" s="69"/>
      <c r="G83" s="68"/>
      <c r="H83" s="69"/>
      <c r="I83" s="69"/>
      <c r="J83" s="69"/>
      <c r="K83" s="69"/>
    </row>
    <row r="84" spans="1:11" x14ac:dyDescent="0.3">
      <c r="A84" s="69"/>
      <c r="B84" s="68"/>
      <c r="C84" s="69"/>
      <c r="D84" s="69"/>
      <c r="E84" s="69"/>
      <c r="F84" s="69"/>
      <c r="G84" s="68"/>
      <c r="H84" s="69"/>
      <c r="I84" s="69"/>
      <c r="J84" s="69"/>
      <c r="K84" s="69"/>
    </row>
    <row r="85" spans="1:11" x14ac:dyDescent="0.3">
      <c r="A85" s="69"/>
      <c r="B85" s="68"/>
      <c r="C85" s="69"/>
      <c r="D85" s="69"/>
      <c r="E85" s="69"/>
      <c r="F85" s="69"/>
      <c r="G85" s="68"/>
      <c r="H85" s="69"/>
      <c r="I85" s="69"/>
      <c r="J85" s="69"/>
      <c r="K85" s="69"/>
    </row>
    <row r="86" spans="1:11" x14ac:dyDescent="0.3">
      <c r="A86" s="69"/>
      <c r="B86" s="68"/>
      <c r="C86" s="69"/>
      <c r="D86" s="69"/>
      <c r="E86" s="69"/>
      <c r="F86" s="69"/>
      <c r="G86" s="68"/>
      <c r="H86" s="69"/>
      <c r="I86" s="69"/>
      <c r="J86" s="69"/>
      <c r="K86" s="69"/>
    </row>
    <row r="87" spans="1:11" x14ac:dyDescent="0.3">
      <c r="A87" s="69"/>
      <c r="B87" s="68"/>
      <c r="C87" s="69"/>
      <c r="D87" s="69"/>
      <c r="E87" s="69"/>
      <c r="F87" s="69"/>
      <c r="G87" s="68"/>
      <c r="H87" s="69"/>
      <c r="I87" s="69"/>
      <c r="J87" s="69"/>
      <c r="K87" s="69"/>
    </row>
    <row r="88" spans="1:11" x14ac:dyDescent="0.3">
      <c r="A88" s="69"/>
      <c r="B88" s="68"/>
      <c r="C88" s="69"/>
      <c r="D88" s="69"/>
      <c r="E88" s="69"/>
      <c r="F88" s="69"/>
      <c r="G88" s="68"/>
      <c r="H88" s="69"/>
      <c r="I88" s="69"/>
      <c r="J88" s="69"/>
      <c r="K88" s="69"/>
    </row>
    <row r="89" spans="1:11" x14ac:dyDescent="0.3">
      <c r="A89" s="69"/>
      <c r="B89" s="68"/>
      <c r="C89" s="69"/>
      <c r="D89" s="69"/>
      <c r="E89" s="69"/>
      <c r="F89" s="69"/>
      <c r="G89" s="68"/>
      <c r="H89" s="69"/>
      <c r="I89" s="69"/>
      <c r="J89" s="69"/>
      <c r="K89" s="69"/>
    </row>
    <row r="90" spans="1:11" x14ac:dyDescent="0.3">
      <c r="A90" s="69"/>
      <c r="B90" s="68"/>
      <c r="C90" s="69"/>
      <c r="D90" s="69"/>
      <c r="E90" s="69"/>
      <c r="F90" s="69"/>
      <c r="G90" s="68"/>
      <c r="H90" s="69"/>
      <c r="I90" s="69"/>
      <c r="J90" s="69"/>
      <c r="K90" s="69"/>
    </row>
    <row r="91" spans="1:11" x14ac:dyDescent="0.3">
      <c r="A91" s="69"/>
      <c r="B91" s="68"/>
      <c r="C91" s="69"/>
      <c r="D91" s="69"/>
      <c r="E91" s="69"/>
      <c r="F91" s="69"/>
      <c r="G91" s="68"/>
      <c r="H91" s="69"/>
      <c r="I91" s="69"/>
      <c r="J91" s="69"/>
      <c r="K91" s="69"/>
    </row>
    <row r="92" spans="1:11" x14ac:dyDescent="0.3">
      <c r="A92" s="69"/>
      <c r="B92" s="68"/>
      <c r="C92" s="69"/>
      <c r="D92" s="69"/>
      <c r="E92" s="69"/>
      <c r="F92" s="69"/>
      <c r="G92" s="68"/>
      <c r="H92" s="69"/>
      <c r="I92" s="69"/>
      <c r="J92" s="69"/>
      <c r="K92" s="69"/>
    </row>
    <row r="93" spans="1:11" x14ac:dyDescent="0.3">
      <c r="A93" s="69"/>
      <c r="B93" s="68"/>
      <c r="C93" s="69"/>
      <c r="D93" s="69"/>
      <c r="E93" s="69"/>
      <c r="F93" s="69"/>
      <c r="G93" s="68"/>
      <c r="H93" s="69"/>
      <c r="I93" s="69"/>
      <c r="J93" s="69"/>
      <c r="K93" s="69"/>
    </row>
    <row r="94" spans="1:11" x14ac:dyDescent="0.3">
      <c r="A94" s="69"/>
      <c r="B94" s="68"/>
      <c r="C94" s="69"/>
      <c r="D94" s="69"/>
      <c r="E94" s="69"/>
      <c r="F94" s="69"/>
      <c r="G94" s="68"/>
      <c r="H94" s="69"/>
      <c r="I94" s="69"/>
      <c r="J94" s="69"/>
      <c r="K94" s="69"/>
    </row>
    <row r="95" spans="1:11" x14ac:dyDescent="0.3">
      <c r="A95" s="69"/>
      <c r="B95" s="68"/>
      <c r="C95" s="69"/>
      <c r="D95" s="69"/>
      <c r="E95" s="69"/>
      <c r="F95" s="69"/>
      <c r="G95" s="68"/>
      <c r="H95" s="69"/>
      <c r="I95" s="69"/>
      <c r="J95" s="69"/>
      <c r="K95" s="69"/>
    </row>
    <row r="96" spans="1:11" x14ac:dyDescent="0.3">
      <c r="A96" s="69"/>
      <c r="B96" s="68"/>
      <c r="C96" s="69"/>
      <c r="D96" s="69"/>
      <c r="E96" s="69"/>
      <c r="F96" s="69"/>
      <c r="G96" s="68"/>
      <c r="H96" s="69"/>
      <c r="I96" s="69"/>
      <c r="J96" s="69"/>
      <c r="K96" s="69"/>
    </row>
    <row r="97" spans="1:11" x14ac:dyDescent="0.3">
      <c r="A97" s="69"/>
      <c r="B97" s="68"/>
      <c r="C97" s="69"/>
      <c r="D97" s="69"/>
      <c r="E97" s="69"/>
      <c r="F97" s="69"/>
      <c r="G97" s="68"/>
      <c r="H97" s="69"/>
      <c r="I97" s="69"/>
      <c r="J97" s="69"/>
      <c r="K97" s="69"/>
    </row>
    <row r="98" spans="1:11" x14ac:dyDescent="0.3">
      <c r="A98" s="69"/>
      <c r="B98" s="68"/>
      <c r="C98" s="69"/>
      <c r="D98" s="69"/>
      <c r="E98" s="69"/>
      <c r="F98" s="69"/>
      <c r="G98" s="68"/>
      <c r="H98" s="69"/>
      <c r="I98" s="69"/>
      <c r="J98" s="69"/>
      <c r="K98" s="69"/>
    </row>
    <row r="99" spans="1:11" x14ac:dyDescent="0.3">
      <c r="A99" s="69"/>
      <c r="B99" s="68"/>
      <c r="C99" s="69"/>
      <c r="D99" s="69"/>
      <c r="E99" s="69"/>
      <c r="F99" s="69"/>
      <c r="G99" s="68"/>
      <c r="H99" s="69"/>
      <c r="I99" s="69"/>
      <c r="J99" s="69"/>
      <c r="K99" s="69"/>
    </row>
    <row r="100" spans="1:11" x14ac:dyDescent="0.3">
      <c r="A100" s="69"/>
      <c r="B100" s="68"/>
      <c r="C100" s="69"/>
      <c r="D100" s="69"/>
      <c r="E100" s="69"/>
      <c r="F100" s="69"/>
      <c r="G100" s="68"/>
      <c r="H100" s="69"/>
      <c r="I100" s="69"/>
      <c r="J100" s="69"/>
      <c r="K100" s="69"/>
    </row>
    <row r="101" spans="1:11" x14ac:dyDescent="0.3">
      <c r="A101" s="69"/>
      <c r="B101" s="68"/>
      <c r="C101" s="69"/>
      <c r="D101" s="69"/>
      <c r="E101" s="69"/>
      <c r="F101" s="69"/>
      <c r="G101" s="68"/>
      <c r="H101" s="69"/>
      <c r="I101" s="69"/>
      <c r="J101" s="69"/>
      <c r="K101" s="69"/>
    </row>
    <row r="102" spans="1:11" x14ac:dyDescent="0.3">
      <c r="A102" s="69"/>
      <c r="B102" s="68"/>
      <c r="C102" s="69"/>
      <c r="D102" s="69"/>
      <c r="E102" s="69"/>
      <c r="F102" s="69"/>
      <c r="G102" s="68"/>
      <c r="H102" s="69"/>
      <c r="I102" s="69"/>
      <c r="J102" s="69"/>
      <c r="K102" s="69"/>
    </row>
    <row r="103" spans="1:11" x14ac:dyDescent="0.3">
      <c r="A103" s="69"/>
      <c r="B103" s="68"/>
      <c r="C103" s="69"/>
      <c r="D103" s="69"/>
      <c r="E103" s="69"/>
      <c r="F103" s="69"/>
      <c r="G103" s="68"/>
      <c r="H103" s="69"/>
      <c r="I103" s="69"/>
      <c r="J103" s="69"/>
      <c r="K103" s="69"/>
    </row>
    <row r="104" spans="1:11" x14ac:dyDescent="0.3">
      <c r="A104" s="69"/>
      <c r="B104" s="68"/>
      <c r="C104" s="69"/>
      <c r="D104" s="69"/>
      <c r="E104" s="69"/>
      <c r="F104" s="69"/>
      <c r="G104" s="68"/>
      <c r="H104" s="69"/>
      <c r="I104" s="69"/>
      <c r="J104" s="69"/>
      <c r="K104" s="69"/>
    </row>
    <row r="105" spans="1:11" x14ac:dyDescent="0.3">
      <c r="A105" s="69"/>
      <c r="B105" s="68"/>
      <c r="C105" s="69"/>
      <c r="D105" s="69"/>
      <c r="E105" s="69"/>
      <c r="F105" s="69"/>
      <c r="G105" s="68"/>
      <c r="H105" s="69"/>
      <c r="I105" s="69"/>
      <c r="J105" s="69"/>
      <c r="K105" s="69"/>
    </row>
    <row r="106" spans="1:11" x14ac:dyDescent="0.3">
      <c r="A106" s="69"/>
      <c r="B106" s="68"/>
      <c r="C106" s="69"/>
      <c r="D106" s="69"/>
      <c r="E106" s="69"/>
      <c r="F106" s="69"/>
      <c r="G106" s="68"/>
      <c r="H106" s="69"/>
      <c r="I106" s="69"/>
      <c r="J106" s="69"/>
      <c r="K106" s="69"/>
    </row>
    <row r="107" spans="1:11" x14ac:dyDescent="0.3">
      <c r="A107" s="69"/>
      <c r="B107" s="68"/>
      <c r="C107" s="69"/>
      <c r="D107" s="69"/>
      <c r="E107" s="69"/>
      <c r="F107" s="69"/>
      <c r="G107" s="68"/>
      <c r="H107" s="69"/>
      <c r="I107" s="69"/>
      <c r="J107" s="69"/>
      <c r="K107" s="69"/>
    </row>
    <row r="108" spans="1:11" x14ac:dyDescent="0.3">
      <c r="A108" s="69"/>
      <c r="B108" s="68"/>
      <c r="C108" s="69"/>
      <c r="D108" s="69"/>
      <c r="E108" s="69"/>
      <c r="F108" s="69"/>
      <c r="G108" s="68"/>
      <c r="H108" s="69"/>
      <c r="I108" s="69"/>
      <c r="J108" s="69"/>
      <c r="K108" s="69"/>
    </row>
    <row r="109" spans="1:11" x14ac:dyDescent="0.3">
      <c r="A109" s="69"/>
      <c r="B109" s="68"/>
      <c r="C109" s="69"/>
      <c r="D109" s="69"/>
      <c r="E109" s="69"/>
      <c r="F109" s="69"/>
      <c r="G109" s="68"/>
      <c r="H109" s="69"/>
      <c r="I109" s="69"/>
      <c r="J109" s="69"/>
      <c r="K109" s="69"/>
    </row>
    <row r="110" spans="1:11" x14ac:dyDescent="0.3">
      <c r="A110" s="69"/>
      <c r="B110" s="68"/>
      <c r="C110" s="69"/>
      <c r="D110" s="69"/>
      <c r="E110" s="69"/>
      <c r="F110" s="69"/>
      <c r="G110" s="68"/>
      <c r="H110" s="69"/>
      <c r="I110" s="69"/>
      <c r="J110" s="69"/>
      <c r="K110" s="69"/>
    </row>
    <row r="111" spans="1:11" x14ac:dyDescent="0.3">
      <c r="A111" s="69"/>
      <c r="B111" s="68"/>
      <c r="C111" s="69"/>
      <c r="D111" s="69"/>
      <c r="E111" s="69"/>
      <c r="F111" s="69"/>
      <c r="G111" s="68"/>
      <c r="H111" s="69"/>
      <c r="I111" s="69"/>
      <c r="J111" s="69"/>
      <c r="K111" s="69"/>
    </row>
    <row r="112" spans="1:11" x14ac:dyDescent="0.3">
      <c r="A112" s="69"/>
      <c r="B112" s="68"/>
      <c r="C112" s="69"/>
      <c r="D112" s="69"/>
      <c r="E112" s="69"/>
      <c r="F112" s="69"/>
      <c r="G112" s="68"/>
      <c r="H112" s="69"/>
      <c r="I112" s="69"/>
      <c r="J112" s="69"/>
      <c r="K112" s="69"/>
    </row>
    <row r="113" spans="1:11" x14ac:dyDescent="0.3">
      <c r="A113" s="69"/>
      <c r="B113" s="68"/>
      <c r="C113" s="69"/>
      <c r="D113" s="69"/>
      <c r="E113" s="69"/>
      <c r="F113" s="69"/>
      <c r="G113" s="68"/>
      <c r="H113" s="69"/>
      <c r="I113" s="69"/>
      <c r="J113" s="69"/>
      <c r="K113" s="69"/>
    </row>
    <row r="114" spans="1:11" x14ac:dyDescent="0.3">
      <c r="A114" s="69"/>
      <c r="B114" s="68"/>
      <c r="C114" s="69"/>
      <c r="D114" s="69"/>
      <c r="E114" s="69"/>
      <c r="F114" s="69"/>
      <c r="G114" s="68"/>
      <c r="H114" s="69"/>
      <c r="I114" s="69"/>
      <c r="J114" s="69"/>
      <c r="K114" s="69"/>
    </row>
    <row r="115" spans="1:11" x14ac:dyDescent="0.3">
      <c r="A115" s="69"/>
      <c r="B115" s="68"/>
      <c r="C115" s="69"/>
      <c r="D115" s="69"/>
      <c r="E115" s="69"/>
      <c r="F115" s="69"/>
      <c r="G115" s="68"/>
      <c r="H115" s="69"/>
      <c r="I115" s="69"/>
      <c r="J115" s="69"/>
      <c r="K115" s="69"/>
    </row>
    <row r="116" spans="1:11" x14ac:dyDescent="0.3">
      <c r="A116" s="69"/>
      <c r="B116" s="68"/>
      <c r="C116" s="69"/>
      <c r="D116" s="69"/>
      <c r="E116" s="69"/>
      <c r="F116" s="69"/>
      <c r="G116" s="68"/>
      <c r="H116" s="69"/>
      <c r="I116" s="69"/>
      <c r="J116" s="69"/>
      <c r="K116" s="69"/>
    </row>
    <row r="117" spans="1:11" x14ac:dyDescent="0.3">
      <c r="A117" s="69"/>
      <c r="B117" s="68"/>
      <c r="C117" s="69"/>
      <c r="D117" s="69"/>
      <c r="E117" s="69"/>
      <c r="F117" s="69"/>
      <c r="G117" s="68"/>
      <c r="H117" s="69"/>
      <c r="I117" s="69"/>
      <c r="J117" s="69"/>
      <c r="K117" s="69"/>
    </row>
    <row r="118" spans="1:11" x14ac:dyDescent="0.3">
      <c r="A118" s="69"/>
      <c r="B118" s="68"/>
      <c r="C118" s="69"/>
      <c r="D118" s="69"/>
      <c r="E118" s="69"/>
      <c r="F118" s="69"/>
      <c r="G118" s="68"/>
      <c r="H118" s="69"/>
      <c r="I118" s="69"/>
      <c r="J118" s="69"/>
      <c r="K118" s="69"/>
    </row>
    <row r="119" spans="1:11" x14ac:dyDescent="0.3">
      <c r="A119" s="69"/>
      <c r="B119" s="68"/>
      <c r="C119" s="69"/>
      <c r="D119" s="69"/>
      <c r="E119" s="69"/>
      <c r="F119" s="69"/>
      <c r="G119" s="68"/>
      <c r="H119" s="69"/>
      <c r="I119" s="69"/>
      <c r="J119" s="69"/>
      <c r="K119" s="69"/>
    </row>
    <row r="120" spans="1:11" x14ac:dyDescent="0.3">
      <c r="A120" s="69"/>
      <c r="B120" s="68"/>
      <c r="C120" s="69"/>
      <c r="D120" s="69"/>
      <c r="E120" s="69"/>
      <c r="F120" s="69"/>
      <c r="G120" s="68"/>
      <c r="H120" s="69"/>
      <c r="I120" s="69"/>
      <c r="J120" s="69"/>
      <c r="K120" s="69"/>
    </row>
    <row r="121" spans="1:11" x14ac:dyDescent="0.3">
      <c r="A121" s="69"/>
      <c r="B121" s="68"/>
      <c r="C121" s="69"/>
      <c r="D121" s="69"/>
      <c r="E121" s="69"/>
      <c r="F121" s="69"/>
      <c r="G121" s="68"/>
      <c r="H121" s="69"/>
      <c r="I121" s="69"/>
      <c r="J121" s="69"/>
      <c r="K121" s="69"/>
    </row>
    <row r="122" spans="1:11" x14ac:dyDescent="0.3">
      <c r="A122" s="69"/>
      <c r="B122" s="68"/>
      <c r="C122" s="69"/>
      <c r="D122" s="69"/>
      <c r="E122" s="69"/>
      <c r="F122" s="69"/>
      <c r="G122" s="68"/>
      <c r="H122" s="69"/>
      <c r="I122" s="69"/>
      <c r="J122" s="69"/>
      <c r="K122" s="69"/>
    </row>
    <row r="123" spans="1:11" x14ac:dyDescent="0.3">
      <c r="A123" s="69"/>
      <c r="B123" s="68"/>
      <c r="C123" s="69"/>
      <c r="D123" s="69"/>
      <c r="E123" s="69"/>
      <c r="F123" s="69"/>
      <c r="G123" s="68"/>
      <c r="H123" s="69"/>
      <c r="I123" s="69"/>
      <c r="J123" s="69"/>
      <c r="K123" s="69"/>
    </row>
    <row r="124" spans="1:11" x14ac:dyDescent="0.3">
      <c r="A124" s="69"/>
      <c r="B124" s="68"/>
      <c r="C124" s="69"/>
      <c r="D124" s="69"/>
      <c r="E124" s="69"/>
      <c r="F124" s="69"/>
      <c r="G124" s="68"/>
      <c r="H124" s="69"/>
      <c r="I124" s="69"/>
      <c r="J124" s="69"/>
      <c r="K124" s="69"/>
    </row>
    <row r="125" spans="1:11" x14ac:dyDescent="0.3">
      <c r="A125" s="69"/>
      <c r="B125" s="68"/>
      <c r="C125" s="69"/>
      <c r="D125" s="69"/>
      <c r="E125" s="69"/>
      <c r="F125" s="69"/>
      <c r="G125" s="68"/>
      <c r="H125" s="69"/>
      <c r="I125" s="69"/>
      <c r="J125" s="69"/>
      <c r="K125" s="69"/>
    </row>
    <row r="126" spans="1:11" x14ac:dyDescent="0.3">
      <c r="A126" s="69"/>
      <c r="B126" s="68"/>
      <c r="C126" s="69"/>
      <c r="D126" s="69"/>
      <c r="E126" s="69"/>
      <c r="F126" s="69"/>
      <c r="G126" s="68"/>
      <c r="H126" s="69"/>
      <c r="I126" s="69"/>
      <c r="J126" s="69"/>
      <c r="K126" s="69"/>
    </row>
    <row r="127" spans="1:11" x14ac:dyDescent="0.3">
      <c r="A127" s="69"/>
      <c r="B127" s="68"/>
      <c r="C127" s="69"/>
      <c r="D127" s="69"/>
      <c r="E127" s="69"/>
      <c r="F127" s="69"/>
      <c r="G127" s="68"/>
      <c r="H127" s="69"/>
      <c r="I127" s="69"/>
      <c r="J127" s="69"/>
      <c r="K127" s="69"/>
    </row>
    <row r="128" spans="1:11" x14ac:dyDescent="0.3">
      <c r="A128" s="69"/>
      <c r="B128" s="68"/>
      <c r="C128" s="69"/>
      <c r="D128" s="69"/>
      <c r="E128" s="69"/>
      <c r="F128" s="69"/>
      <c r="G128" s="68"/>
      <c r="H128" s="69"/>
      <c r="I128" s="69"/>
      <c r="J128" s="69"/>
      <c r="K128" s="69"/>
    </row>
    <row r="129" spans="1:11" x14ac:dyDescent="0.3">
      <c r="A129" s="69"/>
      <c r="B129" s="68"/>
      <c r="C129" s="69"/>
      <c r="D129" s="69"/>
      <c r="E129" s="69"/>
      <c r="F129" s="69"/>
      <c r="G129" s="68"/>
      <c r="H129" s="69"/>
      <c r="I129" s="69"/>
      <c r="J129" s="69"/>
      <c r="K129" s="69"/>
    </row>
    <row r="130" spans="1:11" x14ac:dyDescent="0.3">
      <c r="A130" s="69"/>
      <c r="B130" s="68"/>
      <c r="C130" s="69"/>
      <c r="D130" s="69"/>
      <c r="E130" s="69"/>
      <c r="F130" s="69"/>
      <c r="G130" s="68"/>
      <c r="H130" s="69"/>
      <c r="I130" s="69"/>
      <c r="J130" s="69"/>
      <c r="K130" s="69"/>
    </row>
    <row r="131" spans="1:11" x14ac:dyDescent="0.3">
      <c r="A131" s="69"/>
      <c r="B131" s="68"/>
      <c r="C131" s="69"/>
      <c r="D131" s="69"/>
      <c r="E131" s="69"/>
      <c r="F131" s="69"/>
      <c r="G131" s="68"/>
      <c r="H131" s="69"/>
      <c r="I131" s="69"/>
      <c r="J131" s="69"/>
      <c r="K131" s="69"/>
    </row>
    <row r="132" spans="1:11" x14ac:dyDescent="0.3">
      <c r="A132" s="69"/>
      <c r="B132" s="68"/>
      <c r="C132" s="69"/>
      <c r="D132" s="69"/>
      <c r="E132" s="69"/>
      <c r="F132" s="69"/>
      <c r="G132" s="68"/>
      <c r="H132" s="69"/>
      <c r="I132" s="69"/>
      <c r="J132" s="69"/>
      <c r="K132" s="69"/>
    </row>
    <row r="133" spans="1:11" x14ac:dyDescent="0.3">
      <c r="A133" s="69"/>
      <c r="B133" s="68"/>
      <c r="C133" s="69"/>
      <c r="D133" s="69"/>
      <c r="E133" s="69"/>
      <c r="F133" s="69"/>
      <c r="G133" s="68"/>
      <c r="H133" s="69"/>
      <c r="I133" s="69"/>
      <c r="J133" s="69"/>
      <c r="K133" s="69"/>
    </row>
    <row r="134" spans="1:11" x14ac:dyDescent="0.3">
      <c r="A134" s="69"/>
      <c r="B134" s="68"/>
      <c r="C134" s="69"/>
      <c r="D134" s="69"/>
      <c r="E134" s="69"/>
      <c r="F134" s="69"/>
      <c r="G134" s="68"/>
      <c r="H134" s="69"/>
      <c r="I134" s="69"/>
      <c r="J134" s="69"/>
      <c r="K134" s="69"/>
    </row>
    <row r="135" spans="1:11" x14ac:dyDescent="0.3">
      <c r="A135" s="69"/>
      <c r="B135" s="68"/>
      <c r="C135" s="69"/>
      <c r="D135" s="69"/>
      <c r="E135" s="69"/>
      <c r="F135" s="69"/>
      <c r="G135" s="68"/>
      <c r="H135" s="69"/>
      <c r="I135" s="69"/>
      <c r="J135" s="69"/>
      <c r="K135" s="69"/>
    </row>
    <row r="136" spans="1:11" x14ac:dyDescent="0.3">
      <c r="A136" s="69"/>
      <c r="B136" s="68"/>
      <c r="C136" s="69"/>
      <c r="D136" s="69"/>
      <c r="E136" s="69"/>
      <c r="F136" s="69"/>
      <c r="G136" s="68"/>
      <c r="H136" s="69"/>
      <c r="I136" s="69"/>
      <c r="J136" s="69"/>
      <c r="K136" s="69"/>
    </row>
    <row r="137" spans="1:11" x14ac:dyDescent="0.3">
      <c r="A137" s="69"/>
      <c r="B137" s="68"/>
      <c r="C137" s="69"/>
      <c r="D137" s="69"/>
      <c r="E137" s="69"/>
      <c r="F137" s="69"/>
      <c r="G137" s="68"/>
      <c r="H137" s="69"/>
      <c r="I137" s="69"/>
      <c r="J137" s="69"/>
      <c r="K137" s="69"/>
    </row>
    <row r="138" spans="1:11" x14ac:dyDescent="0.3">
      <c r="A138" s="69"/>
      <c r="B138" s="68"/>
      <c r="C138" s="69"/>
      <c r="D138" s="69"/>
      <c r="E138" s="69"/>
      <c r="F138" s="69"/>
      <c r="G138" s="68"/>
      <c r="H138" s="69"/>
      <c r="I138" s="69"/>
      <c r="J138" s="69"/>
      <c r="K138" s="69"/>
    </row>
    <row r="139" spans="1:11" x14ac:dyDescent="0.3">
      <c r="A139" s="69"/>
      <c r="B139" s="68"/>
      <c r="C139" s="69"/>
      <c r="D139" s="69"/>
      <c r="E139" s="69"/>
      <c r="F139" s="69"/>
      <c r="G139" s="68"/>
      <c r="H139" s="69"/>
      <c r="I139" s="69"/>
      <c r="J139" s="69"/>
      <c r="K139" s="69"/>
    </row>
    <row r="140" spans="1:11" x14ac:dyDescent="0.3">
      <c r="A140" s="69"/>
      <c r="B140" s="68"/>
      <c r="C140" s="69"/>
      <c r="D140" s="69"/>
      <c r="E140" s="69"/>
      <c r="F140" s="69"/>
      <c r="G140" s="68"/>
      <c r="H140" s="69"/>
      <c r="I140" s="69"/>
      <c r="J140" s="69"/>
      <c r="K140" s="69"/>
    </row>
    <row r="141" spans="1:11" x14ac:dyDescent="0.3">
      <c r="A141" s="69"/>
      <c r="B141" s="68"/>
      <c r="C141" s="69"/>
      <c r="D141" s="69"/>
      <c r="E141" s="69"/>
      <c r="F141" s="69"/>
      <c r="G141" s="68"/>
      <c r="H141" s="69"/>
      <c r="I141" s="69"/>
      <c r="J141" s="69"/>
      <c r="K141" s="69"/>
    </row>
    <row r="142" spans="1:11" x14ac:dyDescent="0.3">
      <c r="A142" s="69"/>
      <c r="B142" s="68"/>
      <c r="C142" s="69"/>
      <c r="D142" s="69"/>
      <c r="E142" s="69"/>
      <c r="F142" s="69"/>
      <c r="G142" s="68"/>
      <c r="H142" s="69"/>
      <c r="I142" s="69"/>
      <c r="J142" s="69"/>
      <c r="K142" s="69"/>
    </row>
    <row r="143" spans="1:11" x14ac:dyDescent="0.3">
      <c r="A143" s="69"/>
      <c r="B143" s="68"/>
      <c r="C143" s="69"/>
      <c r="D143" s="69"/>
      <c r="E143" s="69"/>
      <c r="F143" s="69"/>
      <c r="G143" s="68"/>
      <c r="H143" s="69"/>
      <c r="I143" s="69"/>
      <c r="J143" s="69"/>
      <c r="K143" s="69"/>
    </row>
    <row r="144" spans="1:11" x14ac:dyDescent="0.3">
      <c r="A144" s="69"/>
      <c r="B144" s="68"/>
      <c r="C144" s="69"/>
      <c r="D144" s="69"/>
      <c r="E144" s="69"/>
      <c r="F144" s="69"/>
      <c r="G144" s="68"/>
      <c r="H144" s="69"/>
      <c r="I144" s="69"/>
      <c r="J144" s="69"/>
      <c r="K144" s="69"/>
    </row>
    <row r="145" spans="1:11" x14ac:dyDescent="0.3">
      <c r="A145" s="69"/>
      <c r="B145" s="68"/>
      <c r="C145" s="69"/>
      <c r="D145" s="69"/>
      <c r="E145" s="69"/>
      <c r="F145" s="69"/>
      <c r="G145" s="68"/>
      <c r="H145" s="69"/>
      <c r="I145" s="69"/>
      <c r="J145" s="69"/>
      <c r="K145" s="69"/>
    </row>
    <row r="146" spans="1:11" x14ac:dyDescent="0.3">
      <c r="A146" s="69"/>
      <c r="B146" s="68"/>
      <c r="C146" s="69"/>
      <c r="D146" s="69"/>
      <c r="E146" s="69"/>
      <c r="F146" s="69"/>
      <c r="G146" s="68"/>
      <c r="H146" s="69"/>
      <c r="I146" s="69"/>
      <c r="J146" s="69"/>
      <c r="K146" s="69"/>
    </row>
    <row r="147" spans="1:11" x14ac:dyDescent="0.3">
      <c r="A147" s="69"/>
      <c r="B147" s="68"/>
      <c r="C147" s="69"/>
      <c r="D147" s="69"/>
      <c r="E147" s="69"/>
      <c r="F147" s="69"/>
      <c r="G147" s="68"/>
      <c r="H147" s="69"/>
      <c r="I147" s="69"/>
      <c r="J147" s="69"/>
      <c r="K147" s="69"/>
    </row>
    <row r="148" spans="1:11" x14ac:dyDescent="0.3">
      <c r="A148" s="69"/>
      <c r="B148" s="68"/>
      <c r="C148" s="69"/>
      <c r="D148" s="69"/>
      <c r="E148" s="69"/>
      <c r="F148" s="69"/>
      <c r="G148" s="68"/>
      <c r="H148" s="69"/>
      <c r="I148" s="69"/>
      <c r="J148" s="69"/>
      <c r="K148" s="69"/>
    </row>
    <row r="149" spans="1:11" x14ac:dyDescent="0.3">
      <c r="A149" s="69"/>
      <c r="B149" s="68"/>
      <c r="C149" s="69"/>
      <c r="D149" s="69"/>
      <c r="E149" s="69"/>
      <c r="F149" s="69"/>
      <c r="G149" s="68"/>
      <c r="H149" s="69"/>
      <c r="I149" s="69"/>
      <c r="J149" s="69"/>
      <c r="K149" s="69"/>
    </row>
    <row r="150" spans="1:11" x14ac:dyDescent="0.3">
      <c r="A150" s="69"/>
      <c r="B150" s="68"/>
      <c r="C150" s="69"/>
      <c r="D150" s="69"/>
      <c r="E150" s="69"/>
      <c r="F150" s="69"/>
      <c r="G150" s="68"/>
      <c r="H150" s="69"/>
      <c r="I150" s="69"/>
      <c r="J150" s="69"/>
      <c r="K150" s="69"/>
    </row>
    <row r="151" spans="1:11" x14ac:dyDescent="0.3">
      <c r="A151" s="69"/>
      <c r="B151" s="68"/>
      <c r="C151" s="69"/>
      <c r="D151" s="69"/>
      <c r="E151" s="69"/>
      <c r="F151" s="69"/>
      <c r="G151" s="68"/>
      <c r="H151" s="69"/>
      <c r="I151" s="69"/>
      <c r="J151" s="69"/>
      <c r="K151" s="69"/>
    </row>
    <row r="152" spans="1:11" x14ac:dyDescent="0.3">
      <c r="A152" s="69"/>
      <c r="B152" s="68"/>
      <c r="C152" s="69"/>
      <c r="D152" s="69"/>
      <c r="E152" s="69"/>
      <c r="F152" s="69"/>
      <c r="G152" s="68"/>
      <c r="H152" s="69"/>
      <c r="I152" s="69"/>
      <c r="J152" s="69"/>
      <c r="K152" s="69"/>
    </row>
    <row r="153" spans="1:11" x14ac:dyDescent="0.3">
      <c r="A153" s="69"/>
      <c r="B153" s="68"/>
      <c r="C153" s="69"/>
      <c r="D153" s="69"/>
      <c r="E153" s="69"/>
      <c r="F153" s="69"/>
      <c r="G153" s="68"/>
      <c r="H153" s="69"/>
      <c r="I153" s="69"/>
      <c r="J153" s="69"/>
      <c r="K153" s="69"/>
    </row>
    <row r="154" spans="1:11" x14ac:dyDescent="0.3">
      <c r="A154" s="69"/>
      <c r="B154" s="68"/>
      <c r="C154" s="69"/>
      <c r="D154" s="69"/>
      <c r="E154" s="69"/>
      <c r="F154" s="69"/>
      <c r="G154" s="68"/>
      <c r="H154" s="69"/>
      <c r="I154" s="69"/>
      <c r="J154" s="69"/>
      <c r="K154" s="69"/>
    </row>
    <row r="155" spans="1:11" x14ac:dyDescent="0.3">
      <c r="A155" s="69"/>
      <c r="B155" s="68"/>
      <c r="C155" s="69"/>
      <c r="D155" s="69"/>
      <c r="E155" s="69"/>
      <c r="F155" s="69"/>
      <c r="G155" s="68"/>
      <c r="H155" s="69"/>
      <c r="I155" s="69"/>
      <c r="J155" s="69"/>
      <c r="K155" s="69"/>
    </row>
    <row r="156" spans="1:11" x14ac:dyDescent="0.3">
      <c r="A156" s="69"/>
      <c r="B156" s="68"/>
      <c r="C156" s="69"/>
      <c r="D156" s="69"/>
      <c r="E156" s="69"/>
      <c r="F156" s="69"/>
      <c r="G156" s="68"/>
      <c r="H156" s="69"/>
      <c r="I156" s="69"/>
      <c r="J156" s="69"/>
      <c r="K156" s="69"/>
    </row>
    <row r="157" spans="1:11" x14ac:dyDescent="0.3">
      <c r="A157" s="69"/>
      <c r="B157" s="68"/>
      <c r="C157" s="69"/>
      <c r="D157" s="69"/>
      <c r="E157" s="69"/>
      <c r="F157" s="69"/>
      <c r="G157" s="68"/>
      <c r="H157" s="69"/>
      <c r="I157" s="69"/>
      <c r="J157" s="69"/>
      <c r="K157" s="69"/>
    </row>
    <row r="158" spans="1:11" x14ac:dyDescent="0.3">
      <c r="A158" s="69"/>
      <c r="B158" s="68"/>
      <c r="C158" s="69"/>
      <c r="D158" s="69"/>
      <c r="E158" s="69"/>
      <c r="F158" s="69"/>
      <c r="G158" s="68"/>
      <c r="H158" s="69"/>
      <c r="I158" s="69"/>
      <c r="J158" s="69"/>
      <c r="K158" s="69"/>
    </row>
    <row r="159" spans="1:11" x14ac:dyDescent="0.3">
      <c r="A159" s="69"/>
      <c r="B159" s="68"/>
      <c r="C159" s="69"/>
      <c r="D159" s="69"/>
      <c r="E159" s="69"/>
      <c r="F159" s="69"/>
      <c r="G159" s="68"/>
      <c r="H159" s="69"/>
      <c r="I159" s="69"/>
      <c r="J159" s="69"/>
      <c r="K159" s="69"/>
    </row>
    <row r="160" spans="1:11" x14ac:dyDescent="0.3">
      <c r="A160" s="69"/>
      <c r="B160" s="68"/>
      <c r="C160" s="69"/>
      <c r="D160" s="69"/>
      <c r="E160" s="69"/>
      <c r="F160" s="69"/>
      <c r="G160" s="68"/>
      <c r="H160" s="69"/>
      <c r="I160" s="69"/>
      <c r="J160" s="69"/>
      <c r="K160" s="69"/>
    </row>
    <row r="161" spans="1:11" x14ac:dyDescent="0.3">
      <c r="A161" s="69"/>
      <c r="B161" s="68"/>
      <c r="C161" s="69"/>
      <c r="D161" s="69"/>
      <c r="E161" s="69"/>
      <c r="F161" s="69"/>
      <c r="G161" s="68"/>
      <c r="H161" s="69"/>
      <c r="I161" s="69"/>
      <c r="J161" s="69"/>
      <c r="K161" s="69"/>
    </row>
    <row r="162" spans="1:11" x14ac:dyDescent="0.3">
      <c r="A162" s="69"/>
      <c r="B162" s="68"/>
      <c r="C162" s="69"/>
      <c r="D162" s="69"/>
      <c r="E162" s="69"/>
      <c r="F162" s="69"/>
      <c r="G162" s="68"/>
      <c r="H162" s="69"/>
      <c r="I162" s="69"/>
      <c r="J162" s="69"/>
      <c r="K162" s="69"/>
    </row>
    <row r="163" spans="1:11" x14ac:dyDescent="0.3">
      <c r="A163" s="69"/>
      <c r="B163" s="68"/>
      <c r="C163" s="69"/>
      <c r="D163" s="69"/>
      <c r="E163" s="69"/>
      <c r="F163" s="69"/>
      <c r="G163" s="68"/>
      <c r="H163" s="69"/>
      <c r="I163" s="69"/>
      <c r="J163" s="69"/>
      <c r="K163" s="69"/>
    </row>
    <row r="164" spans="1:11" x14ac:dyDescent="0.3">
      <c r="A164" s="69"/>
      <c r="B164" s="68"/>
      <c r="C164" s="69"/>
      <c r="D164" s="69"/>
      <c r="E164" s="69"/>
      <c r="F164" s="69"/>
      <c r="G164" s="68"/>
      <c r="H164" s="69"/>
      <c r="I164" s="69"/>
      <c r="J164" s="69"/>
      <c r="K164" s="69"/>
    </row>
    <row r="165" spans="1:11" x14ac:dyDescent="0.3">
      <c r="A165" s="69"/>
      <c r="B165" s="68"/>
      <c r="C165" s="69"/>
      <c r="D165" s="69"/>
      <c r="E165" s="69"/>
      <c r="F165" s="69"/>
      <c r="G165" s="68"/>
      <c r="H165" s="69"/>
      <c r="I165" s="69"/>
      <c r="J165" s="69"/>
      <c r="K165" s="69"/>
    </row>
    <row r="166" spans="1:11" x14ac:dyDescent="0.3">
      <c r="A166" s="69"/>
      <c r="B166" s="68"/>
      <c r="C166" s="69"/>
      <c r="D166" s="69"/>
      <c r="E166" s="69"/>
      <c r="F166" s="69"/>
      <c r="G166" s="68"/>
      <c r="H166" s="69"/>
      <c r="I166" s="69"/>
      <c r="J166" s="69"/>
      <c r="K166" s="69"/>
    </row>
    <row r="167" spans="1:11" x14ac:dyDescent="0.3">
      <c r="A167" s="69"/>
      <c r="B167" s="68"/>
      <c r="C167" s="69"/>
      <c r="D167" s="69"/>
      <c r="E167" s="69"/>
      <c r="F167" s="69"/>
      <c r="G167" s="68"/>
      <c r="H167" s="69"/>
      <c r="I167" s="69"/>
      <c r="J167" s="69"/>
      <c r="K167" s="69"/>
    </row>
    <row r="168" spans="1:11" x14ac:dyDescent="0.3">
      <c r="A168" s="69"/>
      <c r="B168" s="68"/>
      <c r="C168" s="69"/>
      <c r="D168" s="69"/>
      <c r="E168" s="69"/>
      <c r="F168" s="69"/>
      <c r="G168" s="68"/>
      <c r="H168" s="69"/>
      <c r="I168" s="69"/>
      <c r="J168" s="69"/>
      <c r="K168" s="69"/>
    </row>
    <row r="169" spans="1:11" x14ac:dyDescent="0.3">
      <c r="A169" s="69"/>
      <c r="B169" s="68"/>
      <c r="C169" s="69"/>
      <c r="D169" s="69"/>
      <c r="E169" s="69"/>
      <c r="F169" s="69"/>
      <c r="G169" s="68"/>
      <c r="H169" s="69"/>
      <c r="I169" s="69"/>
      <c r="J169" s="69"/>
      <c r="K169" s="69"/>
    </row>
    <row r="170" spans="1:11" x14ac:dyDescent="0.3">
      <c r="A170" s="69"/>
      <c r="B170" s="68"/>
      <c r="C170" s="69"/>
      <c r="D170" s="69"/>
      <c r="E170" s="69"/>
      <c r="F170" s="69"/>
      <c r="G170" s="68"/>
      <c r="H170" s="69"/>
      <c r="I170" s="69"/>
      <c r="J170" s="69"/>
      <c r="K170" s="69"/>
    </row>
    <row r="171" spans="1:11" x14ac:dyDescent="0.3">
      <c r="A171" s="69"/>
      <c r="B171" s="68"/>
      <c r="C171" s="69"/>
      <c r="D171" s="69"/>
      <c r="E171" s="69"/>
      <c r="F171" s="69"/>
      <c r="G171" s="68"/>
      <c r="H171" s="69"/>
      <c r="I171" s="69"/>
      <c r="J171" s="69"/>
      <c r="K171" s="69"/>
    </row>
    <row r="172" spans="1:11" x14ac:dyDescent="0.3">
      <c r="A172" s="69"/>
      <c r="B172" s="68"/>
      <c r="C172" s="69"/>
      <c r="D172" s="69"/>
      <c r="E172" s="69"/>
      <c r="F172" s="69"/>
      <c r="G172" s="68"/>
      <c r="H172" s="69"/>
      <c r="I172" s="69"/>
      <c r="J172" s="69"/>
      <c r="K172" s="69"/>
    </row>
    <row r="173" spans="1:11" x14ac:dyDescent="0.3">
      <c r="A173" s="69"/>
      <c r="B173" s="68"/>
      <c r="C173" s="69"/>
      <c r="D173" s="69"/>
      <c r="E173" s="69"/>
      <c r="F173" s="69"/>
      <c r="G173" s="68"/>
      <c r="H173" s="69"/>
      <c r="I173" s="69"/>
      <c r="J173" s="69"/>
      <c r="K173" s="69"/>
    </row>
    <row r="174" spans="1:11" x14ac:dyDescent="0.3">
      <c r="A174" s="69"/>
      <c r="B174" s="68"/>
      <c r="C174" s="69"/>
      <c r="D174" s="69"/>
      <c r="E174" s="69"/>
      <c r="F174" s="69"/>
      <c r="G174" s="68"/>
      <c r="H174" s="69"/>
      <c r="I174" s="69"/>
      <c r="J174" s="69"/>
      <c r="K174" s="69"/>
    </row>
    <row r="175" spans="1:11" x14ac:dyDescent="0.3">
      <c r="A175" s="69"/>
      <c r="B175" s="68"/>
      <c r="C175" s="69"/>
      <c r="D175" s="69"/>
      <c r="E175" s="69"/>
      <c r="F175" s="69"/>
      <c r="G175" s="68"/>
      <c r="H175" s="69"/>
      <c r="I175" s="69"/>
      <c r="J175" s="69"/>
      <c r="K175" s="69"/>
    </row>
    <row r="176" spans="1:11" x14ac:dyDescent="0.3">
      <c r="A176" s="69"/>
      <c r="B176" s="68"/>
      <c r="C176" s="69"/>
      <c r="D176" s="69"/>
      <c r="E176" s="69"/>
      <c r="F176" s="69"/>
      <c r="G176" s="68"/>
      <c r="H176" s="69"/>
      <c r="I176" s="69"/>
      <c r="J176" s="69"/>
      <c r="K176" s="69"/>
    </row>
    <row r="177" spans="1:11" x14ac:dyDescent="0.3">
      <c r="A177" s="69"/>
      <c r="B177" s="68"/>
      <c r="C177" s="69"/>
      <c r="D177" s="69"/>
      <c r="E177" s="69"/>
      <c r="F177" s="69"/>
      <c r="G177" s="68"/>
      <c r="H177" s="69"/>
      <c r="I177" s="69"/>
      <c r="J177" s="69"/>
      <c r="K177" s="69"/>
    </row>
    <row r="178" spans="1:11" x14ac:dyDescent="0.3">
      <c r="A178" s="69"/>
      <c r="B178" s="68"/>
      <c r="C178" s="69"/>
      <c r="D178" s="69"/>
      <c r="E178" s="69"/>
      <c r="F178" s="69"/>
      <c r="G178" s="68"/>
      <c r="H178" s="69"/>
      <c r="I178" s="69"/>
      <c r="J178" s="69"/>
      <c r="K178" s="69"/>
    </row>
    <row r="179" spans="1:11" x14ac:dyDescent="0.3">
      <c r="A179" s="69"/>
      <c r="B179" s="68"/>
      <c r="C179" s="69"/>
      <c r="D179" s="69"/>
      <c r="E179" s="69"/>
      <c r="F179" s="69"/>
      <c r="G179" s="68"/>
      <c r="H179" s="69"/>
      <c r="I179" s="69"/>
      <c r="J179" s="69"/>
      <c r="K179" s="69"/>
    </row>
    <row r="180" spans="1:11" x14ac:dyDescent="0.3">
      <c r="A180" s="69"/>
      <c r="B180" s="68"/>
      <c r="C180" s="69"/>
      <c r="D180" s="69"/>
      <c r="E180" s="69"/>
      <c r="F180" s="69"/>
      <c r="G180" s="68"/>
      <c r="H180" s="69"/>
      <c r="I180" s="69"/>
      <c r="J180" s="69"/>
      <c r="K180" s="69"/>
    </row>
    <row r="181" spans="1:11" x14ac:dyDescent="0.3">
      <c r="A181" s="69"/>
      <c r="B181" s="68"/>
      <c r="C181" s="69"/>
      <c r="D181" s="69"/>
      <c r="E181" s="69"/>
      <c r="F181" s="69"/>
      <c r="G181" s="68"/>
      <c r="H181" s="69"/>
      <c r="I181" s="69"/>
      <c r="J181" s="69"/>
      <c r="K181" s="69"/>
    </row>
    <row r="182" spans="1:11" x14ac:dyDescent="0.3">
      <c r="A182" s="69"/>
      <c r="B182" s="68"/>
      <c r="C182" s="69"/>
      <c r="D182" s="69"/>
      <c r="E182" s="69"/>
      <c r="F182" s="69"/>
      <c r="G182" s="68"/>
      <c r="H182" s="69"/>
      <c r="I182" s="69"/>
      <c r="J182" s="69"/>
      <c r="K182" s="69"/>
    </row>
    <row r="183" spans="1:11" x14ac:dyDescent="0.3">
      <c r="A183" s="69"/>
      <c r="B183" s="68"/>
      <c r="C183" s="69"/>
      <c r="D183" s="69"/>
      <c r="E183" s="69"/>
      <c r="F183" s="69"/>
      <c r="G183" s="68"/>
      <c r="H183" s="69"/>
      <c r="I183" s="69"/>
      <c r="J183" s="69"/>
      <c r="K183" s="69"/>
    </row>
    <row r="184" spans="1:11" x14ac:dyDescent="0.3">
      <c r="A184" s="69"/>
      <c r="B184" s="68"/>
      <c r="C184" s="69"/>
      <c r="D184" s="69"/>
      <c r="E184" s="69"/>
      <c r="F184" s="69"/>
      <c r="G184" s="68"/>
      <c r="H184" s="69"/>
      <c r="I184" s="69"/>
      <c r="J184" s="69"/>
      <c r="K184" s="69"/>
    </row>
    <row r="185" spans="1:11" x14ac:dyDescent="0.3">
      <c r="A185" s="69"/>
      <c r="B185" s="68"/>
      <c r="C185" s="69"/>
      <c r="D185" s="69"/>
      <c r="E185" s="69"/>
      <c r="F185" s="69"/>
      <c r="G185" s="68"/>
      <c r="H185" s="69"/>
      <c r="I185" s="69"/>
      <c r="J185" s="69"/>
      <c r="K185" s="69"/>
    </row>
    <row r="186" spans="1:11" x14ac:dyDescent="0.3">
      <c r="A186" s="69"/>
      <c r="B186" s="68"/>
      <c r="C186" s="69"/>
      <c r="D186" s="69"/>
      <c r="E186" s="69"/>
      <c r="F186" s="69"/>
      <c r="G186" s="68"/>
      <c r="H186" s="69"/>
      <c r="I186" s="69"/>
      <c r="J186" s="69"/>
      <c r="K186" s="69"/>
    </row>
    <row r="187" spans="1:11" x14ac:dyDescent="0.3">
      <c r="A187" s="69"/>
      <c r="B187" s="68"/>
      <c r="C187" s="69"/>
      <c r="D187" s="69"/>
      <c r="E187" s="69"/>
      <c r="F187" s="69"/>
      <c r="G187" s="68"/>
      <c r="H187" s="69"/>
      <c r="I187" s="69"/>
      <c r="J187" s="69"/>
      <c r="K187" s="69"/>
    </row>
    <row r="188" spans="1:11" x14ac:dyDescent="0.3">
      <c r="A188" s="69"/>
      <c r="B188" s="68"/>
      <c r="C188" s="69"/>
      <c r="D188" s="69"/>
      <c r="E188" s="69"/>
      <c r="F188" s="69"/>
      <c r="G188" s="68"/>
      <c r="H188" s="69"/>
      <c r="I188" s="69"/>
      <c r="J188" s="69"/>
      <c r="K188" s="69"/>
    </row>
    <row r="189" spans="1:11" x14ac:dyDescent="0.3">
      <c r="A189" s="69"/>
      <c r="B189" s="68"/>
      <c r="C189" s="69"/>
      <c r="D189" s="69"/>
      <c r="E189" s="69"/>
      <c r="F189" s="69"/>
      <c r="G189" s="68"/>
      <c r="H189" s="69"/>
      <c r="I189" s="69"/>
      <c r="J189" s="69"/>
      <c r="K189" s="69"/>
    </row>
    <row r="190" spans="1:11" x14ac:dyDescent="0.3">
      <c r="A190" s="69"/>
      <c r="B190" s="68"/>
      <c r="C190" s="69"/>
      <c r="D190" s="69"/>
      <c r="E190" s="69"/>
      <c r="F190" s="69"/>
      <c r="G190" s="68"/>
      <c r="H190" s="69"/>
      <c r="I190" s="69"/>
      <c r="J190" s="69"/>
      <c r="K190" s="69"/>
    </row>
    <row r="191" spans="1:11" x14ac:dyDescent="0.3">
      <c r="A191" s="69"/>
      <c r="B191" s="68"/>
      <c r="C191" s="69"/>
      <c r="D191" s="69"/>
      <c r="E191" s="69"/>
      <c r="F191" s="69"/>
      <c r="G191" s="68"/>
      <c r="H191" s="69"/>
      <c r="I191" s="69"/>
      <c r="J191" s="69"/>
      <c r="K191" s="69"/>
    </row>
    <row r="192" spans="1:11" x14ac:dyDescent="0.3">
      <c r="A192" s="69"/>
      <c r="B192" s="68"/>
      <c r="C192" s="69"/>
      <c r="D192" s="69"/>
      <c r="E192" s="69"/>
      <c r="F192" s="69"/>
      <c r="G192" s="68"/>
      <c r="H192" s="69"/>
      <c r="I192" s="69"/>
      <c r="J192" s="69"/>
      <c r="K192" s="69"/>
    </row>
    <row r="193" spans="1:11" x14ac:dyDescent="0.3">
      <c r="A193" s="69"/>
      <c r="B193" s="68"/>
      <c r="C193" s="69"/>
      <c r="D193" s="69"/>
      <c r="E193" s="69"/>
      <c r="F193" s="69"/>
      <c r="G193" s="68"/>
      <c r="H193" s="69"/>
      <c r="I193" s="69"/>
      <c r="J193" s="69"/>
      <c r="K193" s="69"/>
    </row>
    <row r="194" spans="1:11" x14ac:dyDescent="0.3">
      <c r="A194" s="69"/>
      <c r="B194" s="68"/>
      <c r="C194" s="69"/>
      <c r="D194" s="69"/>
      <c r="E194" s="69"/>
      <c r="F194" s="69"/>
      <c r="G194" s="68"/>
      <c r="H194" s="69"/>
      <c r="I194" s="69"/>
      <c r="J194" s="69"/>
      <c r="K194" s="69"/>
    </row>
    <row r="195" spans="1:11" x14ac:dyDescent="0.3">
      <c r="A195" s="69"/>
      <c r="B195" s="68"/>
      <c r="C195" s="69"/>
      <c r="D195" s="69"/>
      <c r="E195" s="69"/>
      <c r="F195" s="69"/>
      <c r="G195" s="68"/>
      <c r="H195" s="69"/>
      <c r="I195" s="69"/>
      <c r="J195" s="69"/>
      <c r="K195" s="69"/>
    </row>
    <row r="196" spans="1:11" x14ac:dyDescent="0.3">
      <c r="A196" s="69"/>
      <c r="B196" s="68"/>
      <c r="C196" s="69"/>
      <c r="D196" s="69"/>
      <c r="E196" s="69"/>
      <c r="F196" s="69"/>
      <c r="G196" s="68"/>
      <c r="H196" s="69"/>
      <c r="I196" s="69"/>
      <c r="J196" s="69"/>
      <c r="K196" s="69"/>
    </row>
    <row r="197" spans="1:11" x14ac:dyDescent="0.3">
      <c r="A197" s="69"/>
      <c r="B197" s="68"/>
      <c r="C197" s="69"/>
      <c r="D197" s="69"/>
      <c r="E197" s="69"/>
      <c r="F197" s="69"/>
      <c r="G197" s="68"/>
      <c r="H197" s="69"/>
      <c r="I197" s="69"/>
      <c r="J197" s="69"/>
      <c r="K197" s="69"/>
    </row>
    <row r="198" spans="1:11" x14ac:dyDescent="0.3">
      <c r="A198" s="69"/>
      <c r="B198" s="68"/>
      <c r="C198" s="69"/>
      <c r="D198" s="69"/>
      <c r="E198" s="69"/>
      <c r="F198" s="69"/>
      <c r="G198" s="68"/>
      <c r="H198" s="69"/>
      <c r="I198" s="69"/>
      <c r="J198" s="69"/>
      <c r="K198" s="69"/>
    </row>
    <row r="199" spans="1:11" x14ac:dyDescent="0.3">
      <c r="A199" s="69"/>
      <c r="B199" s="68"/>
      <c r="C199" s="69"/>
      <c r="D199" s="69"/>
      <c r="E199" s="69"/>
      <c r="F199" s="69"/>
      <c r="G199" s="68"/>
      <c r="H199" s="69"/>
      <c r="I199" s="69"/>
      <c r="J199" s="69"/>
      <c r="K199" s="69"/>
    </row>
    <row r="200" spans="1:11" x14ac:dyDescent="0.3">
      <c r="A200" s="69"/>
      <c r="B200" s="68"/>
      <c r="C200" s="69"/>
      <c r="D200" s="69"/>
      <c r="E200" s="69"/>
      <c r="F200" s="69"/>
      <c r="G200" s="68"/>
      <c r="H200" s="69"/>
      <c r="I200" s="69"/>
      <c r="J200" s="69"/>
      <c r="K200" s="69"/>
    </row>
    <row r="201" spans="1:11" x14ac:dyDescent="0.3">
      <c r="A201" s="69"/>
      <c r="B201" s="68"/>
      <c r="C201" s="69"/>
      <c r="D201" s="69"/>
      <c r="E201" s="69"/>
      <c r="F201" s="69"/>
      <c r="G201" s="68"/>
      <c r="H201" s="69"/>
      <c r="I201" s="69"/>
      <c r="J201" s="69"/>
      <c r="K201" s="69"/>
    </row>
    <row r="202" spans="1:11" x14ac:dyDescent="0.3">
      <c r="A202" s="69"/>
      <c r="B202" s="68"/>
      <c r="C202" s="69"/>
      <c r="D202" s="69"/>
      <c r="E202" s="69"/>
      <c r="F202" s="69"/>
      <c r="G202" s="68"/>
      <c r="H202" s="69"/>
      <c r="I202" s="69"/>
      <c r="J202" s="69"/>
      <c r="K202" s="69"/>
    </row>
    <row r="203" spans="1:11" x14ac:dyDescent="0.3">
      <c r="A203" s="69"/>
      <c r="B203" s="68"/>
      <c r="C203" s="69"/>
      <c r="D203" s="69"/>
      <c r="E203" s="69"/>
      <c r="F203" s="69"/>
      <c r="G203" s="68"/>
      <c r="H203" s="69"/>
      <c r="I203" s="69"/>
      <c r="J203" s="69"/>
      <c r="K203" s="69"/>
    </row>
    <row r="204" spans="1:11" x14ac:dyDescent="0.3">
      <c r="A204" s="69"/>
      <c r="B204" s="68"/>
      <c r="C204" s="69"/>
      <c r="D204" s="69"/>
      <c r="E204" s="69"/>
      <c r="F204" s="69"/>
      <c r="G204" s="68"/>
      <c r="H204" s="69"/>
      <c r="I204" s="69"/>
      <c r="J204" s="69"/>
      <c r="K204" s="69"/>
    </row>
    <row r="205" spans="1:11" x14ac:dyDescent="0.3">
      <c r="A205" s="69"/>
      <c r="B205" s="68"/>
      <c r="C205" s="69"/>
      <c r="D205" s="69"/>
      <c r="E205" s="69"/>
      <c r="F205" s="69"/>
      <c r="G205" s="68"/>
      <c r="H205" s="69"/>
      <c r="I205" s="69"/>
      <c r="J205" s="69"/>
      <c r="K205" s="69"/>
    </row>
    <row r="206" spans="1:11" x14ac:dyDescent="0.3">
      <c r="A206" s="69"/>
      <c r="B206" s="68"/>
      <c r="C206" s="69"/>
      <c r="D206" s="69"/>
      <c r="E206" s="69"/>
      <c r="F206" s="69"/>
      <c r="G206" s="68"/>
      <c r="H206" s="69"/>
      <c r="I206" s="69"/>
      <c r="J206" s="69"/>
      <c r="K206" s="69"/>
    </row>
    <row r="207" spans="1:11" x14ac:dyDescent="0.3">
      <c r="A207" s="69"/>
      <c r="B207" s="68"/>
      <c r="C207" s="69"/>
      <c r="D207" s="69"/>
      <c r="E207" s="69"/>
      <c r="F207" s="69"/>
      <c r="G207" s="68"/>
      <c r="H207" s="69"/>
      <c r="I207" s="69"/>
      <c r="J207" s="69"/>
      <c r="K207" s="69"/>
    </row>
    <row r="208" spans="1:11" x14ac:dyDescent="0.3">
      <c r="A208" s="69"/>
      <c r="B208" s="68"/>
      <c r="C208" s="69"/>
      <c r="D208" s="69"/>
      <c r="E208" s="69"/>
      <c r="F208" s="69"/>
      <c r="G208" s="68"/>
      <c r="H208" s="69"/>
      <c r="I208" s="69"/>
      <c r="J208" s="69"/>
      <c r="K208" s="69"/>
    </row>
    <row r="209" spans="1:11" x14ac:dyDescent="0.3">
      <c r="A209" s="69"/>
      <c r="B209" s="68"/>
      <c r="C209" s="69"/>
      <c r="D209" s="69"/>
      <c r="E209" s="69"/>
      <c r="F209" s="69"/>
      <c r="G209" s="68"/>
      <c r="H209" s="69"/>
      <c r="I209" s="69"/>
      <c r="J209" s="69"/>
      <c r="K209" s="69"/>
    </row>
    <row r="210" spans="1:11" x14ac:dyDescent="0.3">
      <c r="A210" s="69"/>
      <c r="B210" s="68"/>
      <c r="C210" s="69"/>
      <c r="D210" s="69"/>
      <c r="E210" s="69"/>
      <c r="F210" s="69"/>
      <c r="G210" s="68"/>
      <c r="H210" s="69"/>
      <c r="I210" s="69"/>
      <c r="J210" s="69"/>
      <c r="K210" s="69"/>
    </row>
    <row r="211" spans="1:11" x14ac:dyDescent="0.3">
      <c r="A211" s="69"/>
      <c r="B211" s="68"/>
      <c r="C211" s="69"/>
      <c r="D211" s="69"/>
      <c r="E211" s="69"/>
      <c r="F211" s="69"/>
      <c r="G211" s="68"/>
      <c r="H211" s="69"/>
      <c r="I211" s="69"/>
      <c r="J211" s="69"/>
      <c r="K211" s="69"/>
    </row>
    <row r="212" spans="1:11" x14ac:dyDescent="0.3">
      <c r="A212" s="69"/>
      <c r="B212" s="68"/>
      <c r="C212" s="69"/>
      <c r="D212" s="69"/>
      <c r="E212" s="69"/>
      <c r="F212" s="69"/>
      <c r="G212" s="68"/>
      <c r="H212" s="69"/>
      <c r="I212" s="69"/>
      <c r="J212" s="69"/>
      <c r="K212" s="69"/>
    </row>
    <row r="213" spans="1:11" x14ac:dyDescent="0.3">
      <c r="A213" s="69"/>
      <c r="B213" s="68"/>
      <c r="C213" s="69"/>
      <c r="D213" s="69"/>
      <c r="E213" s="69"/>
      <c r="F213" s="69"/>
      <c r="G213" s="68"/>
      <c r="H213" s="69"/>
      <c r="I213" s="69"/>
      <c r="J213" s="69"/>
      <c r="K213" s="69"/>
    </row>
    <row r="214" spans="1:11" x14ac:dyDescent="0.3">
      <c r="A214" s="69"/>
      <c r="B214" s="68"/>
      <c r="C214" s="69"/>
      <c r="D214" s="69"/>
      <c r="E214" s="69"/>
      <c r="F214" s="69"/>
      <c r="G214" s="68"/>
      <c r="H214" s="69"/>
      <c r="I214" s="69"/>
      <c r="J214" s="69"/>
      <c r="K214" s="69"/>
    </row>
    <row r="215" spans="1:11" x14ac:dyDescent="0.3">
      <c r="A215" s="69"/>
      <c r="B215" s="68"/>
      <c r="C215" s="69"/>
      <c r="D215" s="69"/>
      <c r="E215" s="69"/>
      <c r="F215" s="69"/>
      <c r="G215" s="68"/>
      <c r="H215" s="69"/>
      <c r="I215" s="69"/>
      <c r="J215" s="69"/>
      <c r="K215" s="69"/>
    </row>
    <row r="216" spans="1:11" x14ac:dyDescent="0.3">
      <c r="A216" s="69"/>
      <c r="B216" s="68"/>
      <c r="C216" s="69"/>
      <c r="D216" s="69"/>
      <c r="E216" s="69"/>
      <c r="F216" s="69"/>
      <c r="G216" s="68"/>
      <c r="H216" s="69"/>
      <c r="I216" s="69"/>
      <c r="J216" s="69"/>
      <c r="K216" s="69"/>
    </row>
    <row r="217" spans="1:11" x14ac:dyDescent="0.3">
      <c r="A217" s="69"/>
      <c r="B217" s="68"/>
      <c r="C217" s="69"/>
      <c r="D217" s="69"/>
      <c r="E217" s="69"/>
      <c r="F217" s="69"/>
      <c r="G217" s="68"/>
      <c r="H217" s="69"/>
      <c r="I217" s="69"/>
      <c r="J217" s="69"/>
      <c r="K217" s="69"/>
    </row>
    <row r="218" spans="1:11" x14ac:dyDescent="0.3">
      <c r="A218" s="69"/>
      <c r="B218" s="68"/>
      <c r="C218" s="69"/>
      <c r="D218" s="69"/>
      <c r="E218" s="69"/>
      <c r="F218" s="69"/>
      <c r="G218" s="68"/>
      <c r="H218" s="69"/>
      <c r="I218" s="69"/>
      <c r="J218" s="69"/>
      <c r="K218" s="69"/>
    </row>
    <row r="219" spans="1:11" x14ac:dyDescent="0.3">
      <c r="A219" s="69"/>
      <c r="B219" s="68"/>
      <c r="C219" s="69"/>
      <c r="D219" s="69"/>
      <c r="E219" s="69"/>
      <c r="F219" s="69"/>
      <c r="G219" s="68"/>
      <c r="H219" s="69"/>
      <c r="I219" s="69"/>
      <c r="J219" s="69"/>
      <c r="K219" s="69"/>
    </row>
    <row r="220" spans="1:11" x14ac:dyDescent="0.3">
      <c r="A220" s="69"/>
      <c r="B220" s="68"/>
      <c r="C220" s="69"/>
      <c r="D220" s="69"/>
      <c r="E220" s="69"/>
      <c r="F220" s="69"/>
      <c r="G220" s="68"/>
      <c r="H220" s="69"/>
      <c r="I220" s="69"/>
      <c r="J220" s="69"/>
      <c r="K220" s="69"/>
    </row>
    <row r="221" spans="1:11" x14ac:dyDescent="0.3">
      <c r="A221" s="69"/>
      <c r="B221" s="68"/>
      <c r="C221" s="69"/>
      <c r="D221" s="69"/>
      <c r="E221" s="69"/>
      <c r="F221" s="69"/>
      <c r="G221" s="68"/>
      <c r="H221" s="69"/>
      <c r="I221" s="69"/>
      <c r="J221" s="69"/>
      <c r="K221" s="69"/>
    </row>
    <row r="222" spans="1:11" x14ac:dyDescent="0.3">
      <c r="A222" s="69"/>
      <c r="B222" s="68"/>
      <c r="C222" s="69"/>
      <c r="D222" s="69"/>
      <c r="E222" s="69"/>
      <c r="F222" s="69"/>
      <c r="G222" s="68"/>
      <c r="H222" s="69"/>
      <c r="I222" s="69"/>
      <c r="J222" s="69"/>
      <c r="K222" s="69"/>
    </row>
    <row r="223" spans="1:11" x14ac:dyDescent="0.3">
      <c r="A223" s="69"/>
      <c r="B223" s="68"/>
      <c r="C223" s="69"/>
      <c r="D223" s="69"/>
      <c r="E223" s="69"/>
      <c r="F223" s="69"/>
      <c r="G223" s="68"/>
      <c r="H223" s="69"/>
      <c r="I223" s="69"/>
      <c r="J223" s="69"/>
      <c r="K223" s="69"/>
    </row>
    <row r="224" spans="1:11" x14ac:dyDescent="0.3">
      <c r="A224" s="69"/>
      <c r="B224" s="68"/>
      <c r="C224" s="69"/>
      <c r="D224" s="69"/>
      <c r="E224" s="69"/>
      <c r="F224" s="69"/>
      <c r="G224" s="68"/>
      <c r="H224" s="69"/>
      <c r="I224" s="69"/>
      <c r="J224" s="69"/>
      <c r="K224" s="69"/>
    </row>
    <row r="225" spans="1:11" x14ac:dyDescent="0.3">
      <c r="A225" s="69"/>
      <c r="B225" s="68"/>
      <c r="C225" s="69"/>
      <c r="D225" s="69"/>
      <c r="E225" s="69"/>
      <c r="F225" s="69"/>
      <c r="G225" s="68"/>
      <c r="H225" s="69"/>
      <c r="I225" s="69"/>
      <c r="J225" s="69"/>
      <c r="K225" s="69"/>
    </row>
    <row r="226" spans="1:11" x14ac:dyDescent="0.3">
      <c r="A226" s="69"/>
      <c r="B226" s="68"/>
      <c r="C226" s="69"/>
      <c r="D226" s="69"/>
      <c r="E226" s="69"/>
      <c r="F226" s="69"/>
      <c r="G226" s="68"/>
      <c r="H226" s="69"/>
      <c r="I226" s="69"/>
      <c r="J226" s="69"/>
      <c r="K226" s="69"/>
    </row>
    <row r="227" spans="1:11" x14ac:dyDescent="0.3">
      <c r="A227" s="69"/>
      <c r="B227" s="68"/>
      <c r="C227" s="69"/>
      <c r="D227" s="69"/>
      <c r="E227" s="69"/>
      <c r="F227" s="69"/>
      <c r="G227" s="68"/>
      <c r="H227" s="69"/>
      <c r="I227" s="69"/>
      <c r="J227" s="69"/>
      <c r="K227" s="69"/>
    </row>
    <row r="228" spans="1:11" x14ac:dyDescent="0.3">
      <c r="A228" s="69"/>
      <c r="B228" s="68"/>
      <c r="C228" s="69"/>
      <c r="D228" s="69"/>
      <c r="E228" s="69"/>
      <c r="F228" s="69"/>
      <c r="G228" s="68"/>
      <c r="H228" s="69"/>
      <c r="I228" s="69"/>
      <c r="J228" s="69"/>
      <c r="K228" s="69"/>
    </row>
    <row r="229" spans="1:11" x14ac:dyDescent="0.3">
      <c r="A229" s="69"/>
      <c r="B229" s="68"/>
      <c r="C229" s="69"/>
      <c r="D229" s="69"/>
      <c r="E229" s="69"/>
      <c r="F229" s="69"/>
      <c r="G229" s="68"/>
      <c r="H229" s="69"/>
      <c r="I229" s="69"/>
      <c r="J229" s="69"/>
      <c r="K229" s="69"/>
    </row>
    <row r="230" spans="1:11" x14ac:dyDescent="0.3">
      <c r="A230" s="69"/>
      <c r="B230" s="68"/>
      <c r="C230" s="69"/>
      <c r="D230" s="69"/>
      <c r="E230" s="69"/>
      <c r="F230" s="69"/>
      <c r="G230" s="68"/>
      <c r="H230" s="69"/>
      <c r="I230" s="69"/>
      <c r="J230" s="69"/>
      <c r="K230" s="69"/>
    </row>
    <row r="231" spans="1:11" x14ac:dyDescent="0.3">
      <c r="A231" s="69"/>
      <c r="B231" s="68"/>
      <c r="C231" s="69"/>
      <c r="D231" s="69"/>
      <c r="E231" s="69"/>
      <c r="F231" s="69"/>
      <c r="G231" s="68"/>
      <c r="H231" s="69"/>
      <c r="I231" s="69"/>
      <c r="J231" s="69"/>
      <c r="K231" s="69"/>
    </row>
    <row r="232" spans="1:11" x14ac:dyDescent="0.3">
      <c r="A232" s="69"/>
      <c r="B232" s="68"/>
      <c r="C232" s="69"/>
      <c r="D232" s="69"/>
      <c r="E232" s="69"/>
      <c r="F232" s="69"/>
      <c r="G232" s="68"/>
      <c r="H232" s="69"/>
      <c r="I232" s="69"/>
      <c r="J232" s="69"/>
      <c r="K232" s="69"/>
    </row>
    <row r="233" spans="1:11" x14ac:dyDescent="0.3">
      <c r="A233" s="69"/>
      <c r="B233" s="68"/>
      <c r="C233" s="69"/>
      <c r="D233" s="69"/>
      <c r="E233" s="69"/>
      <c r="F233" s="69"/>
      <c r="G233" s="68"/>
      <c r="H233" s="69"/>
      <c r="I233" s="69"/>
      <c r="J233" s="69"/>
      <c r="K233" s="69"/>
    </row>
    <row r="234" spans="1:11" x14ac:dyDescent="0.3">
      <c r="A234" s="69"/>
      <c r="B234" s="68"/>
      <c r="C234" s="69"/>
      <c r="D234" s="69"/>
      <c r="E234" s="69"/>
      <c r="F234" s="69"/>
      <c r="G234" s="68"/>
      <c r="H234" s="69"/>
      <c r="I234" s="69"/>
      <c r="J234" s="69"/>
      <c r="K234" s="69"/>
    </row>
    <row r="235" spans="1:11" x14ac:dyDescent="0.3">
      <c r="A235" s="69"/>
      <c r="B235" s="68"/>
      <c r="C235" s="69"/>
      <c r="D235" s="69"/>
      <c r="E235" s="69"/>
      <c r="F235" s="69"/>
      <c r="G235" s="68"/>
      <c r="H235" s="69"/>
      <c r="I235" s="69"/>
      <c r="J235" s="69"/>
      <c r="K235" s="69"/>
    </row>
    <row r="236" spans="1:11" x14ac:dyDescent="0.3">
      <c r="A236" s="69"/>
      <c r="B236" s="68"/>
      <c r="C236" s="69"/>
      <c r="D236" s="69"/>
      <c r="E236" s="69"/>
      <c r="F236" s="69"/>
      <c r="G236" s="68"/>
      <c r="H236" s="69"/>
      <c r="I236" s="69"/>
      <c r="J236" s="69"/>
      <c r="K236" s="69"/>
    </row>
    <row r="237" spans="1:11" x14ac:dyDescent="0.3">
      <c r="A237" s="69"/>
      <c r="B237" s="68"/>
      <c r="C237" s="69"/>
      <c r="D237" s="69"/>
      <c r="E237" s="69"/>
      <c r="F237" s="69"/>
      <c r="G237" s="68"/>
      <c r="H237" s="69"/>
      <c r="I237" s="69"/>
      <c r="J237" s="69"/>
      <c r="K237" s="69"/>
    </row>
    <row r="238" spans="1:11" x14ac:dyDescent="0.3">
      <c r="A238" s="69"/>
      <c r="B238" s="68"/>
      <c r="C238" s="69"/>
      <c r="D238" s="69"/>
      <c r="E238" s="69"/>
      <c r="F238" s="69"/>
      <c r="G238" s="68"/>
      <c r="H238" s="69"/>
      <c r="I238" s="69"/>
      <c r="J238" s="69"/>
      <c r="K238" s="69"/>
    </row>
    <row r="239" spans="1:11" x14ac:dyDescent="0.3">
      <c r="A239" s="69"/>
      <c r="B239" s="68"/>
      <c r="C239" s="69"/>
      <c r="D239" s="69"/>
      <c r="E239" s="69"/>
      <c r="F239" s="69"/>
      <c r="G239" s="68"/>
      <c r="H239" s="69"/>
      <c r="I239" s="69"/>
      <c r="J239" s="69"/>
      <c r="K239" s="69"/>
    </row>
    <row r="240" spans="1:11" x14ac:dyDescent="0.3">
      <c r="A240" s="69"/>
      <c r="B240" s="68"/>
      <c r="C240" s="69"/>
      <c r="D240" s="69"/>
      <c r="E240" s="69"/>
      <c r="F240" s="69"/>
      <c r="G240" s="68"/>
      <c r="H240" s="69"/>
      <c r="I240" s="69"/>
      <c r="J240" s="69"/>
      <c r="K240" s="69"/>
    </row>
    <row r="241" spans="1:11" x14ac:dyDescent="0.3">
      <c r="A241" s="69"/>
      <c r="B241" s="68"/>
      <c r="C241" s="69"/>
      <c r="D241" s="69"/>
      <c r="E241" s="69"/>
      <c r="F241" s="69"/>
      <c r="G241" s="68"/>
      <c r="H241" s="69"/>
      <c r="I241" s="69"/>
      <c r="J241" s="69"/>
      <c r="K241" s="69"/>
    </row>
    <row r="242" spans="1:11" x14ac:dyDescent="0.3">
      <c r="A242" s="69"/>
      <c r="B242" s="68"/>
      <c r="C242" s="69"/>
      <c r="D242" s="69"/>
      <c r="E242" s="69"/>
      <c r="F242" s="69"/>
      <c r="G242" s="68"/>
      <c r="H242" s="69"/>
      <c r="I242" s="69"/>
      <c r="J242" s="69"/>
      <c r="K242" s="69"/>
    </row>
    <row r="243" spans="1:11" x14ac:dyDescent="0.3">
      <c r="A243" s="69"/>
      <c r="B243" s="68"/>
      <c r="C243" s="69"/>
      <c r="D243" s="69"/>
      <c r="E243" s="69"/>
      <c r="F243" s="69"/>
      <c r="G243" s="68"/>
      <c r="H243" s="69"/>
      <c r="I243" s="69"/>
      <c r="J243" s="69"/>
      <c r="K243" s="69"/>
    </row>
    <row r="244" spans="1:11" x14ac:dyDescent="0.3">
      <c r="A244" s="69"/>
      <c r="B244" s="68"/>
      <c r="C244" s="69"/>
      <c r="D244" s="69"/>
      <c r="E244" s="69"/>
      <c r="F244" s="69"/>
      <c r="G244" s="68"/>
      <c r="H244" s="69"/>
      <c r="I244" s="69"/>
      <c r="J244" s="69"/>
      <c r="K244" s="69"/>
    </row>
    <row r="245" spans="1:11" x14ac:dyDescent="0.3">
      <c r="A245" s="69"/>
      <c r="B245" s="68"/>
      <c r="C245" s="69"/>
      <c r="D245" s="69"/>
      <c r="E245" s="69"/>
      <c r="F245" s="69"/>
      <c r="G245" s="68"/>
      <c r="H245" s="69"/>
      <c r="I245" s="69"/>
      <c r="J245" s="69"/>
      <c r="K245" s="69"/>
    </row>
    <row r="246" spans="1:11" x14ac:dyDescent="0.3">
      <c r="A246" s="69"/>
      <c r="B246" s="68"/>
      <c r="C246" s="69"/>
      <c r="D246" s="69"/>
      <c r="E246" s="69"/>
      <c r="F246" s="69"/>
      <c r="G246" s="68"/>
      <c r="H246" s="69"/>
      <c r="I246" s="69"/>
      <c r="J246" s="69"/>
      <c r="K246" s="69"/>
    </row>
    <row r="247" spans="1:11" x14ac:dyDescent="0.3">
      <c r="A247" s="69"/>
      <c r="B247" s="68"/>
      <c r="C247" s="69"/>
      <c r="D247" s="69"/>
      <c r="E247" s="69"/>
      <c r="F247" s="69"/>
      <c r="G247" s="68"/>
      <c r="H247" s="69"/>
      <c r="I247" s="69"/>
      <c r="J247" s="69"/>
      <c r="K247" s="69"/>
    </row>
    <row r="248" spans="1:11" x14ac:dyDescent="0.3">
      <c r="A248" s="69"/>
      <c r="B248" s="68"/>
      <c r="C248" s="69"/>
      <c r="D248" s="69"/>
      <c r="E248" s="69"/>
      <c r="F248" s="69"/>
      <c r="G248" s="68"/>
      <c r="H248" s="69"/>
      <c r="I248" s="69"/>
      <c r="J248" s="69"/>
      <c r="K248" s="69"/>
    </row>
    <row r="249" spans="1:11" x14ac:dyDescent="0.3">
      <c r="A249" s="69"/>
      <c r="B249" s="68"/>
      <c r="C249" s="69"/>
      <c r="D249" s="69"/>
      <c r="E249" s="69"/>
      <c r="F249" s="69"/>
      <c r="G249" s="68"/>
      <c r="H249" s="69"/>
      <c r="I249" s="69"/>
      <c r="J249" s="69"/>
      <c r="K249" s="69"/>
    </row>
    <row r="250" spans="1:11" x14ac:dyDescent="0.3">
      <c r="A250" s="69"/>
      <c r="B250" s="68"/>
      <c r="C250" s="69"/>
      <c r="D250" s="69"/>
      <c r="E250" s="69"/>
      <c r="F250" s="69"/>
      <c r="G250" s="68"/>
      <c r="H250" s="69"/>
      <c r="I250" s="69"/>
      <c r="J250" s="69"/>
      <c r="K250" s="69"/>
    </row>
    <row r="251" spans="1:11" x14ac:dyDescent="0.3">
      <c r="A251" s="69"/>
      <c r="B251" s="68"/>
      <c r="C251" s="69"/>
      <c r="D251" s="69"/>
      <c r="E251" s="69"/>
      <c r="F251" s="69"/>
      <c r="G251" s="68"/>
      <c r="H251" s="69"/>
      <c r="I251" s="69"/>
      <c r="J251" s="69"/>
      <c r="K251" s="69"/>
    </row>
    <row r="252" spans="1:11" x14ac:dyDescent="0.3">
      <c r="A252" s="69"/>
      <c r="B252" s="68"/>
      <c r="C252" s="69"/>
      <c r="D252" s="69"/>
      <c r="E252" s="69"/>
      <c r="F252" s="69"/>
      <c r="G252" s="68"/>
      <c r="H252" s="69"/>
      <c r="I252" s="69"/>
      <c r="J252" s="69"/>
      <c r="K252" s="69"/>
    </row>
    <row r="253" spans="1:11" x14ac:dyDescent="0.3">
      <c r="A253" s="69"/>
      <c r="B253" s="68"/>
      <c r="C253" s="69"/>
      <c r="D253" s="69"/>
      <c r="E253" s="69"/>
      <c r="F253" s="69"/>
      <c r="G253" s="68"/>
      <c r="H253" s="69"/>
      <c r="I253" s="69"/>
      <c r="J253" s="69"/>
      <c r="K253" s="69"/>
    </row>
    <row r="254" spans="1:11" x14ac:dyDescent="0.3">
      <c r="A254" s="69"/>
      <c r="B254" s="68"/>
      <c r="C254" s="69"/>
      <c r="D254" s="69"/>
      <c r="E254" s="69"/>
      <c r="F254" s="69"/>
      <c r="G254" s="68"/>
      <c r="H254" s="69"/>
      <c r="I254" s="69"/>
      <c r="J254" s="69"/>
      <c r="K254" s="69"/>
    </row>
    <row r="255" spans="1:11" x14ac:dyDescent="0.3">
      <c r="A255" s="69"/>
      <c r="B255" s="68"/>
      <c r="C255" s="69"/>
      <c r="D255" s="69"/>
      <c r="E255" s="69"/>
      <c r="F255" s="69"/>
      <c r="G255" s="68"/>
      <c r="H255" s="69"/>
      <c r="I255" s="69"/>
      <c r="J255" s="69"/>
      <c r="K255" s="69"/>
    </row>
    <row r="256" spans="1:11" x14ac:dyDescent="0.3">
      <c r="A256" s="69"/>
      <c r="B256" s="68"/>
      <c r="C256" s="69"/>
      <c r="D256" s="69"/>
      <c r="E256" s="69"/>
      <c r="F256" s="69"/>
      <c r="G256" s="68"/>
      <c r="H256" s="69"/>
      <c r="I256" s="69"/>
      <c r="J256" s="69"/>
      <c r="K256" s="69"/>
    </row>
    <row r="257" spans="1:11" x14ac:dyDescent="0.3">
      <c r="A257" s="69"/>
      <c r="B257" s="68"/>
      <c r="C257" s="69"/>
      <c r="D257" s="69"/>
      <c r="E257" s="69"/>
      <c r="F257" s="69"/>
      <c r="G257" s="68"/>
      <c r="H257" s="69"/>
      <c r="I257" s="69"/>
      <c r="J257" s="69"/>
      <c r="K257" s="69"/>
    </row>
    <row r="258" spans="1:11" x14ac:dyDescent="0.3">
      <c r="A258" s="69"/>
      <c r="B258" s="68"/>
      <c r="C258" s="69"/>
      <c r="D258" s="69"/>
      <c r="E258" s="69"/>
      <c r="F258" s="69"/>
      <c r="G258" s="68"/>
      <c r="H258" s="69"/>
      <c r="I258" s="69"/>
      <c r="J258" s="69"/>
      <c r="K258" s="69"/>
    </row>
    <row r="259" spans="1:11" x14ac:dyDescent="0.3">
      <c r="A259" s="69"/>
      <c r="B259" s="68"/>
      <c r="C259" s="69"/>
      <c r="D259" s="69"/>
      <c r="E259" s="69"/>
      <c r="F259" s="69"/>
      <c r="G259" s="68"/>
      <c r="H259" s="69"/>
      <c r="I259" s="69"/>
      <c r="J259" s="69"/>
      <c r="K259" s="69"/>
    </row>
    <row r="260" spans="1:11" x14ac:dyDescent="0.3">
      <c r="A260" s="69"/>
      <c r="B260" s="68"/>
      <c r="C260" s="69"/>
      <c r="D260" s="69"/>
      <c r="E260" s="69"/>
      <c r="F260" s="69"/>
      <c r="G260" s="68"/>
      <c r="H260" s="69"/>
      <c r="I260" s="69"/>
      <c r="J260" s="69"/>
      <c r="K260" s="69"/>
    </row>
    <row r="261" spans="1:11" x14ac:dyDescent="0.3">
      <c r="A261" s="69"/>
      <c r="B261" s="68"/>
      <c r="C261" s="69"/>
      <c r="D261" s="69"/>
      <c r="E261" s="69"/>
      <c r="F261" s="69"/>
      <c r="G261" s="68"/>
      <c r="H261" s="69"/>
      <c r="I261" s="69"/>
      <c r="J261" s="69"/>
      <c r="K261" s="69"/>
    </row>
    <row r="262" spans="1:11" x14ac:dyDescent="0.3">
      <c r="A262" s="69"/>
      <c r="B262" s="68"/>
      <c r="C262" s="69"/>
      <c r="D262" s="69"/>
      <c r="E262" s="69"/>
      <c r="F262" s="69"/>
      <c r="G262" s="68"/>
      <c r="H262" s="69"/>
      <c r="I262" s="69"/>
      <c r="J262" s="69"/>
      <c r="K262" s="69"/>
    </row>
    <row r="263" spans="1:11" x14ac:dyDescent="0.3">
      <c r="A263" s="69"/>
      <c r="B263" s="68"/>
      <c r="C263" s="69"/>
      <c r="D263" s="69"/>
      <c r="E263" s="69"/>
      <c r="F263" s="69"/>
      <c r="G263" s="68"/>
      <c r="H263" s="69"/>
      <c r="I263" s="69"/>
      <c r="J263" s="69"/>
      <c r="K263" s="69"/>
    </row>
    <row r="264" spans="1:11" x14ac:dyDescent="0.3">
      <c r="A264" s="69"/>
      <c r="B264" s="68"/>
      <c r="C264" s="69"/>
      <c r="D264" s="69"/>
      <c r="E264" s="69"/>
      <c r="F264" s="69"/>
      <c r="G264" s="68"/>
      <c r="H264" s="69"/>
      <c r="I264" s="69"/>
      <c r="J264" s="69"/>
      <c r="K264" s="69"/>
    </row>
    <row r="265" spans="1:11" x14ac:dyDescent="0.3">
      <c r="A265" s="69"/>
      <c r="B265" s="68"/>
      <c r="C265" s="69"/>
      <c r="D265" s="69"/>
      <c r="E265" s="69"/>
      <c r="F265" s="69"/>
      <c r="G265" s="68"/>
      <c r="H265" s="69"/>
      <c r="I265" s="69"/>
      <c r="J265" s="69"/>
      <c r="K265" s="69"/>
    </row>
    <row r="266" spans="1:11" x14ac:dyDescent="0.3">
      <c r="A266" s="69"/>
      <c r="B266" s="68"/>
      <c r="C266" s="69"/>
      <c r="D266" s="69"/>
      <c r="E266" s="69"/>
      <c r="F266" s="69"/>
      <c r="G266" s="68"/>
      <c r="H266" s="69"/>
      <c r="I266" s="69"/>
      <c r="J266" s="69"/>
      <c r="K266" s="69"/>
    </row>
    <row r="267" spans="1:11" x14ac:dyDescent="0.3">
      <c r="A267" s="69"/>
      <c r="B267" s="68"/>
      <c r="C267" s="69"/>
      <c r="D267" s="69"/>
      <c r="E267" s="69"/>
      <c r="F267" s="69"/>
      <c r="G267" s="68"/>
      <c r="H267" s="69"/>
      <c r="I267" s="69"/>
      <c r="J267" s="69"/>
      <c r="K267" s="69"/>
    </row>
    <row r="268" spans="1:11" x14ac:dyDescent="0.3">
      <c r="A268" s="69"/>
      <c r="B268" s="68"/>
      <c r="C268" s="69"/>
      <c r="D268" s="69"/>
      <c r="E268" s="69"/>
      <c r="F268" s="69"/>
      <c r="G268" s="68"/>
      <c r="H268" s="69"/>
      <c r="I268" s="69"/>
      <c r="J268" s="69"/>
      <c r="K268" s="69"/>
    </row>
    <row r="269" spans="1:11" x14ac:dyDescent="0.3">
      <c r="A269" s="69"/>
      <c r="B269" s="68"/>
      <c r="C269" s="69"/>
      <c r="D269" s="69"/>
      <c r="E269" s="69"/>
      <c r="F269" s="69"/>
      <c r="G269" s="68"/>
      <c r="H269" s="69"/>
      <c r="I269" s="69"/>
      <c r="J269" s="69"/>
      <c r="K269" s="69"/>
    </row>
    <row r="270" spans="1:11" x14ac:dyDescent="0.3">
      <c r="A270" s="69"/>
      <c r="B270" s="68"/>
      <c r="C270" s="69"/>
      <c r="D270" s="69"/>
      <c r="E270" s="69"/>
      <c r="F270" s="69"/>
      <c r="G270" s="68"/>
      <c r="H270" s="69"/>
      <c r="I270" s="69"/>
      <c r="J270" s="69"/>
      <c r="K270" s="69"/>
    </row>
    <row r="271" spans="1:11" x14ac:dyDescent="0.3">
      <c r="A271" s="69"/>
      <c r="B271" s="68"/>
      <c r="C271" s="69"/>
      <c r="D271" s="69"/>
      <c r="E271" s="69"/>
      <c r="F271" s="69"/>
      <c r="G271" s="68"/>
      <c r="H271" s="69"/>
      <c r="I271" s="69"/>
      <c r="J271" s="69"/>
      <c r="K271" s="69"/>
    </row>
    <row r="272" spans="1:11" x14ac:dyDescent="0.3">
      <c r="A272" s="69"/>
      <c r="B272" s="68"/>
      <c r="C272" s="69"/>
      <c r="D272" s="69"/>
      <c r="E272" s="69"/>
      <c r="F272" s="69"/>
      <c r="G272" s="68"/>
      <c r="H272" s="69"/>
      <c r="I272" s="69"/>
      <c r="J272" s="69"/>
      <c r="K272" s="69"/>
    </row>
    <row r="273" spans="1:11" x14ac:dyDescent="0.3">
      <c r="A273" s="69"/>
      <c r="B273" s="68"/>
      <c r="C273" s="69"/>
      <c r="D273" s="69"/>
      <c r="E273" s="69"/>
      <c r="F273" s="69"/>
      <c r="G273" s="68"/>
      <c r="H273" s="69"/>
      <c r="I273" s="69"/>
      <c r="J273" s="69"/>
      <c r="K273" s="69"/>
    </row>
    <row r="274" spans="1:11" x14ac:dyDescent="0.3">
      <c r="A274" s="69"/>
      <c r="B274" s="68"/>
      <c r="C274" s="69"/>
      <c r="D274" s="69"/>
      <c r="E274" s="69"/>
      <c r="F274" s="69"/>
      <c r="G274" s="68"/>
      <c r="H274" s="69"/>
      <c r="I274" s="69"/>
      <c r="J274" s="69"/>
      <c r="K274" s="69"/>
    </row>
    <row r="275" spans="1:11" x14ac:dyDescent="0.3">
      <c r="A275" s="69"/>
      <c r="B275" s="68"/>
      <c r="C275" s="69"/>
      <c r="D275" s="69"/>
      <c r="E275" s="69"/>
      <c r="F275" s="69"/>
      <c r="G275" s="68"/>
      <c r="H275" s="69"/>
      <c r="I275" s="69"/>
      <c r="J275" s="69"/>
      <c r="K275" s="69"/>
    </row>
    <row r="276" spans="1:11" x14ac:dyDescent="0.3">
      <c r="A276" s="69"/>
      <c r="B276" s="68"/>
      <c r="C276" s="69"/>
      <c r="D276" s="69"/>
      <c r="E276" s="69"/>
      <c r="F276" s="69"/>
      <c r="G276" s="68"/>
      <c r="H276" s="69"/>
      <c r="I276" s="69"/>
      <c r="J276" s="69"/>
      <c r="K276" s="69"/>
    </row>
    <row r="277" spans="1:11" x14ac:dyDescent="0.3">
      <c r="A277" s="69"/>
      <c r="B277" s="68"/>
      <c r="C277" s="69"/>
      <c r="D277" s="69"/>
      <c r="E277" s="69"/>
      <c r="F277" s="69"/>
      <c r="G277" s="68"/>
      <c r="H277" s="69"/>
      <c r="I277" s="69"/>
      <c r="J277" s="69"/>
      <c r="K277" s="69"/>
    </row>
    <row r="278" spans="1:11" x14ac:dyDescent="0.3">
      <c r="A278" s="69"/>
      <c r="B278" s="68"/>
      <c r="C278" s="69"/>
      <c r="D278" s="69"/>
      <c r="E278" s="69"/>
      <c r="F278" s="69"/>
      <c r="G278" s="68"/>
      <c r="H278" s="69"/>
      <c r="I278" s="69"/>
      <c r="J278" s="69"/>
      <c r="K278" s="69"/>
    </row>
    <row r="279" spans="1:11" x14ac:dyDescent="0.3">
      <c r="A279" s="69"/>
      <c r="B279" s="68"/>
      <c r="C279" s="69"/>
      <c r="D279" s="69"/>
      <c r="E279" s="69"/>
      <c r="F279" s="69"/>
      <c r="G279" s="68"/>
      <c r="H279" s="69"/>
      <c r="I279" s="69"/>
      <c r="J279" s="69"/>
      <c r="K279" s="69"/>
    </row>
    <row r="280" spans="1:11" x14ac:dyDescent="0.3">
      <c r="A280" s="69"/>
      <c r="B280" s="68"/>
      <c r="C280" s="69"/>
      <c r="D280" s="69"/>
      <c r="E280" s="69"/>
      <c r="F280" s="69"/>
      <c r="G280" s="68"/>
      <c r="H280" s="69"/>
      <c r="I280" s="69"/>
      <c r="J280" s="69"/>
      <c r="K280" s="69"/>
    </row>
    <row r="281" spans="1:11" x14ac:dyDescent="0.3">
      <c r="A281" s="69"/>
      <c r="B281" s="68"/>
      <c r="C281" s="69"/>
      <c r="D281" s="69"/>
      <c r="E281" s="69"/>
      <c r="F281" s="69"/>
      <c r="G281" s="68"/>
      <c r="H281" s="69"/>
      <c r="I281" s="69"/>
      <c r="J281" s="69"/>
      <c r="K281" s="69"/>
    </row>
    <row r="282" spans="1:11" x14ac:dyDescent="0.3">
      <c r="A282" s="69"/>
      <c r="B282" s="68"/>
      <c r="C282" s="69"/>
      <c r="D282" s="69"/>
      <c r="E282" s="69"/>
      <c r="F282" s="69"/>
      <c r="G282" s="68"/>
      <c r="H282" s="69"/>
      <c r="I282" s="69"/>
      <c r="J282" s="69"/>
      <c r="K282" s="69"/>
    </row>
    <row r="283" spans="1:11" x14ac:dyDescent="0.3">
      <c r="A283" s="69"/>
      <c r="B283" s="68"/>
      <c r="C283" s="69"/>
      <c r="D283" s="69"/>
      <c r="E283" s="69"/>
      <c r="F283" s="69"/>
      <c r="G283" s="68"/>
      <c r="H283" s="69"/>
      <c r="I283" s="69"/>
      <c r="J283" s="69"/>
      <c r="K283" s="69"/>
    </row>
    <row r="284" spans="1:11" x14ac:dyDescent="0.3">
      <c r="A284" s="69"/>
      <c r="B284" s="68"/>
      <c r="C284" s="69"/>
      <c r="D284" s="69"/>
      <c r="E284" s="69"/>
      <c r="F284" s="69"/>
      <c r="G284" s="68"/>
      <c r="H284" s="69"/>
      <c r="I284" s="69"/>
      <c r="J284" s="69"/>
      <c r="K284" s="69"/>
    </row>
    <row r="285" spans="1:11" x14ac:dyDescent="0.3">
      <c r="A285" s="69"/>
      <c r="B285" s="68"/>
      <c r="C285" s="69"/>
      <c r="D285" s="69"/>
      <c r="E285" s="69"/>
      <c r="F285" s="69"/>
      <c r="G285" s="68"/>
      <c r="H285" s="69"/>
      <c r="I285" s="69"/>
      <c r="J285" s="69"/>
      <c r="K285" s="69"/>
    </row>
    <row r="286" spans="1:11" x14ac:dyDescent="0.3">
      <c r="A286" s="69"/>
      <c r="B286" s="68"/>
      <c r="C286" s="69"/>
      <c r="D286" s="69"/>
      <c r="E286" s="69"/>
      <c r="F286" s="69"/>
      <c r="G286" s="68"/>
      <c r="H286" s="69"/>
      <c r="I286" s="69"/>
      <c r="J286" s="69"/>
      <c r="K286" s="69"/>
    </row>
    <row r="287" spans="1:11" x14ac:dyDescent="0.3">
      <c r="A287" s="69"/>
      <c r="B287" s="68"/>
      <c r="C287" s="69"/>
      <c r="D287" s="69"/>
      <c r="E287" s="69"/>
      <c r="F287" s="69"/>
      <c r="G287" s="68"/>
      <c r="H287" s="69"/>
      <c r="I287" s="69"/>
      <c r="J287" s="69"/>
      <c r="K287" s="69"/>
    </row>
    <row r="288" spans="1:11" x14ac:dyDescent="0.3">
      <c r="A288" s="69"/>
      <c r="B288" s="68"/>
      <c r="C288" s="69"/>
      <c r="D288" s="69"/>
      <c r="E288" s="69"/>
      <c r="F288" s="69"/>
      <c r="G288" s="68"/>
      <c r="H288" s="69"/>
      <c r="I288" s="69"/>
      <c r="J288" s="69"/>
      <c r="K288" s="69"/>
    </row>
    <row r="289" spans="1:11" x14ac:dyDescent="0.3">
      <c r="A289" s="69"/>
      <c r="B289" s="68"/>
      <c r="C289" s="69"/>
      <c r="D289" s="69"/>
      <c r="E289" s="69"/>
      <c r="F289" s="69"/>
      <c r="G289" s="68"/>
      <c r="H289" s="69"/>
      <c r="I289" s="69"/>
      <c r="J289" s="69"/>
      <c r="K289" s="69"/>
    </row>
    <row r="290" spans="1:11" x14ac:dyDescent="0.3">
      <c r="A290" s="69"/>
      <c r="B290" s="68"/>
      <c r="C290" s="69"/>
      <c r="D290" s="69"/>
      <c r="E290" s="69"/>
      <c r="F290" s="69"/>
      <c r="G290" s="68"/>
      <c r="H290" s="69"/>
      <c r="I290" s="69"/>
      <c r="J290" s="69"/>
      <c r="K290" s="69"/>
    </row>
    <row r="291" spans="1:11" x14ac:dyDescent="0.3">
      <c r="A291" s="69"/>
      <c r="B291" s="68"/>
      <c r="C291" s="69"/>
      <c r="D291" s="69"/>
      <c r="E291" s="69"/>
      <c r="F291" s="69"/>
      <c r="G291" s="68"/>
      <c r="H291" s="69"/>
      <c r="I291" s="69"/>
      <c r="J291" s="69"/>
      <c r="K291" s="69"/>
    </row>
    <row r="292" spans="1:11" x14ac:dyDescent="0.3">
      <c r="A292" s="69"/>
      <c r="B292" s="68"/>
      <c r="C292" s="69"/>
      <c r="D292" s="69"/>
      <c r="E292" s="69"/>
      <c r="F292" s="69"/>
      <c r="G292" s="68"/>
      <c r="H292" s="69"/>
      <c r="I292" s="69"/>
      <c r="J292" s="69"/>
      <c r="K292" s="69"/>
    </row>
    <row r="293" spans="1:11" x14ac:dyDescent="0.3">
      <c r="A293" s="69"/>
      <c r="B293" s="68"/>
      <c r="C293" s="69"/>
      <c r="D293" s="69"/>
      <c r="E293" s="69"/>
      <c r="F293" s="69"/>
      <c r="G293" s="68"/>
      <c r="H293" s="69"/>
      <c r="I293" s="69"/>
      <c r="J293" s="69"/>
      <c r="K293" s="69"/>
    </row>
    <row r="294" spans="1:11" x14ac:dyDescent="0.3">
      <c r="A294" s="69"/>
      <c r="B294" s="68"/>
      <c r="C294" s="69"/>
      <c r="D294" s="69"/>
      <c r="E294" s="69"/>
      <c r="F294" s="69"/>
      <c r="G294" s="68"/>
      <c r="H294" s="69"/>
      <c r="I294" s="69"/>
      <c r="J294" s="69"/>
      <c r="K294" s="69"/>
    </row>
    <row r="295" spans="1:11" x14ac:dyDescent="0.3">
      <c r="A295" s="69"/>
      <c r="B295" s="68"/>
      <c r="C295" s="69"/>
      <c r="D295" s="69"/>
      <c r="E295" s="69"/>
      <c r="F295" s="69"/>
      <c r="G295" s="68"/>
      <c r="H295" s="69"/>
      <c r="I295" s="69"/>
      <c r="J295" s="69"/>
      <c r="K295" s="69"/>
    </row>
    <row r="296" spans="1:11" x14ac:dyDescent="0.3">
      <c r="A296" s="69"/>
      <c r="B296" s="68"/>
      <c r="C296" s="69"/>
      <c r="D296" s="69"/>
      <c r="E296" s="69"/>
      <c r="F296" s="69"/>
      <c r="G296" s="68"/>
      <c r="H296" s="69"/>
      <c r="I296" s="69"/>
      <c r="J296" s="69"/>
      <c r="K296" s="69"/>
    </row>
    <row r="297" spans="1:11" x14ac:dyDescent="0.3">
      <c r="A297" s="69"/>
      <c r="B297" s="68"/>
      <c r="C297" s="69"/>
      <c r="D297" s="69"/>
      <c r="E297" s="69"/>
      <c r="F297" s="69"/>
      <c r="G297" s="68"/>
      <c r="H297" s="69"/>
      <c r="I297" s="69"/>
      <c r="J297" s="69"/>
      <c r="K297" s="69"/>
    </row>
    <row r="298" spans="1:11" x14ac:dyDescent="0.3">
      <c r="A298" s="69"/>
      <c r="B298" s="68"/>
      <c r="C298" s="69"/>
      <c r="D298" s="69"/>
      <c r="E298" s="69"/>
      <c r="F298" s="69"/>
      <c r="G298" s="68"/>
      <c r="H298" s="69"/>
      <c r="I298" s="69"/>
      <c r="J298" s="69"/>
      <c r="K298" s="69"/>
    </row>
    <row r="299" spans="1:11" x14ac:dyDescent="0.3">
      <c r="A299" s="69"/>
      <c r="B299" s="68"/>
      <c r="C299" s="69"/>
      <c r="D299" s="69"/>
      <c r="E299" s="69"/>
      <c r="F299" s="69"/>
      <c r="G299" s="68"/>
      <c r="H299" s="69"/>
      <c r="I299" s="69"/>
      <c r="J299" s="69"/>
      <c r="K299" s="69"/>
    </row>
    <row r="300" spans="1:11" x14ac:dyDescent="0.3">
      <c r="A300" s="69"/>
      <c r="B300" s="68"/>
      <c r="C300" s="69"/>
      <c r="D300" s="69"/>
      <c r="E300" s="69"/>
      <c r="F300" s="69"/>
      <c r="G300" s="68"/>
      <c r="H300" s="69"/>
      <c r="I300" s="69"/>
      <c r="J300" s="69"/>
      <c r="K300" s="69"/>
    </row>
    <row r="301" spans="1:11" x14ac:dyDescent="0.3">
      <c r="A301" s="69"/>
      <c r="B301" s="68"/>
      <c r="C301" s="69"/>
      <c r="D301" s="69"/>
      <c r="E301" s="69"/>
      <c r="F301" s="69"/>
      <c r="G301" s="68"/>
      <c r="H301" s="69"/>
      <c r="I301" s="69"/>
      <c r="J301" s="69"/>
      <c r="K301" s="69"/>
    </row>
    <row r="302" spans="1:11" x14ac:dyDescent="0.3">
      <c r="A302" s="69"/>
      <c r="B302" s="68"/>
      <c r="C302" s="69"/>
      <c r="D302" s="69"/>
      <c r="E302" s="69"/>
      <c r="F302" s="69"/>
      <c r="G302" s="68"/>
      <c r="H302" s="69"/>
      <c r="I302" s="69"/>
      <c r="J302" s="69"/>
      <c r="K302" s="69"/>
    </row>
    <row r="303" spans="1:11" x14ac:dyDescent="0.3">
      <c r="A303" s="69"/>
      <c r="B303" s="68"/>
      <c r="C303" s="69"/>
      <c r="D303" s="69"/>
      <c r="E303" s="69"/>
      <c r="F303" s="69"/>
      <c r="G303" s="68"/>
      <c r="H303" s="69"/>
      <c r="I303" s="69"/>
      <c r="J303" s="69"/>
      <c r="K303" s="69"/>
    </row>
    <row r="304" spans="1:11" x14ac:dyDescent="0.3">
      <c r="A304" s="69"/>
      <c r="B304" s="68"/>
      <c r="C304" s="69"/>
      <c r="D304" s="69"/>
      <c r="E304" s="69"/>
      <c r="F304" s="69"/>
      <c r="G304" s="68"/>
      <c r="H304" s="69"/>
      <c r="I304" s="69"/>
      <c r="J304" s="69"/>
      <c r="K304" s="69"/>
    </row>
    <row r="305" spans="1:11" x14ac:dyDescent="0.3">
      <c r="A305" s="69"/>
      <c r="B305" s="68"/>
      <c r="C305" s="69"/>
      <c r="D305" s="69"/>
      <c r="E305" s="69"/>
      <c r="F305" s="69"/>
      <c r="G305" s="68"/>
      <c r="H305" s="69"/>
      <c r="I305" s="69"/>
      <c r="J305" s="69"/>
      <c r="K305" s="69"/>
    </row>
    <row r="306" spans="1:11" x14ac:dyDescent="0.3">
      <c r="A306" s="69"/>
      <c r="B306" s="68"/>
      <c r="C306" s="69"/>
      <c r="D306" s="69"/>
      <c r="E306" s="69"/>
      <c r="F306" s="69"/>
      <c r="G306" s="68"/>
      <c r="H306" s="69"/>
      <c r="I306" s="69"/>
      <c r="J306" s="69"/>
      <c r="K306" s="69"/>
    </row>
    <row r="307" spans="1:11" x14ac:dyDescent="0.3">
      <c r="A307" s="69"/>
      <c r="B307" s="68"/>
      <c r="C307" s="69"/>
      <c r="D307" s="69"/>
      <c r="E307" s="69"/>
      <c r="F307" s="69"/>
      <c r="G307" s="68"/>
      <c r="H307" s="69"/>
      <c r="I307" s="69"/>
      <c r="J307" s="69"/>
      <c r="K307" s="69"/>
    </row>
    <row r="308" spans="1:11" x14ac:dyDescent="0.3">
      <c r="A308" s="69"/>
      <c r="B308" s="68"/>
      <c r="C308" s="69"/>
      <c r="D308" s="69"/>
      <c r="E308" s="69"/>
      <c r="F308" s="69"/>
      <c r="G308" s="68"/>
      <c r="H308" s="69"/>
      <c r="I308" s="69"/>
      <c r="J308" s="69"/>
      <c r="K308" s="69"/>
    </row>
    <row r="309" spans="1:11" x14ac:dyDescent="0.3">
      <c r="A309" s="69"/>
      <c r="B309" s="68"/>
      <c r="C309" s="69"/>
      <c r="D309" s="69"/>
      <c r="E309" s="69"/>
      <c r="F309" s="69"/>
      <c r="G309" s="68"/>
      <c r="H309" s="69"/>
      <c r="I309" s="69"/>
      <c r="J309" s="69"/>
      <c r="K309" s="69"/>
    </row>
    <row r="310" spans="1:11" x14ac:dyDescent="0.3">
      <c r="A310" s="69"/>
      <c r="B310" s="68"/>
      <c r="C310" s="69"/>
      <c r="D310" s="69"/>
      <c r="E310" s="69"/>
      <c r="F310" s="69"/>
      <c r="G310" s="68"/>
      <c r="H310" s="69"/>
      <c r="I310" s="69"/>
      <c r="J310" s="69"/>
      <c r="K310" s="69"/>
    </row>
    <row r="311" spans="1:11" x14ac:dyDescent="0.3">
      <c r="A311" s="69"/>
      <c r="B311" s="68"/>
      <c r="C311" s="69"/>
      <c r="D311" s="69"/>
      <c r="E311" s="69"/>
      <c r="F311" s="69"/>
      <c r="G311" s="68"/>
      <c r="H311" s="69"/>
      <c r="I311" s="69"/>
      <c r="J311" s="69"/>
      <c r="K311" s="69"/>
    </row>
    <row r="312" spans="1:11" x14ac:dyDescent="0.3">
      <c r="A312" s="69"/>
      <c r="B312" s="68"/>
      <c r="C312" s="69"/>
      <c r="D312" s="69"/>
      <c r="E312" s="69"/>
      <c r="F312" s="69"/>
      <c r="G312" s="68"/>
      <c r="H312" s="69"/>
      <c r="I312" s="69"/>
      <c r="J312" s="69"/>
      <c r="K312" s="69"/>
    </row>
    <row r="313" spans="1:11" x14ac:dyDescent="0.3">
      <c r="A313" s="69"/>
      <c r="B313" s="68"/>
      <c r="C313" s="69"/>
      <c r="D313" s="69"/>
      <c r="E313" s="69"/>
      <c r="F313" s="69"/>
      <c r="G313" s="68"/>
      <c r="H313" s="69"/>
      <c r="I313" s="69"/>
      <c r="J313" s="69"/>
      <c r="K313" s="69"/>
    </row>
    <row r="314" spans="1:11" x14ac:dyDescent="0.3">
      <c r="A314" s="69"/>
      <c r="B314" s="68"/>
      <c r="C314" s="69"/>
      <c r="D314" s="69"/>
      <c r="E314" s="69"/>
      <c r="F314" s="69"/>
      <c r="G314" s="68"/>
      <c r="H314" s="69"/>
      <c r="I314" s="69"/>
      <c r="J314" s="69"/>
      <c r="K314" s="69"/>
    </row>
    <row r="315" spans="1:11" x14ac:dyDescent="0.3">
      <c r="A315" s="69"/>
      <c r="B315" s="68"/>
      <c r="C315" s="69"/>
      <c r="D315" s="69"/>
      <c r="E315" s="69"/>
      <c r="F315" s="69"/>
      <c r="G315" s="68"/>
      <c r="H315" s="69"/>
      <c r="I315" s="69"/>
      <c r="J315" s="69"/>
      <c r="K315" s="69"/>
    </row>
    <row r="316" spans="1:11" x14ac:dyDescent="0.3">
      <c r="A316" s="69"/>
      <c r="B316" s="68"/>
      <c r="C316" s="69"/>
      <c r="D316" s="69"/>
      <c r="E316" s="69"/>
      <c r="F316" s="69"/>
      <c r="G316" s="68"/>
      <c r="H316" s="69"/>
      <c r="I316" s="69"/>
      <c r="J316" s="69"/>
      <c r="K316" s="69"/>
    </row>
    <row r="317" spans="1:11" x14ac:dyDescent="0.3">
      <c r="A317" s="69"/>
      <c r="B317" s="68"/>
      <c r="C317" s="69"/>
      <c r="D317" s="69"/>
      <c r="E317" s="69"/>
      <c r="F317" s="69"/>
      <c r="G317" s="68"/>
      <c r="H317" s="69"/>
      <c r="I317" s="69"/>
      <c r="J317" s="69"/>
      <c r="K317" s="69"/>
    </row>
    <row r="318" spans="1:11" x14ac:dyDescent="0.3">
      <c r="A318" s="69"/>
      <c r="B318" s="68"/>
      <c r="C318" s="69"/>
      <c r="D318" s="69"/>
      <c r="E318" s="69"/>
      <c r="F318" s="69"/>
      <c r="G318" s="68"/>
      <c r="H318" s="69"/>
      <c r="I318" s="69"/>
      <c r="J318" s="69"/>
      <c r="K318" s="69"/>
    </row>
    <row r="319" spans="1:11" x14ac:dyDescent="0.3">
      <c r="A319" s="69"/>
      <c r="B319" s="68"/>
      <c r="C319" s="69"/>
      <c r="D319" s="69"/>
      <c r="E319" s="69"/>
      <c r="F319" s="69"/>
      <c r="G319" s="68"/>
      <c r="H319" s="69"/>
      <c r="I319" s="69"/>
      <c r="J319" s="69"/>
      <c r="K319" s="69"/>
    </row>
    <row r="320" spans="1:11" x14ac:dyDescent="0.3">
      <c r="A320" s="69"/>
      <c r="B320" s="68"/>
      <c r="C320" s="69"/>
      <c r="D320" s="69"/>
      <c r="E320" s="69"/>
      <c r="F320" s="69"/>
      <c r="G320" s="68"/>
      <c r="H320" s="69"/>
      <c r="I320" s="69"/>
      <c r="J320" s="69"/>
      <c r="K320" s="69"/>
    </row>
    <row r="321" spans="1:11" x14ac:dyDescent="0.3">
      <c r="A321" s="69"/>
      <c r="B321" s="68"/>
      <c r="C321" s="69"/>
      <c r="D321" s="69"/>
      <c r="E321" s="69"/>
      <c r="F321" s="69"/>
      <c r="G321" s="68"/>
      <c r="H321" s="69"/>
      <c r="I321" s="69"/>
      <c r="J321" s="69"/>
      <c r="K321" s="69"/>
    </row>
    <row r="322" spans="1:11" x14ac:dyDescent="0.3">
      <c r="A322" s="69"/>
      <c r="B322" s="68"/>
      <c r="C322" s="69"/>
      <c r="D322" s="69"/>
      <c r="E322" s="69"/>
      <c r="F322" s="69"/>
      <c r="G322" s="68"/>
      <c r="H322" s="69"/>
      <c r="I322" s="69"/>
      <c r="J322" s="69"/>
      <c r="K322" s="69"/>
    </row>
    <row r="323" spans="1:11" x14ac:dyDescent="0.3">
      <c r="A323" s="69"/>
      <c r="B323" s="68"/>
      <c r="C323" s="69"/>
      <c r="D323" s="69"/>
      <c r="E323" s="69"/>
      <c r="F323" s="69"/>
      <c r="G323" s="68"/>
      <c r="H323" s="69"/>
      <c r="I323" s="69"/>
      <c r="J323" s="69"/>
      <c r="K323" s="69"/>
    </row>
    <row r="324" spans="1:11" x14ac:dyDescent="0.3">
      <c r="A324" s="69"/>
      <c r="B324" s="68"/>
      <c r="C324" s="69"/>
      <c r="D324" s="69"/>
      <c r="E324" s="69"/>
      <c r="F324" s="69"/>
      <c r="G324" s="68"/>
      <c r="H324" s="69"/>
      <c r="I324" s="69"/>
      <c r="J324" s="69"/>
      <c r="K324" s="69"/>
    </row>
    <row r="325" spans="1:11" x14ac:dyDescent="0.3">
      <c r="A325" s="69"/>
      <c r="B325" s="68"/>
      <c r="C325" s="69"/>
      <c r="D325" s="69"/>
      <c r="E325" s="69"/>
      <c r="F325" s="69"/>
      <c r="G325" s="68"/>
      <c r="H325" s="69"/>
      <c r="I325" s="69"/>
      <c r="J325" s="69"/>
      <c r="K325" s="69"/>
    </row>
    <row r="326" spans="1:11" x14ac:dyDescent="0.3">
      <c r="A326" s="69"/>
      <c r="B326" s="68"/>
      <c r="C326" s="69"/>
      <c r="D326" s="69"/>
      <c r="E326" s="69"/>
      <c r="F326" s="69"/>
      <c r="G326" s="68"/>
      <c r="H326" s="69"/>
      <c r="I326" s="69"/>
      <c r="J326" s="69"/>
      <c r="K326" s="69"/>
    </row>
    <row r="327" spans="1:11" x14ac:dyDescent="0.3">
      <c r="A327" s="69"/>
      <c r="B327" s="68"/>
      <c r="C327" s="69"/>
      <c r="D327" s="69"/>
      <c r="E327" s="69"/>
      <c r="F327" s="69"/>
      <c r="G327" s="68"/>
      <c r="H327" s="69"/>
      <c r="I327" s="69"/>
      <c r="J327" s="69"/>
      <c r="K327" s="69"/>
    </row>
    <row r="328" spans="1:11" x14ac:dyDescent="0.3">
      <c r="A328" s="69"/>
      <c r="B328" s="68"/>
      <c r="C328" s="69"/>
      <c r="D328" s="69"/>
      <c r="E328" s="69"/>
      <c r="F328" s="69"/>
      <c r="G328" s="68"/>
      <c r="H328" s="69"/>
      <c r="I328" s="69"/>
      <c r="J328" s="69"/>
      <c r="K328" s="69"/>
    </row>
    <row r="329" spans="1:11" x14ac:dyDescent="0.3">
      <c r="A329" s="69"/>
      <c r="B329" s="68"/>
      <c r="C329" s="69"/>
      <c r="D329" s="69"/>
      <c r="E329" s="69"/>
      <c r="F329" s="69"/>
      <c r="G329" s="68"/>
      <c r="H329" s="69"/>
      <c r="I329" s="69"/>
      <c r="J329" s="69"/>
      <c r="K329" s="69"/>
    </row>
    <row r="330" spans="1:11" x14ac:dyDescent="0.3">
      <c r="A330" s="69"/>
      <c r="B330" s="68"/>
      <c r="C330" s="69"/>
      <c r="D330" s="69"/>
      <c r="E330" s="69"/>
      <c r="F330" s="69"/>
      <c r="G330" s="68"/>
      <c r="H330" s="69"/>
      <c r="I330" s="69"/>
      <c r="J330" s="69"/>
      <c r="K330" s="69"/>
    </row>
    <row r="331" spans="1:11" x14ac:dyDescent="0.3">
      <c r="A331" s="69"/>
      <c r="B331" s="68"/>
      <c r="C331" s="69"/>
      <c r="D331" s="69"/>
      <c r="E331" s="69"/>
      <c r="F331" s="69"/>
      <c r="G331" s="68"/>
      <c r="H331" s="69"/>
      <c r="I331" s="69"/>
      <c r="J331" s="69"/>
      <c r="K331" s="69"/>
    </row>
    <row r="332" spans="1:11" x14ac:dyDescent="0.3">
      <c r="A332" s="69"/>
      <c r="B332" s="68"/>
      <c r="C332" s="69"/>
      <c r="D332" s="69"/>
      <c r="E332" s="69"/>
      <c r="F332" s="69"/>
      <c r="G332" s="68"/>
      <c r="H332" s="69"/>
      <c r="I332" s="69"/>
      <c r="J332" s="69"/>
      <c r="K332" s="69"/>
    </row>
    <row r="333" spans="1:11" x14ac:dyDescent="0.3">
      <c r="A333" s="69"/>
      <c r="B333" s="68"/>
      <c r="C333" s="69"/>
      <c r="D333" s="69"/>
      <c r="E333" s="69"/>
      <c r="F333" s="69"/>
      <c r="G333" s="68"/>
      <c r="H333" s="69"/>
      <c r="I333" s="69"/>
      <c r="J333" s="69"/>
      <c r="K333" s="69"/>
    </row>
    <row r="334" spans="1:11" x14ac:dyDescent="0.3">
      <c r="A334" s="69"/>
      <c r="B334" s="68"/>
      <c r="C334" s="69"/>
      <c r="D334" s="69"/>
      <c r="E334" s="69"/>
      <c r="F334" s="69"/>
      <c r="G334" s="68"/>
      <c r="H334" s="69"/>
      <c r="I334" s="69"/>
      <c r="J334" s="69"/>
      <c r="K334" s="69"/>
    </row>
    <row r="335" spans="1:11" x14ac:dyDescent="0.3">
      <c r="A335" s="69"/>
      <c r="B335" s="68"/>
      <c r="C335" s="69"/>
      <c r="D335" s="69"/>
      <c r="E335" s="69"/>
      <c r="F335" s="69"/>
      <c r="G335" s="68"/>
      <c r="H335" s="69"/>
      <c r="I335" s="69"/>
      <c r="J335" s="69"/>
      <c r="K335" s="69"/>
    </row>
    <row r="336" spans="1:11" x14ac:dyDescent="0.3">
      <c r="A336" s="69"/>
      <c r="B336" s="68"/>
      <c r="C336" s="69"/>
      <c r="D336" s="69"/>
      <c r="E336" s="69"/>
      <c r="F336" s="69"/>
      <c r="G336" s="68"/>
      <c r="H336" s="69"/>
      <c r="I336" s="69"/>
      <c r="J336" s="69"/>
      <c r="K336" s="69"/>
    </row>
    <row r="337" spans="1:11" x14ac:dyDescent="0.3">
      <c r="A337" s="69"/>
      <c r="B337" s="68"/>
      <c r="C337" s="69"/>
      <c r="D337" s="69"/>
      <c r="E337" s="69"/>
      <c r="F337" s="69"/>
      <c r="G337" s="68"/>
      <c r="H337" s="69"/>
      <c r="I337" s="69"/>
      <c r="J337" s="69"/>
      <c r="K337" s="69"/>
    </row>
    <row r="338" spans="1:11" x14ac:dyDescent="0.3">
      <c r="A338" s="69"/>
      <c r="B338" s="68"/>
      <c r="C338" s="69"/>
      <c r="D338" s="69"/>
      <c r="E338" s="69"/>
      <c r="F338" s="69"/>
      <c r="G338" s="68"/>
      <c r="H338" s="69"/>
      <c r="I338" s="69"/>
      <c r="J338" s="69"/>
      <c r="K338" s="69"/>
    </row>
    <row r="339" spans="1:11" x14ac:dyDescent="0.3">
      <c r="A339" s="69"/>
      <c r="B339" s="68"/>
      <c r="C339" s="69"/>
      <c r="D339" s="69"/>
      <c r="E339" s="69"/>
      <c r="F339" s="69"/>
      <c r="G339" s="68"/>
      <c r="H339" s="69"/>
      <c r="I339" s="69"/>
      <c r="J339" s="69"/>
      <c r="K339" s="69"/>
    </row>
    <row r="340" spans="1:11" x14ac:dyDescent="0.3">
      <c r="A340" s="69"/>
      <c r="B340" s="68"/>
      <c r="C340" s="69"/>
      <c r="D340" s="69"/>
      <c r="E340" s="69"/>
      <c r="F340" s="69"/>
      <c r="G340" s="68"/>
      <c r="H340" s="69"/>
      <c r="I340" s="69"/>
      <c r="J340" s="69"/>
      <c r="K340" s="69"/>
    </row>
    <row r="341" spans="1:11" x14ac:dyDescent="0.3">
      <c r="A341" s="69"/>
      <c r="B341" s="68"/>
      <c r="C341" s="69"/>
      <c r="D341" s="69"/>
      <c r="E341" s="69"/>
      <c r="F341" s="69"/>
      <c r="G341" s="68"/>
      <c r="H341" s="69"/>
      <c r="I341" s="69"/>
      <c r="J341" s="69"/>
      <c r="K341" s="69"/>
    </row>
    <row r="342" spans="1:11" x14ac:dyDescent="0.3">
      <c r="A342" s="69"/>
      <c r="B342" s="68"/>
      <c r="C342" s="69"/>
      <c r="D342" s="69"/>
      <c r="E342" s="69"/>
      <c r="F342" s="69"/>
      <c r="G342" s="68"/>
      <c r="H342" s="69"/>
      <c r="I342" s="69"/>
      <c r="J342" s="69"/>
      <c r="K342" s="69"/>
    </row>
    <row r="343" spans="1:11" x14ac:dyDescent="0.3">
      <c r="A343" s="69"/>
      <c r="B343" s="68"/>
      <c r="C343" s="69"/>
      <c r="D343" s="69"/>
      <c r="E343" s="69"/>
      <c r="F343" s="69"/>
      <c r="G343" s="68"/>
      <c r="H343" s="69"/>
      <c r="I343" s="69"/>
      <c r="J343" s="69"/>
      <c r="K343" s="69"/>
    </row>
    <row r="344" spans="1:11" x14ac:dyDescent="0.3">
      <c r="A344" s="69"/>
      <c r="B344" s="68"/>
      <c r="C344" s="69"/>
      <c r="D344" s="69"/>
      <c r="E344" s="69"/>
      <c r="F344" s="69"/>
      <c r="G344" s="68"/>
      <c r="H344" s="69"/>
      <c r="I344" s="69"/>
      <c r="J344" s="69"/>
      <c r="K344" s="69"/>
    </row>
    <row r="345" spans="1:11" x14ac:dyDescent="0.3">
      <c r="A345" s="69"/>
      <c r="B345" s="68"/>
      <c r="C345" s="69"/>
      <c r="D345" s="69"/>
      <c r="E345" s="69"/>
      <c r="F345" s="69"/>
      <c r="G345" s="68"/>
      <c r="H345" s="69"/>
      <c r="I345" s="69"/>
      <c r="J345" s="69"/>
      <c r="K345" s="69"/>
    </row>
    <row r="346" spans="1:11" x14ac:dyDescent="0.3">
      <c r="A346" s="69"/>
      <c r="B346" s="68"/>
      <c r="C346" s="69"/>
      <c r="D346" s="69"/>
      <c r="E346" s="69"/>
      <c r="F346" s="69"/>
      <c r="G346" s="68"/>
      <c r="H346" s="69"/>
      <c r="I346" s="69"/>
      <c r="J346" s="69"/>
      <c r="K346" s="69"/>
    </row>
    <row r="347" spans="1:11" x14ac:dyDescent="0.3">
      <c r="A347" s="69"/>
      <c r="B347" s="68"/>
      <c r="C347" s="69"/>
      <c r="D347" s="69"/>
      <c r="E347" s="69"/>
      <c r="F347" s="69"/>
      <c r="G347" s="68"/>
      <c r="H347" s="69"/>
      <c r="I347" s="69"/>
      <c r="J347" s="69"/>
      <c r="K347" s="69"/>
    </row>
    <row r="348" spans="1:11" x14ac:dyDescent="0.3">
      <c r="A348" s="69"/>
      <c r="B348" s="68"/>
      <c r="C348" s="69"/>
      <c r="D348" s="69"/>
      <c r="E348" s="69"/>
      <c r="F348" s="69"/>
      <c r="G348" s="68"/>
      <c r="H348" s="69"/>
      <c r="I348" s="69"/>
      <c r="J348" s="69"/>
      <c r="K348" s="69"/>
    </row>
    <row r="349" spans="1:11" x14ac:dyDescent="0.3">
      <c r="A349" s="69"/>
      <c r="B349" s="68"/>
      <c r="C349" s="69"/>
      <c r="D349" s="69"/>
      <c r="E349" s="69"/>
      <c r="F349" s="69"/>
      <c r="G349" s="68"/>
      <c r="H349" s="69"/>
      <c r="I349" s="69"/>
      <c r="J349" s="69"/>
      <c r="K349" s="69"/>
    </row>
    <row r="350" spans="1:11" x14ac:dyDescent="0.3">
      <c r="A350" s="69"/>
      <c r="B350" s="68"/>
      <c r="C350" s="69"/>
      <c r="D350" s="69"/>
      <c r="E350" s="69"/>
      <c r="F350" s="69"/>
      <c r="G350" s="68"/>
      <c r="H350" s="69"/>
      <c r="I350" s="69"/>
      <c r="J350" s="69"/>
      <c r="K350" s="69"/>
    </row>
    <row r="351" spans="1:11" x14ac:dyDescent="0.3">
      <c r="A351" s="69"/>
      <c r="B351" s="68"/>
      <c r="C351" s="69"/>
      <c r="D351" s="69"/>
      <c r="E351" s="69"/>
      <c r="F351" s="69"/>
      <c r="G351" s="68"/>
      <c r="H351" s="69"/>
      <c r="I351" s="69"/>
      <c r="J351" s="69"/>
      <c r="K351" s="69"/>
    </row>
    <row r="352" spans="1:11" x14ac:dyDescent="0.3">
      <c r="A352" s="69"/>
      <c r="B352" s="68"/>
      <c r="C352" s="69"/>
      <c r="D352" s="69"/>
      <c r="E352" s="69"/>
      <c r="F352" s="69"/>
      <c r="G352" s="68"/>
      <c r="H352" s="69"/>
      <c r="I352" s="69"/>
      <c r="J352" s="69"/>
      <c r="K352" s="69"/>
    </row>
    <row r="353" spans="1:11" x14ac:dyDescent="0.3">
      <c r="A353" s="69"/>
      <c r="B353" s="68"/>
      <c r="C353" s="69"/>
      <c r="D353" s="69"/>
      <c r="E353" s="69"/>
      <c r="F353" s="69"/>
      <c r="G353" s="68"/>
      <c r="H353" s="69"/>
      <c r="I353" s="69"/>
      <c r="J353" s="69"/>
      <c r="K353" s="69"/>
    </row>
    <row r="354" spans="1:11" x14ac:dyDescent="0.3">
      <c r="A354" s="69"/>
      <c r="B354" s="68"/>
      <c r="C354" s="69"/>
      <c r="D354" s="69"/>
      <c r="E354" s="69"/>
      <c r="F354" s="69"/>
      <c r="G354" s="68"/>
      <c r="H354" s="69"/>
      <c r="I354" s="69"/>
      <c r="J354" s="69"/>
      <c r="K354" s="69"/>
    </row>
    <row r="355" spans="1:11" x14ac:dyDescent="0.3">
      <c r="A355" s="69"/>
      <c r="B355" s="68"/>
      <c r="C355" s="69"/>
      <c r="D355" s="69"/>
      <c r="E355" s="69"/>
      <c r="F355" s="69"/>
      <c r="G355" s="68"/>
      <c r="H355" s="69"/>
      <c r="I355" s="69"/>
      <c r="J355" s="69"/>
      <c r="K355" s="69"/>
    </row>
    <row r="356" spans="1:11" x14ac:dyDescent="0.3">
      <c r="A356" s="69"/>
      <c r="B356" s="68"/>
      <c r="C356" s="69"/>
      <c r="D356" s="69"/>
      <c r="E356" s="69"/>
      <c r="F356" s="69"/>
      <c r="G356" s="68"/>
      <c r="H356" s="69"/>
      <c r="I356" s="69"/>
      <c r="J356" s="69"/>
      <c r="K356" s="69"/>
    </row>
    <row r="357" spans="1:11" x14ac:dyDescent="0.3">
      <c r="A357" s="69"/>
      <c r="B357" s="68"/>
      <c r="C357" s="69"/>
      <c r="D357" s="69"/>
      <c r="E357" s="69"/>
      <c r="F357" s="69"/>
      <c r="G357" s="68"/>
      <c r="H357" s="69"/>
      <c r="I357" s="69"/>
      <c r="J357" s="69"/>
      <c r="K357" s="69"/>
    </row>
    <row r="358" spans="1:11" x14ac:dyDescent="0.3">
      <c r="A358" s="69"/>
      <c r="B358" s="68"/>
      <c r="C358" s="69"/>
      <c r="D358" s="69"/>
      <c r="E358" s="69"/>
      <c r="F358" s="69"/>
      <c r="G358" s="68"/>
      <c r="H358" s="69"/>
      <c r="I358" s="69"/>
      <c r="J358" s="69"/>
      <c r="K358" s="69"/>
    </row>
    <row r="359" spans="1:11" x14ac:dyDescent="0.3">
      <c r="A359" s="69"/>
      <c r="B359" s="68"/>
      <c r="C359" s="69"/>
      <c r="D359" s="69"/>
      <c r="E359" s="69"/>
      <c r="F359" s="69"/>
      <c r="G359" s="68"/>
      <c r="H359" s="69"/>
      <c r="I359" s="69"/>
      <c r="J359" s="69"/>
      <c r="K359" s="69"/>
    </row>
    <row r="360" spans="1:11" x14ac:dyDescent="0.3">
      <c r="A360" s="69"/>
      <c r="B360" s="68"/>
      <c r="C360" s="69"/>
      <c r="D360" s="69"/>
      <c r="E360" s="69"/>
      <c r="F360" s="69"/>
      <c r="G360" s="68"/>
      <c r="H360" s="69"/>
      <c r="I360" s="69"/>
      <c r="J360" s="69"/>
      <c r="K360" s="69"/>
    </row>
    <row r="361" spans="1:11" x14ac:dyDescent="0.3">
      <c r="A361" s="69"/>
      <c r="B361" s="68"/>
      <c r="C361" s="69"/>
      <c r="D361" s="69"/>
      <c r="E361" s="69"/>
      <c r="F361" s="69"/>
      <c r="G361" s="68"/>
      <c r="H361" s="69"/>
      <c r="I361" s="69"/>
      <c r="J361" s="69"/>
      <c r="K361" s="69"/>
    </row>
    <row r="362" spans="1:11" x14ac:dyDescent="0.3">
      <c r="A362" s="69"/>
      <c r="B362" s="68"/>
      <c r="C362" s="69"/>
      <c r="D362" s="69"/>
      <c r="E362" s="69"/>
      <c r="F362" s="69"/>
      <c r="G362" s="68"/>
      <c r="H362" s="69"/>
      <c r="I362" s="69"/>
      <c r="J362" s="69"/>
      <c r="K362" s="69"/>
    </row>
    <row r="363" spans="1:11" x14ac:dyDescent="0.3">
      <c r="A363" s="69"/>
      <c r="B363" s="68"/>
      <c r="C363" s="69"/>
      <c r="D363" s="69"/>
      <c r="E363" s="69"/>
      <c r="F363" s="69"/>
      <c r="G363" s="68"/>
      <c r="H363" s="69"/>
      <c r="I363" s="69"/>
      <c r="J363" s="69"/>
      <c r="K363" s="69"/>
    </row>
    <row r="364" spans="1:11" x14ac:dyDescent="0.3">
      <c r="A364" s="69"/>
      <c r="B364" s="68"/>
      <c r="C364" s="69"/>
      <c r="D364" s="69"/>
      <c r="E364" s="69"/>
      <c r="F364" s="69"/>
      <c r="G364" s="68"/>
      <c r="H364" s="69"/>
      <c r="I364" s="69"/>
      <c r="J364" s="69"/>
      <c r="K364" s="69"/>
    </row>
    <row r="365" spans="1:11" x14ac:dyDescent="0.3">
      <c r="A365" s="69"/>
      <c r="B365" s="68"/>
      <c r="C365" s="69"/>
      <c r="D365" s="69"/>
      <c r="E365" s="69"/>
      <c r="F365" s="69"/>
      <c r="G365" s="68"/>
      <c r="H365" s="69"/>
      <c r="I365" s="69"/>
      <c r="J365" s="69"/>
      <c r="K365" s="69"/>
    </row>
    <row r="366" spans="1:11" x14ac:dyDescent="0.3">
      <c r="A366" s="69"/>
      <c r="B366" s="68"/>
      <c r="C366" s="69"/>
      <c r="D366" s="69"/>
      <c r="E366" s="69"/>
      <c r="F366" s="69"/>
      <c r="G366" s="68"/>
      <c r="H366" s="69"/>
      <c r="I366" s="69"/>
      <c r="J366" s="69"/>
      <c r="K366" s="69"/>
    </row>
    <row r="367" spans="1:11" x14ac:dyDescent="0.3">
      <c r="A367" s="69"/>
      <c r="B367" s="68"/>
      <c r="C367" s="69"/>
      <c r="D367" s="69"/>
      <c r="E367" s="69"/>
      <c r="F367" s="69"/>
      <c r="G367" s="68"/>
      <c r="H367" s="69"/>
      <c r="I367" s="69"/>
      <c r="J367" s="69"/>
      <c r="K367" s="69"/>
    </row>
    <row r="368" spans="1:11" x14ac:dyDescent="0.3">
      <c r="A368" s="69"/>
      <c r="B368" s="68"/>
      <c r="C368" s="69"/>
      <c r="D368" s="69"/>
      <c r="E368" s="69"/>
      <c r="F368" s="69"/>
      <c r="G368" s="68"/>
      <c r="H368" s="69"/>
      <c r="I368" s="69"/>
      <c r="J368" s="69"/>
      <c r="K368" s="69"/>
    </row>
    <row r="369" spans="1:11" x14ac:dyDescent="0.3">
      <c r="A369" s="69"/>
      <c r="B369" s="68"/>
      <c r="C369" s="69"/>
      <c r="D369" s="69"/>
      <c r="E369" s="69"/>
      <c r="F369" s="69"/>
      <c r="G369" s="68"/>
      <c r="H369" s="69"/>
      <c r="I369" s="69"/>
      <c r="J369" s="69"/>
      <c r="K369" s="69"/>
    </row>
    <row r="370" spans="1:11" x14ac:dyDescent="0.3">
      <c r="A370" s="69"/>
      <c r="B370" s="68"/>
      <c r="C370" s="69"/>
      <c r="D370" s="69"/>
      <c r="E370" s="69"/>
      <c r="F370" s="69"/>
      <c r="G370" s="68"/>
      <c r="H370" s="69"/>
      <c r="I370" s="69"/>
      <c r="J370" s="69"/>
      <c r="K370" s="69"/>
    </row>
    <row r="371" spans="1:11" x14ac:dyDescent="0.3">
      <c r="A371" s="69"/>
      <c r="B371" s="68"/>
      <c r="C371" s="69"/>
      <c r="D371" s="69"/>
      <c r="E371" s="69"/>
      <c r="F371" s="69"/>
      <c r="G371" s="68"/>
      <c r="H371" s="69"/>
      <c r="I371" s="69"/>
      <c r="J371" s="69"/>
      <c r="K371" s="69"/>
    </row>
    <row r="372" spans="1:11" x14ac:dyDescent="0.3">
      <c r="A372" s="69"/>
      <c r="B372" s="68"/>
      <c r="C372" s="69"/>
      <c r="D372" s="69"/>
      <c r="E372" s="69"/>
      <c r="F372" s="69"/>
      <c r="G372" s="68"/>
      <c r="H372" s="69"/>
      <c r="I372" s="69"/>
      <c r="J372" s="69"/>
      <c r="K372" s="69"/>
    </row>
    <row r="373" spans="1:11" x14ac:dyDescent="0.3">
      <c r="A373" s="69"/>
      <c r="B373" s="68"/>
      <c r="C373" s="69"/>
      <c r="D373" s="69"/>
      <c r="E373" s="69"/>
      <c r="F373" s="69"/>
      <c r="G373" s="68"/>
      <c r="H373" s="69"/>
      <c r="I373" s="69"/>
      <c r="J373" s="69"/>
      <c r="K373" s="69"/>
    </row>
    <row r="374" spans="1:11" x14ac:dyDescent="0.3">
      <c r="A374" s="69"/>
      <c r="B374" s="68"/>
      <c r="C374" s="69"/>
      <c r="D374" s="69"/>
      <c r="E374" s="69"/>
      <c r="F374" s="69"/>
      <c r="G374" s="68"/>
      <c r="H374" s="69"/>
      <c r="I374" s="69"/>
      <c r="J374" s="69"/>
      <c r="K374" s="69"/>
    </row>
    <row r="375" spans="1:11" x14ac:dyDescent="0.3">
      <c r="A375" s="69"/>
      <c r="B375" s="68"/>
      <c r="C375" s="69"/>
      <c r="D375" s="69"/>
      <c r="E375" s="69"/>
      <c r="F375" s="69"/>
      <c r="G375" s="68"/>
      <c r="H375" s="69"/>
      <c r="I375" s="69"/>
      <c r="J375" s="69"/>
      <c r="K375" s="69"/>
    </row>
    <row r="376" spans="1:11" x14ac:dyDescent="0.3">
      <c r="A376" s="69"/>
      <c r="B376" s="68"/>
      <c r="C376" s="69"/>
      <c r="D376" s="69"/>
      <c r="E376" s="69"/>
      <c r="F376" s="69"/>
      <c r="G376" s="68"/>
      <c r="H376" s="69"/>
      <c r="I376" s="69"/>
      <c r="J376" s="69"/>
      <c r="K376" s="69"/>
    </row>
    <row r="377" spans="1:11" x14ac:dyDescent="0.3">
      <c r="A377" s="69"/>
      <c r="B377" s="68"/>
      <c r="C377" s="69"/>
      <c r="D377" s="69"/>
      <c r="E377" s="69"/>
      <c r="F377" s="69"/>
      <c r="G377" s="68"/>
      <c r="H377" s="69"/>
      <c r="I377" s="69"/>
      <c r="J377" s="69"/>
      <c r="K377" s="69"/>
    </row>
    <row r="378" spans="1:11" x14ac:dyDescent="0.3">
      <c r="A378" s="69"/>
      <c r="B378" s="68"/>
      <c r="C378" s="69"/>
      <c r="D378" s="69"/>
      <c r="E378" s="69"/>
      <c r="F378" s="69"/>
      <c r="G378" s="68"/>
      <c r="H378" s="69"/>
      <c r="I378" s="69"/>
      <c r="J378" s="69"/>
      <c r="K378" s="69"/>
    </row>
    <row r="379" spans="1:11" x14ac:dyDescent="0.3">
      <c r="A379" s="69"/>
      <c r="B379" s="68"/>
      <c r="C379" s="69"/>
      <c r="D379" s="69"/>
      <c r="E379" s="69"/>
      <c r="F379" s="69"/>
      <c r="G379" s="68"/>
      <c r="H379" s="69"/>
      <c r="I379" s="69"/>
      <c r="J379" s="69"/>
      <c r="K379" s="69"/>
    </row>
    <row r="380" spans="1:11" x14ac:dyDescent="0.3">
      <c r="A380" s="69"/>
      <c r="B380" s="68"/>
      <c r="C380" s="69"/>
      <c r="D380" s="69"/>
      <c r="E380" s="69"/>
      <c r="F380" s="69"/>
      <c r="G380" s="68"/>
      <c r="H380" s="69"/>
      <c r="I380" s="69"/>
      <c r="J380" s="69"/>
      <c r="K380" s="69"/>
    </row>
    <row r="381" spans="1:11" x14ac:dyDescent="0.3">
      <c r="A381" s="69"/>
      <c r="B381" s="68"/>
      <c r="C381" s="69"/>
      <c r="D381" s="69"/>
      <c r="E381" s="69"/>
      <c r="F381" s="69"/>
      <c r="G381" s="68"/>
      <c r="H381" s="69"/>
      <c r="I381" s="69"/>
      <c r="J381" s="69"/>
      <c r="K381" s="69"/>
    </row>
    <row r="382" spans="1:11" x14ac:dyDescent="0.3">
      <c r="A382" s="69"/>
      <c r="B382" s="68"/>
      <c r="C382" s="69"/>
      <c r="D382" s="69"/>
      <c r="E382" s="69"/>
      <c r="F382" s="69"/>
      <c r="G382" s="68"/>
      <c r="H382" s="69"/>
      <c r="I382" s="69"/>
      <c r="J382" s="69"/>
      <c r="K382" s="69"/>
    </row>
    <row r="383" spans="1:11" x14ac:dyDescent="0.3">
      <c r="A383" s="69"/>
      <c r="B383" s="68"/>
      <c r="C383" s="69"/>
      <c r="D383" s="69"/>
      <c r="E383" s="69"/>
      <c r="F383" s="69"/>
      <c r="G383" s="68"/>
      <c r="H383" s="69"/>
      <c r="I383" s="69"/>
      <c r="J383" s="69"/>
      <c r="K383" s="69"/>
    </row>
    <row r="384" spans="1:11" x14ac:dyDescent="0.3">
      <c r="A384" s="69"/>
      <c r="B384" s="68"/>
      <c r="C384" s="69"/>
      <c r="D384" s="69"/>
      <c r="E384" s="69"/>
      <c r="F384" s="69"/>
      <c r="G384" s="68"/>
      <c r="H384" s="69"/>
      <c r="I384" s="69"/>
      <c r="J384" s="69"/>
      <c r="K384" s="69"/>
    </row>
    <row r="385" spans="1:11" x14ac:dyDescent="0.3">
      <c r="A385" s="69"/>
      <c r="B385" s="68"/>
      <c r="C385" s="69"/>
      <c r="D385" s="69"/>
      <c r="E385" s="69"/>
      <c r="F385" s="69"/>
      <c r="G385" s="68"/>
      <c r="H385" s="69"/>
      <c r="I385" s="69"/>
      <c r="J385" s="69"/>
      <c r="K385" s="69"/>
    </row>
    <row r="386" spans="1:11" x14ac:dyDescent="0.3">
      <c r="A386" s="69"/>
      <c r="B386" s="68"/>
      <c r="C386" s="69"/>
      <c r="D386" s="69"/>
      <c r="E386" s="69"/>
      <c r="F386" s="69"/>
      <c r="G386" s="68"/>
      <c r="H386" s="69"/>
      <c r="I386" s="69"/>
      <c r="J386" s="69"/>
      <c r="K386" s="69"/>
    </row>
    <row r="387" spans="1:11" x14ac:dyDescent="0.3">
      <c r="A387" s="69"/>
      <c r="B387" s="68"/>
      <c r="C387" s="69"/>
      <c r="D387" s="69"/>
      <c r="E387" s="69"/>
      <c r="F387" s="69"/>
      <c r="G387" s="68"/>
      <c r="H387" s="69"/>
      <c r="I387" s="69"/>
      <c r="J387" s="69"/>
      <c r="K387" s="69"/>
    </row>
    <row r="388" spans="1:11" x14ac:dyDescent="0.3">
      <c r="A388" s="69"/>
      <c r="B388" s="68"/>
      <c r="C388" s="69"/>
      <c r="D388" s="69"/>
      <c r="E388" s="69"/>
      <c r="F388" s="69"/>
      <c r="G388" s="68"/>
      <c r="H388" s="69"/>
      <c r="I388" s="69"/>
      <c r="J388" s="69"/>
      <c r="K388" s="69"/>
    </row>
    <row r="389" spans="1:11" x14ac:dyDescent="0.3">
      <c r="A389" s="69"/>
      <c r="B389" s="68"/>
      <c r="C389" s="69"/>
      <c r="D389" s="69"/>
      <c r="E389" s="69"/>
      <c r="F389" s="69"/>
      <c r="G389" s="68"/>
      <c r="H389" s="69"/>
      <c r="I389" s="69"/>
      <c r="J389" s="69"/>
      <c r="K389" s="69"/>
    </row>
    <row r="390" spans="1:11" x14ac:dyDescent="0.3">
      <c r="A390" s="69"/>
      <c r="B390" s="68"/>
      <c r="C390" s="69"/>
      <c r="D390" s="69"/>
      <c r="E390" s="69"/>
      <c r="F390" s="69"/>
      <c r="G390" s="68"/>
      <c r="H390" s="69"/>
      <c r="I390" s="69"/>
      <c r="J390" s="69"/>
      <c r="K390" s="69"/>
    </row>
    <row r="391" spans="1:11" x14ac:dyDescent="0.3">
      <c r="A391" s="69"/>
      <c r="B391" s="68"/>
      <c r="C391" s="69"/>
      <c r="D391" s="69"/>
      <c r="E391" s="69"/>
      <c r="F391" s="69"/>
      <c r="G391" s="68"/>
      <c r="H391" s="69"/>
      <c r="I391" s="69"/>
      <c r="J391" s="69"/>
      <c r="K391" s="69"/>
    </row>
    <row r="392" spans="1:11" x14ac:dyDescent="0.3">
      <c r="A392" s="69"/>
      <c r="B392" s="68"/>
      <c r="C392" s="69"/>
      <c r="D392" s="69"/>
      <c r="E392" s="69"/>
      <c r="F392" s="69"/>
      <c r="G392" s="68"/>
      <c r="H392" s="69"/>
      <c r="I392" s="69"/>
      <c r="J392" s="69"/>
      <c r="K392" s="69"/>
    </row>
    <row r="393" spans="1:11" x14ac:dyDescent="0.3">
      <c r="A393" s="69"/>
      <c r="B393" s="68"/>
      <c r="C393" s="69"/>
      <c r="D393" s="69"/>
      <c r="E393" s="69"/>
      <c r="F393" s="69"/>
      <c r="G393" s="68"/>
      <c r="H393" s="69"/>
      <c r="I393" s="69"/>
      <c r="J393" s="69"/>
      <c r="K393" s="69"/>
    </row>
    <row r="394" spans="1:11" x14ac:dyDescent="0.3">
      <c r="A394" s="69"/>
      <c r="B394" s="68"/>
      <c r="C394" s="69"/>
      <c r="D394" s="69"/>
      <c r="E394" s="69"/>
      <c r="F394" s="69"/>
      <c r="G394" s="68"/>
      <c r="H394" s="69"/>
      <c r="I394" s="69"/>
      <c r="J394" s="69"/>
      <c r="K394" s="69"/>
    </row>
    <row r="395" spans="1:11" x14ac:dyDescent="0.3">
      <c r="A395" s="69"/>
      <c r="B395" s="68"/>
      <c r="C395" s="69"/>
      <c r="D395" s="69"/>
      <c r="E395" s="69"/>
      <c r="F395" s="69"/>
      <c r="G395" s="68"/>
      <c r="H395" s="69"/>
      <c r="I395" s="69"/>
      <c r="J395" s="69"/>
      <c r="K395" s="69"/>
    </row>
    <row r="396" spans="1:11" x14ac:dyDescent="0.3">
      <c r="A396" s="69"/>
      <c r="B396" s="68"/>
      <c r="C396" s="69"/>
      <c r="D396" s="69"/>
      <c r="E396" s="69"/>
      <c r="F396" s="69"/>
      <c r="G396" s="68"/>
      <c r="H396" s="69"/>
      <c r="I396" s="69"/>
      <c r="J396" s="69"/>
      <c r="K396" s="69"/>
    </row>
    <row r="397" spans="1:11" x14ac:dyDescent="0.3">
      <c r="A397" s="69"/>
      <c r="B397" s="68"/>
      <c r="C397" s="69"/>
      <c r="D397" s="69"/>
      <c r="E397" s="69"/>
      <c r="F397" s="69"/>
      <c r="G397" s="68"/>
      <c r="H397" s="69"/>
      <c r="I397" s="69"/>
      <c r="J397" s="69"/>
      <c r="K397" s="69"/>
    </row>
    <row r="398" spans="1:11" x14ac:dyDescent="0.3">
      <c r="A398" s="69"/>
      <c r="B398" s="68"/>
      <c r="C398" s="69"/>
      <c r="D398" s="69"/>
      <c r="E398" s="69"/>
      <c r="F398" s="69"/>
      <c r="G398" s="68"/>
      <c r="H398" s="69"/>
      <c r="I398" s="69"/>
      <c r="J398" s="69"/>
      <c r="K398" s="69"/>
    </row>
    <row r="399" spans="1:11" x14ac:dyDescent="0.3">
      <c r="A399" s="69"/>
      <c r="B399" s="68"/>
      <c r="C399" s="69"/>
      <c r="D399" s="69"/>
      <c r="E399" s="69"/>
      <c r="F399" s="69"/>
      <c r="G399" s="68"/>
      <c r="H399" s="69"/>
      <c r="I399" s="69"/>
      <c r="J399" s="69"/>
      <c r="K399" s="69"/>
    </row>
    <row r="400" spans="1:11" x14ac:dyDescent="0.3">
      <c r="A400" s="69"/>
      <c r="B400" s="68"/>
      <c r="C400" s="69"/>
      <c r="D400" s="69"/>
      <c r="E400" s="69"/>
      <c r="F400" s="69"/>
      <c r="G400" s="68"/>
      <c r="H400" s="69"/>
      <c r="I400" s="69"/>
      <c r="J400" s="69"/>
      <c r="K400" s="69"/>
    </row>
    <row r="401" spans="1:11" x14ac:dyDescent="0.3">
      <c r="A401" s="69"/>
      <c r="B401" s="68"/>
      <c r="C401" s="69"/>
      <c r="D401" s="69"/>
      <c r="E401" s="69"/>
      <c r="F401" s="69"/>
      <c r="G401" s="68"/>
      <c r="H401" s="69"/>
      <c r="I401" s="69"/>
      <c r="J401" s="69"/>
      <c r="K401" s="69"/>
    </row>
    <row r="402" spans="1:11" x14ac:dyDescent="0.3">
      <c r="A402" s="69"/>
      <c r="B402" s="68"/>
      <c r="C402" s="69"/>
      <c r="D402" s="69"/>
      <c r="E402" s="69"/>
      <c r="F402" s="69"/>
      <c r="G402" s="68"/>
      <c r="H402" s="69"/>
      <c r="I402" s="69"/>
      <c r="J402" s="69"/>
      <c r="K402" s="69"/>
    </row>
    <row r="403" spans="1:11" x14ac:dyDescent="0.3">
      <c r="A403" s="69"/>
      <c r="B403" s="68"/>
      <c r="C403" s="69"/>
      <c r="D403" s="69"/>
      <c r="E403" s="69"/>
      <c r="F403" s="69"/>
      <c r="G403" s="68"/>
      <c r="H403" s="69"/>
      <c r="I403" s="69"/>
      <c r="J403" s="69"/>
      <c r="K403" s="69"/>
    </row>
    <row r="404" spans="1:11" x14ac:dyDescent="0.3">
      <c r="A404" s="69"/>
      <c r="B404" s="68"/>
      <c r="C404" s="69"/>
      <c r="D404" s="69"/>
      <c r="E404" s="69"/>
      <c r="F404" s="69"/>
      <c r="G404" s="68"/>
      <c r="H404" s="69"/>
      <c r="I404" s="69"/>
      <c r="J404" s="69"/>
      <c r="K404" s="69"/>
    </row>
    <row r="405" spans="1:11" x14ac:dyDescent="0.3">
      <c r="A405" s="69"/>
      <c r="B405" s="68"/>
      <c r="C405" s="69"/>
      <c r="D405" s="69"/>
      <c r="E405" s="69"/>
      <c r="F405" s="69"/>
      <c r="G405" s="68"/>
      <c r="H405" s="69"/>
      <c r="I405" s="69"/>
      <c r="J405" s="69"/>
      <c r="K405" s="69"/>
    </row>
    <row r="406" spans="1:11" x14ac:dyDescent="0.3">
      <c r="A406" s="69"/>
      <c r="B406" s="68"/>
      <c r="C406" s="69"/>
      <c r="D406" s="69"/>
      <c r="E406" s="69"/>
      <c r="F406" s="69"/>
      <c r="G406" s="68"/>
      <c r="H406" s="69"/>
      <c r="I406" s="69"/>
      <c r="J406" s="69"/>
      <c r="K406" s="69"/>
    </row>
    <row r="407" spans="1:11" x14ac:dyDescent="0.3">
      <c r="A407" s="69"/>
      <c r="B407" s="68"/>
      <c r="C407" s="69"/>
      <c r="D407" s="69"/>
      <c r="E407" s="69"/>
      <c r="F407" s="69"/>
      <c r="G407" s="68"/>
      <c r="H407" s="69"/>
      <c r="I407" s="69"/>
      <c r="J407" s="69"/>
      <c r="K407" s="69"/>
    </row>
    <row r="408" spans="1:11" x14ac:dyDescent="0.3">
      <c r="A408" s="69"/>
      <c r="B408" s="68"/>
      <c r="C408" s="69"/>
      <c r="D408" s="69"/>
      <c r="E408" s="69"/>
      <c r="F408" s="69"/>
      <c r="G408" s="68"/>
      <c r="H408" s="69"/>
      <c r="I408" s="69"/>
      <c r="J408" s="69"/>
      <c r="K408" s="69"/>
    </row>
    <row r="409" spans="1:11" x14ac:dyDescent="0.3">
      <c r="A409" s="69"/>
      <c r="B409" s="68"/>
      <c r="C409" s="69"/>
      <c r="D409" s="69"/>
      <c r="E409" s="69"/>
      <c r="F409" s="69"/>
      <c r="G409" s="68"/>
      <c r="H409" s="69"/>
      <c r="I409" s="69"/>
      <c r="J409" s="69"/>
      <c r="K409" s="69"/>
    </row>
    <row r="410" spans="1:11" x14ac:dyDescent="0.3">
      <c r="A410" s="69"/>
      <c r="B410" s="68"/>
      <c r="C410" s="69"/>
      <c r="D410" s="69"/>
      <c r="E410" s="69"/>
      <c r="F410" s="69"/>
      <c r="G410" s="68"/>
      <c r="H410" s="69"/>
      <c r="I410" s="69"/>
      <c r="J410" s="69"/>
      <c r="K410" s="69"/>
    </row>
    <row r="411" spans="1:11" x14ac:dyDescent="0.3">
      <c r="A411" s="69"/>
      <c r="B411" s="68"/>
      <c r="C411" s="69"/>
      <c r="D411" s="69"/>
      <c r="E411" s="69"/>
      <c r="F411" s="69"/>
      <c r="G411" s="68"/>
      <c r="H411" s="69"/>
      <c r="I411" s="69"/>
      <c r="J411" s="69"/>
      <c r="K411" s="69"/>
    </row>
    <row r="412" spans="1:11" x14ac:dyDescent="0.3">
      <c r="A412" s="69"/>
      <c r="B412" s="68"/>
      <c r="C412" s="69"/>
      <c r="D412" s="69"/>
      <c r="E412" s="69"/>
      <c r="F412" s="69"/>
      <c r="G412" s="68"/>
      <c r="H412" s="69"/>
      <c r="I412" s="69"/>
      <c r="J412" s="69"/>
      <c r="K412" s="69"/>
    </row>
    <row r="413" spans="1:11" x14ac:dyDescent="0.3">
      <c r="A413" s="69"/>
      <c r="B413" s="68"/>
      <c r="C413" s="69"/>
      <c r="D413" s="69"/>
      <c r="E413" s="69"/>
      <c r="F413" s="69"/>
      <c r="G413" s="68"/>
      <c r="H413" s="69"/>
      <c r="I413" s="69"/>
      <c r="J413" s="69"/>
      <c r="K413" s="69"/>
    </row>
    <row r="414" spans="1:11" x14ac:dyDescent="0.3">
      <c r="A414" s="69"/>
      <c r="B414" s="68"/>
      <c r="C414" s="69"/>
      <c r="D414" s="69"/>
      <c r="E414" s="69"/>
      <c r="F414" s="69"/>
      <c r="G414" s="68"/>
      <c r="H414" s="69"/>
      <c r="I414" s="69"/>
      <c r="J414" s="69"/>
      <c r="K414" s="69"/>
    </row>
    <row r="415" spans="1:11" x14ac:dyDescent="0.3">
      <c r="A415" s="69"/>
      <c r="B415" s="68"/>
      <c r="C415" s="69"/>
      <c r="D415" s="69"/>
      <c r="E415" s="69"/>
      <c r="F415" s="69"/>
      <c r="G415" s="68"/>
      <c r="H415" s="69"/>
      <c r="I415" s="69"/>
      <c r="J415" s="69"/>
      <c r="K415" s="69"/>
    </row>
    <row r="416" spans="1:11" x14ac:dyDescent="0.3">
      <c r="A416" s="69"/>
      <c r="B416" s="68"/>
      <c r="C416" s="69"/>
      <c r="D416" s="69"/>
      <c r="E416" s="69"/>
      <c r="F416" s="69"/>
      <c r="G416" s="68"/>
      <c r="H416" s="69"/>
      <c r="I416" s="69"/>
      <c r="J416" s="69"/>
      <c r="K416" s="69"/>
    </row>
    <row r="417" spans="1:11" x14ac:dyDescent="0.3">
      <c r="A417" s="69"/>
      <c r="B417" s="68"/>
      <c r="C417" s="69"/>
      <c r="D417" s="69"/>
      <c r="E417" s="69"/>
      <c r="F417" s="69"/>
      <c r="G417" s="68"/>
      <c r="H417" s="69"/>
      <c r="I417" s="69"/>
      <c r="J417" s="69"/>
      <c r="K417" s="69"/>
    </row>
    <row r="418" spans="1:11" x14ac:dyDescent="0.3">
      <c r="A418" s="69"/>
      <c r="B418" s="68"/>
      <c r="C418" s="69"/>
      <c r="D418" s="69"/>
      <c r="E418" s="69"/>
      <c r="F418" s="69"/>
      <c r="G418" s="68"/>
      <c r="H418" s="69"/>
      <c r="I418" s="69"/>
      <c r="J418" s="69"/>
      <c r="K418" s="69"/>
    </row>
    <row r="419" spans="1:11" x14ac:dyDescent="0.3">
      <c r="A419" s="69"/>
      <c r="B419" s="68"/>
      <c r="C419" s="69"/>
      <c r="D419" s="69"/>
      <c r="E419" s="69"/>
      <c r="F419" s="69"/>
      <c r="G419" s="68"/>
      <c r="H419" s="69"/>
      <c r="I419" s="69"/>
      <c r="J419" s="69"/>
      <c r="K419" s="69"/>
    </row>
    <row r="420" spans="1:11" x14ac:dyDescent="0.3">
      <c r="A420" s="69"/>
      <c r="B420" s="68"/>
      <c r="C420" s="69"/>
      <c r="D420" s="69"/>
      <c r="E420" s="69"/>
      <c r="F420" s="69"/>
      <c r="G420" s="68"/>
      <c r="H420" s="69"/>
      <c r="I420" s="69"/>
      <c r="J420" s="69"/>
      <c r="K420" s="69"/>
    </row>
    <row r="421" spans="1:11" x14ac:dyDescent="0.3">
      <c r="A421" s="69"/>
      <c r="B421" s="68"/>
      <c r="C421" s="69"/>
      <c r="D421" s="69"/>
      <c r="E421" s="69"/>
      <c r="F421" s="69"/>
      <c r="G421" s="68"/>
      <c r="H421" s="69"/>
      <c r="I421" s="69"/>
      <c r="J421" s="69"/>
      <c r="K421" s="69"/>
    </row>
    <row r="422" spans="1:11" x14ac:dyDescent="0.3">
      <c r="A422" s="69"/>
      <c r="B422" s="68"/>
      <c r="C422" s="69"/>
      <c r="D422" s="69"/>
      <c r="E422" s="69"/>
      <c r="F422" s="69"/>
      <c r="G422" s="68"/>
      <c r="H422" s="69"/>
      <c r="I422" s="69"/>
      <c r="J422" s="69"/>
      <c r="K422" s="69"/>
    </row>
    <row r="423" spans="1:11" x14ac:dyDescent="0.3">
      <c r="A423" s="69"/>
      <c r="B423" s="68"/>
      <c r="C423" s="69"/>
      <c r="D423" s="69"/>
      <c r="E423" s="69"/>
      <c r="F423" s="69"/>
      <c r="G423" s="68"/>
      <c r="H423" s="69"/>
      <c r="I423" s="69"/>
      <c r="J423" s="69"/>
      <c r="K423" s="69"/>
    </row>
    <row r="424" spans="1:11" x14ac:dyDescent="0.3">
      <c r="A424" s="69"/>
      <c r="B424" s="68"/>
      <c r="C424" s="69"/>
      <c r="D424" s="69"/>
      <c r="E424" s="69"/>
      <c r="F424" s="69"/>
      <c r="G424" s="68"/>
      <c r="H424" s="69"/>
      <c r="I424" s="69"/>
      <c r="J424" s="69"/>
      <c r="K424" s="69"/>
    </row>
    <row r="425" spans="1:11" x14ac:dyDescent="0.3">
      <c r="A425" s="69"/>
      <c r="B425" s="68"/>
      <c r="C425" s="69"/>
      <c r="D425" s="69"/>
      <c r="E425" s="69"/>
      <c r="F425" s="69"/>
      <c r="G425" s="68"/>
      <c r="H425" s="69"/>
      <c r="I425" s="69"/>
      <c r="J425" s="69"/>
      <c r="K425" s="69"/>
    </row>
    <row r="426" spans="1:11" x14ac:dyDescent="0.3">
      <c r="A426" s="69"/>
      <c r="B426" s="68"/>
      <c r="C426" s="69"/>
      <c r="D426" s="69"/>
      <c r="E426" s="69"/>
      <c r="F426" s="69"/>
      <c r="G426" s="68"/>
      <c r="H426" s="69"/>
      <c r="I426" s="69"/>
      <c r="J426" s="69"/>
      <c r="K426" s="69"/>
    </row>
    <row r="427" spans="1:11" x14ac:dyDescent="0.3">
      <c r="A427" s="69"/>
      <c r="B427" s="68"/>
      <c r="C427" s="69"/>
      <c r="D427" s="69"/>
      <c r="E427" s="69"/>
      <c r="F427" s="69"/>
      <c r="G427" s="68"/>
      <c r="H427" s="69"/>
      <c r="I427" s="69"/>
      <c r="J427" s="69"/>
      <c r="K427" s="69"/>
    </row>
    <row r="428" spans="1:11" x14ac:dyDescent="0.3">
      <c r="A428" s="69"/>
      <c r="B428" s="68"/>
      <c r="C428" s="69"/>
      <c r="D428" s="69"/>
      <c r="E428" s="69"/>
      <c r="F428" s="69"/>
      <c r="G428" s="68"/>
      <c r="H428" s="69"/>
      <c r="I428" s="69"/>
      <c r="J428" s="69"/>
      <c r="K428" s="69"/>
    </row>
    <row r="429" spans="1:11" x14ac:dyDescent="0.3">
      <c r="A429" s="69"/>
      <c r="B429" s="68"/>
      <c r="C429" s="69"/>
      <c r="D429" s="69"/>
      <c r="E429" s="69"/>
      <c r="F429" s="69"/>
      <c r="G429" s="68"/>
      <c r="H429" s="69"/>
      <c r="I429" s="69"/>
      <c r="J429" s="69"/>
      <c r="K429" s="69"/>
    </row>
    <row r="430" spans="1:11" x14ac:dyDescent="0.3">
      <c r="A430" s="69"/>
      <c r="B430" s="68"/>
      <c r="C430" s="69"/>
      <c r="D430" s="69"/>
      <c r="E430" s="69"/>
      <c r="F430" s="69"/>
      <c r="G430" s="68"/>
      <c r="H430" s="69"/>
      <c r="I430" s="69"/>
      <c r="J430" s="69"/>
      <c r="K430" s="69"/>
    </row>
    <row r="431" spans="1:11" x14ac:dyDescent="0.3">
      <c r="A431" s="69"/>
      <c r="B431" s="68"/>
      <c r="C431" s="69"/>
      <c r="D431" s="69"/>
      <c r="E431" s="69"/>
      <c r="F431" s="69"/>
      <c r="G431" s="68"/>
      <c r="H431" s="69"/>
      <c r="I431" s="69"/>
      <c r="J431" s="69"/>
      <c r="K431" s="69"/>
    </row>
    <row r="432" spans="1:11" x14ac:dyDescent="0.3">
      <c r="A432" s="69"/>
      <c r="B432" s="68"/>
      <c r="C432" s="69"/>
      <c r="D432" s="69"/>
      <c r="E432" s="69"/>
      <c r="F432" s="69"/>
      <c r="G432" s="68"/>
      <c r="H432" s="69"/>
      <c r="I432" s="69"/>
      <c r="J432" s="69"/>
      <c r="K432" s="69"/>
    </row>
    <row r="433" spans="1:11" x14ac:dyDescent="0.3">
      <c r="A433" s="69"/>
      <c r="B433" s="68"/>
      <c r="C433" s="69"/>
      <c r="D433" s="69"/>
      <c r="E433" s="69"/>
      <c r="F433" s="69"/>
      <c r="G433" s="68"/>
      <c r="H433" s="69"/>
      <c r="I433" s="69"/>
      <c r="J433" s="69"/>
      <c r="K433" s="69"/>
    </row>
    <row r="434" spans="1:11" x14ac:dyDescent="0.3">
      <c r="A434" s="69"/>
      <c r="B434" s="68"/>
      <c r="C434" s="69"/>
      <c r="D434" s="69"/>
      <c r="E434" s="69"/>
      <c r="F434" s="69"/>
      <c r="G434" s="68"/>
      <c r="H434" s="69"/>
      <c r="I434" s="69"/>
      <c r="J434" s="69"/>
      <c r="K434" s="69"/>
    </row>
    <row r="435" spans="1:11" x14ac:dyDescent="0.3">
      <c r="A435" s="69"/>
      <c r="B435" s="68"/>
      <c r="C435" s="69"/>
      <c r="D435" s="69"/>
      <c r="E435" s="69"/>
      <c r="F435" s="69"/>
      <c r="G435" s="68"/>
      <c r="H435" s="69"/>
      <c r="I435" s="69"/>
      <c r="J435" s="69"/>
      <c r="K435" s="69"/>
    </row>
    <row r="436" spans="1:11" x14ac:dyDescent="0.3">
      <c r="A436" s="69"/>
      <c r="B436" s="68"/>
      <c r="C436" s="69"/>
      <c r="D436" s="69"/>
      <c r="E436" s="69"/>
      <c r="F436" s="69"/>
      <c r="G436" s="68"/>
      <c r="H436" s="69"/>
      <c r="I436" s="69"/>
      <c r="J436" s="69"/>
      <c r="K436" s="69"/>
    </row>
    <row r="437" spans="1:11" x14ac:dyDescent="0.3">
      <c r="A437" s="69"/>
      <c r="B437" s="68"/>
      <c r="C437" s="69"/>
      <c r="D437" s="69"/>
      <c r="E437" s="69"/>
      <c r="F437" s="69"/>
      <c r="G437" s="68"/>
      <c r="H437" s="69"/>
      <c r="I437" s="69"/>
      <c r="J437" s="69"/>
      <c r="K437" s="69"/>
    </row>
    <row r="438" spans="1:11" x14ac:dyDescent="0.3">
      <c r="A438" s="69"/>
      <c r="B438" s="68"/>
      <c r="C438" s="69"/>
      <c r="D438" s="69"/>
      <c r="E438" s="69"/>
      <c r="F438" s="69"/>
      <c r="G438" s="68"/>
      <c r="H438" s="69"/>
      <c r="I438" s="69"/>
      <c r="J438" s="69"/>
      <c r="K438" s="69"/>
    </row>
    <row r="439" spans="1:11" x14ac:dyDescent="0.3">
      <c r="A439" s="69"/>
      <c r="B439" s="68"/>
      <c r="C439" s="69"/>
      <c r="D439" s="69"/>
      <c r="E439" s="69"/>
      <c r="F439" s="69"/>
      <c r="G439" s="68"/>
      <c r="H439" s="69"/>
      <c r="I439" s="69"/>
      <c r="J439" s="69"/>
      <c r="K439" s="69"/>
    </row>
    <row r="440" spans="1:11" x14ac:dyDescent="0.3">
      <c r="A440" s="69"/>
      <c r="B440" s="68"/>
      <c r="C440" s="69"/>
      <c r="D440" s="69"/>
      <c r="E440" s="69"/>
      <c r="F440" s="69"/>
      <c r="G440" s="68"/>
      <c r="H440" s="69"/>
      <c r="I440" s="69"/>
      <c r="J440" s="69"/>
      <c r="K440" s="69"/>
    </row>
    <row r="441" spans="1:11" x14ac:dyDescent="0.3">
      <c r="A441" s="69"/>
      <c r="B441" s="68"/>
      <c r="C441" s="69"/>
      <c r="D441" s="69"/>
      <c r="E441" s="69"/>
      <c r="F441" s="69"/>
      <c r="G441" s="68"/>
      <c r="H441" s="69"/>
      <c r="I441" s="69"/>
      <c r="J441" s="69"/>
      <c r="K441" s="69"/>
    </row>
    <row r="442" spans="1:11" x14ac:dyDescent="0.3">
      <c r="A442" s="69"/>
      <c r="B442" s="68"/>
      <c r="C442" s="69"/>
      <c r="D442" s="69"/>
      <c r="E442" s="69"/>
      <c r="F442" s="69"/>
      <c r="G442" s="68"/>
      <c r="H442" s="69"/>
      <c r="I442" s="69"/>
      <c r="J442" s="69"/>
      <c r="K442" s="69"/>
    </row>
    <row r="443" spans="1:11" x14ac:dyDescent="0.3">
      <c r="A443" s="69"/>
      <c r="B443" s="68"/>
      <c r="C443" s="69"/>
      <c r="D443" s="69"/>
      <c r="E443" s="69"/>
      <c r="F443" s="69"/>
      <c r="G443" s="68"/>
      <c r="H443" s="69"/>
      <c r="I443" s="69"/>
      <c r="J443" s="69"/>
      <c r="K443" s="69"/>
    </row>
    <row r="444" spans="1:11" x14ac:dyDescent="0.3">
      <c r="A444" s="69"/>
      <c r="B444" s="68"/>
      <c r="C444" s="69"/>
      <c r="D444" s="69"/>
      <c r="E444" s="69"/>
      <c r="F444" s="69"/>
      <c r="G444" s="68"/>
      <c r="H444" s="69"/>
      <c r="I444" s="69"/>
      <c r="J444" s="69"/>
      <c r="K444" s="69"/>
    </row>
    <row r="445" spans="1:11" x14ac:dyDescent="0.3">
      <c r="A445" s="69"/>
      <c r="B445" s="68"/>
      <c r="C445" s="69"/>
      <c r="D445" s="69"/>
      <c r="E445" s="69"/>
      <c r="F445" s="69"/>
      <c r="G445" s="68"/>
      <c r="H445" s="69"/>
      <c r="I445" s="69"/>
      <c r="J445" s="69"/>
      <c r="K445" s="69"/>
    </row>
    <row r="446" spans="1:11" x14ac:dyDescent="0.3">
      <c r="A446" s="69"/>
      <c r="B446" s="68"/>
      <c r="C446" s="69"/>
      <c r="D446" s="69"/>
      <c r="E446" s="69"/>
      <c r="F446" s="69"/>
      <c r="G446" s="68"/>
      <c r="H446" s="69"/>
      <c r="I446" s="69"/>
      <c r="J446" s="69"/>
      <c r="K446" s="69"/>
    </row>
    <row r="447" spans="1:11" x14ac:dyDescent="0.3">
      <c r="A447" s="69"/>
      <c r="B447" s="68"/>
      <c r="C447" s="69"/>
      <c r="D447" s="69"/>
      <c r="E447" s="69"/>
      <c r="F447" s="69"/>
      <c r="G447" s="68"/>
      <c r="H447" s="69"/>
      <c r="I447" s="69"/>
      <c r="J447" s="69"/>
      <c r="K447" s="69"/>
    </row>
    <row r="448" spans="1:11" x14ac:dyDescent="0.3">
      <c r="A448" s="69"/>
      <c r="B448" s="68"/>
      <c r="C448" s="69"/>
      <c r="D448" s="69"/>
      <c r="E448" s="69"/>
      <c r="F448" s="69"/>
      <c r="G448" s="68"/>
      <c r="H448" s="69"/>
      <c r="I448" s="69"/>
      <c r="J448" s="69"/>
      <c r="K448" s="69"/>
    </row>
    <row r="449" spans="1:11" x14ac:dyDescent="0.3">
      <c r="A449" s="69"/>
      <c r="B449" s="68"/>
      <c r="C449" s="69"/>
      <c r="D449" s="69"/>
      <c r="E449" s="69"/>
      <c r="F449" s="69"/>
      <c r="G449" s="68"/>
      <c r="H449" s="69"/>
      <c r="I449" s="69"/>
      <c r="J449" s="69"/>
      <c r="K449" s="69"/>
    </row>
    <row r="450" spans="1:11" x14ac:dyDescent="0.3">
      <c r="A450" s="69"/>
      <c r="B450" s="68"/>
      <c r="C450" s="69"/>
      <c r="D450" s="69"/>
      <c r="E450" s="69"/>
      <c r="F450" s="69"/>
      <c r="G450" s="68"/>
      <c r="H450" s="69"/>
      <c r="I450" s="69"/>
      <c r="J450" s="69"/>
      <c r="K450" s="69"/>
    </row>
    <row r="451" spans="1:11" x14ac:dyDescent="0.3">
      <c r="A451" s="69"/>
      <c r="B451" s="68"/>
      <c r="C451" s="69"/>
      <c r="D451" s="69"/>
      <c r="E451" s="69"/>
      <c r="F451" s="69"/>
      <c r="G451" s="68"/>
      <c r="H451" s="69"/>
      <c r="I451" s="69"/>
      <c r="J451" s="69"/>
      <c r="K451" s="69"/>
    </row>
    <row r="452" spans="1:11" x14ac:dyDescent="0.3">
      <c r="A452" s="69"/>
      <c r="B452" s="68"/>
      <c r="C452" s="69"/>
      <c r="D452" s="69"/>
      <c r="E452" s="69"/>
      <c r="F452" s="69"/>
      <c r="G452" s="68"/>
      <c r="H452" s="69"/>
      <c r="I452" s="69"/>
      <c r="J452" s="69"/>
      <c r="K452" s="69"/>
    </row>
    <row r="453" spans="1:11" x14ac:dyDescent="0.3">
      <c r="A453" s="69"/>
      <c r="B453" s="68"/>
      <c r="C453" s="69"/>
      <c r="D453" s="69"/>
      <c r="E453" s="69"/>
      <c r="F453" s="69"/>
      <c r="G453" s="68"/>
      <c r="H453" s="69"/>
      <c r="I453" s="69"/>
      <c r="J453" s="69"/>
      <c r="K453" s="69"/>
    </row>
    <row r="454" spans="1:11" x14ac:dyDescent="0.3">
      <c r="A454" s="69"/>
      <c r="B454" s="68"/>
      <c r="C454" s="69"/>
      <c r="D454" s="69"/>
      <c r="E454" s="69"/>
      <c r="F454" s="69"/>
      <c r="G454" s="68"/>
      <c r="H454" s="69"/>
      <c r="I454" s="69"/>
      <c r="J454" s="69"/>
      <c r="K454" s="69"/>
    </row>
    <row r="455" spans="1:11" x14ac:dyDescent="0.3">
      <c r="A455" s="69"/>
      <c r="B455" s="68"/>
      <c r="C455" s="69"/>
      <c r="D455" s="69"/>
      <c r="E455" s="69"/>
      <c r="F455" s="69"/>
      <c r="G455" s="68"/>
      <c r="H455" s="69"/>
      <c r="I455" s="69"/>
      <c r="J455" s="69"/>
      <c r="K455" s="69"/>
    </row>
    <row r="456" spans="1:11" x14ac:dyDescent="0.3">
      <c r="A456" s="69"/>
      <c r="B456" s="68"/>
      <c r="C456" s="69"/>
      <c r="D456" s="69"/>
      <c r="E456" s="69"/>
      <c r="F456" s="69"/>
      <c r="G456" s="68"/>
      <c r="H456" s="69"/>
      <c r="I456" s="69"/>
      <c r="J456" s="69"/>
      <c r="K456" s="69"/>
    </row>
    <row r="457" spans="1:11" x14ac:dyDescent="0.3">
      <c r="A457" s="69"/>
      <c r="B457" s="68"/>
      <c r="C457" s="69"/>
      <c r="D457" s="69"/>
      <c r="E457" s="69"/>
      <c r="F457" s="69"/>
      <c r="G457" s="68"/>
      <c r="H457" s="69"/>
      <c r="I457" s="69"/>
      <c r="J457" s="69"/>
      <c r="K457" s="69"/>
    </row>
    <row r="458" spans="1:11" x14ac:dyDescent="0.3">
      <c r="A458" s="69"/>
      <c r="B458" s="68"/>
      <c r="C458" s="69"/>
      <c r="D458" s="69"/>
      <c r="E458" s="69"/>
      <c r="F458" s="69"/>
      <c r="G458" s="68"/>
      <c r="H458" s="69"/>
      <c r="I458" s="69"/>
      <c r="J458" s="69"/>
      <c r="K458" s="69"/>
    </row>
    <row r="459" spans="1:11" x14ac:dyDescent="0.3">
      <c r="A459" s="69"/>
      <c r="B459" s="68"/>
      <c r="C459" s="69"/>
      <c r="D459" s="69"/>
      <c r="E459" s="69"/>
      <c r="F459" s="69"/>
      <c r="G459" s="68"/>
      <c r="H459" s="69"/>
      <c r="I459" s="69"/>
      <c r="J459" s="69"/>
      <c r="K459" s="69"/>
    </row>
    <row r="460" spans="1:11" x14ac:dyDescent="0.3">
      <c r="A460" s="69"/>
      <c r="B460" s="68"/>
      <c r="C460" s="69"/>
      <c r="D460" s="69"/>
      <c r="E460" s="69"/>
      <c r="F460" s="69"/>
      <c r="G460" s="68"/>
      <c r="H460" s="69"/>
      <c r="I460" s="69"/>
      <c r="J460" s="69"/>
      <c r="K460" s="69"/>
    </row>
    <row r="461" spans="1:11" x14ac:dyDescent="0.3">
      <c r="A461" s="69"/>
      <c r="B461" s="68"/>
      <c r="C461" s="69"/>
      <c r="D461" s="69"/>
      <c r="E461" s="69"/>
      <c r="F461" s="69"/>
      <c r="G461" s="68"/>
      <c r="H461" s="69"/>
      <c r="I461" s="69"/>
      <c r="J461" s="69"/>
      <c r="K461" s="69"/>
    </row>
    <row r="462" spans="1:11" x14ac:dyDescent="0.3">
      <c r="A462" s="69"/>
      <c r="B462" s="68"/>
      <c r="C462" s="69"/>
      <c r="D462" s="69"/>
      <c r="E462" s="69"/>
      <c r="F462" s="69"/>
      <c r="G462" s="68"/>
      <c r="H462" s="69"/>
      <c r="I462" s="69"/>
      <c r="J462" s="69"/>
      <c r="K462" s="69"/>
    </row>
    <row r="463" spans="1:11" x14ac:dyDescent="0.3">
      <c r="A463" s="69"/>
      <c r="B463" s="68"/>
      <c r="C463" s="69"/>
      <c r="D463" s="69"/>
      <c r="E463" s="69"/>
      <c r="F463" s="69"/>
      <c r="G463" s="68"/>
      <c r="H463" s="69"/>
      <c r="I463" s="69"/>
      <c r="J463" s="69"/>
      <c r="K463" s="69"/>
    </row>
    <row r="464" spans="1:11" x14ac:dyDescent="0.3">
      <c r="A464" s="69"/>
      <c r="B464" s="68"/>
      <c r="C464" s="69"/>
      <c r="D464" s="69"/>
      <c r="E464" s="69"/>
      <c r="F464" s="69"/>
      <c r="G464" s="68"/>
      <c r="H464" s="69"/>
      <c r="I464" s="69"/>
      <c r="J464" s="69"/>
      <c r="K464" s="69"/>
    </row>
    <row r="465" spans="1:11" x14ac:dyDescent="0.3">
      <c r="A465" s="69"/>
      <c r="B465" s="68"/>
      <c r="C465" s="69"/>
      <c r="D465" s="69"/>
      <c r="E465" s="69"/>
      <c r="F465" s="69"/>
      <c r="G465" s="68"/>
      <c r="H465" s="69"/>
      <c r="I465" s="69"/>
      <c r="J465" s="69"/>
      <c r="K465" s="69"/>
    </row>
    <row r="466" spans="1:11" x14ac:dyDescent="0.3">
      <c r="A466" s="69"/>
      <c r="B466" s="68"/>
      <c r="C466" s="69"/>
      <c r="D466" s="69"/>
      <c r="E466" s="69"/>
      <c r="F466" s="69"/>
      <c r="G466" s="68"/>
      <c r="H466" s="69"/>
      <c r="I466" s="69"/>
      <c r="J466" s="69"/>
      <c r="K466" s="69"/>
    </row>
    <row r="467" spans="1:11" x14ac:dyDescent="0.3">
      <c r="A467" s="69"/>
      <c r="B467" s="68"/>
      <c r="C467" s="69"/>
      <c r="D467" s="69"/>
      <c r="E467" s="69"/>
      <c r="F467" s="69"/>
      <c r="G467" s="68"/>
      <c r="H467" s="69"/>
      <c r="I467" s="69"/>
      <c r="J467" s="69"/>
      <c r="K467" s="69"/>
    </row>
    <row r="468" spans="1:11" x14ac:dyDescent="0.3">
      <c r="A468" s="69"/>
      <c r="B468" s="68"/>
      <c r="C468" s="69"/>
      <c r="D468" s="69"/>
      <c r="E468" s="69"/>
      <c r="F468" s="69"/>
      <c r="G468" s="68"/>
      <c r="H468" s="69"/>
      <c r="I468" s="69"/>
      <c r="J468" s="69"/>
      <c r="K468" s="69"/>
    </row>
    <row r="469" spans="1:11" x14ac:dyDescent="0.3">
      <c r="A469" s="69"/>
      <c r="B469" s="68"/>
      <c r="C469" s="69"/>
      <c r="D469" s="69"/>
      <c r="E469" s="69"/>
      <c r="F469" s="69"/>
      <c r="G469" s="68"/>
      <c r="H469" s="69"/>
      <c r="I469" s="69"/>
      <c r="J469" s="69"/>
      <c r="K469" s="69"/>
    </row>
    <row r="470" spans="1:11" x14ac:dyDescent="0.3">
      <c r="A470" s="69"/>
      <c r="B470" s="68"/>
      <c r="C470" s="69"/>
      <c r="D470" s="69"/>
      <c r="E470" s="69"/>
      <c r="F470" s="69"/>
      <c r="G470" s="68"/>
      <c r="H470" s="69"/>
      <c r="I470" s="69"/>
      <c r="J470" s="69"/>
      <c r="K470" s="69"/>
    </row>
    <row r="471" spans="1:11" x14ac:dyDescent="0.3">
      <c r="A471" s="69"/>
      <c r="B471" s="68"/>
      <c r="C471" s="69"/>
      <c r="D471" s="69"/>
      <c r="E471" s="69"/>
      <c r="F471" s="69"/>
      <c r="G471" s="68"/>
      <c r="H471" s="69"/>
      <c r="I471" s="69"/>
      <c r="J471" s="69"/>
      <c r="K471" s="69"/>
    </row>
    <row r="472" spans="1:11" x14ac:dyDescent="0.3">
      <c r="A472" s="69"/>
      <c r="B472" s="68"/>
      <c r="C472" s="69"/>
      <c r="D472" s="69"/>
      <c r="E472" s="69"/>
      <c r="F472" s="69"/>
      <c r="G472" s="68"/>
      <c r="H472" s="69"/>
      <c r="I472" s="69"/>
      <c r="J472" s="69"/>
      <c r="K472" s="69"/>
    </row>
    <row r="473" spans="1:11" x14ac:dyDescent="0.3">
      <c r="A473" s="69"/>
      <c r="B473" s="68"/>
      <c r="C473" s="69"/>
      <c r="D473" s="69"/>
      <c r="E473" s="69"/>
      <c r="F473" s="69"/>
      <c r="G473" s="68"/>
      <c r="H473" s="69"/>
      <c r="I473" s="69"/>
      <c r="J473" s="69"/>
      <c r="K473" s="69"/>
    </row>
    <row r="474" spans="1:11" x14ac:dyDescent="0.3">
      <c r="A474" s="69"/>
      <c r="B474" s="68"/>
      <c r="C474" s="69"/>
      <c r="D474" s="69"/>
      <c r="E474" s="69"/>
      <c r="F474" s="69"/>
      <c r="G474" s="68"/>
      <c r="H474" s="69"/>
      <c r="I474" s="69"/>
      <c r="J474" s="69"/>
      <c r="K474" s="69"/>
    </row>
    <row r="475" spans="1:11" x14ac:dyDescent="0.3">
      <c r="A475" s="69"/>
      <c r="B475" s="68"/>
      <c r="C475" s="69"/>
      <c r="D475" s="69"/>
      <c r="E475" s="69"/>
      <c r="F475" s="69"/>
      <c r="G475" s="68"/>
      <c r="H475" s="69"/>
      <c r="I475" s="69"/>
      <c r="J475" s="69"/>
      <c r="K475" s="69"/>
    </row>
    <row r="476" spans="1:11" x14ac:dyDescent="0.3">
      <c r="A476" s="69"/>
      <c r="B476" s="68"/>
      <c r="C476" s="69"/>
      <c r="D476" s="69"/>
      <c r="E476" s="69"/>
      <c r="F476" s="69"/>
      <c r="G476" s="68"/>
      <c r="H476" s="69"/>
      <c r="I476" s="69"/>
      <c r="J476" s="69"/>
      <c r="K476" s="69"/>
    </row>
    <row r="477" spans="1:11" x14ac:dyDescent="0.3">
      <c r="A477" s="69"/>
      <c r="B477" s="68"/>
      <c r="C477" s="69"/>
      <c r="D477" s="69"/>
      <c r="E477" s="69"/>
      <c r="F477" s="69"/>
      <c r="G477" s="68"/>
      <c r="H477" s="69"/>
      <c r="I477" s="69"/>
      <c r="J477" s="69"/>
      <c r="K477" s="69"/>
    </row>
    <row r="478" spans="1:11" x14ac:dyDescent="0.3">
      <c r="A478" s="69"/>
      <c r="B478" s="68"/>
      <c r="C478" s="69"/>
      <c r="D478" s="69"/>
      <c r="E478" s="69"/>
      <c r="F478" s="69"/>
      <c r="G478" s="68"/>
      <c r="H478" s="69"/>
      <c r="I478" s="69"/>
      <c r="J478" s="69"/>
      <c r="K478" s="69"/>
    </row>
    <row r="479" spans="1:11" x14ac:dyDescent="0.3">
      <c r="A479" s="69"/>
      <c r="B479" s="68"/>
      <c r="C479" s="69"/>
      <c r="D479" s="69"/>
      <c r="E479" s="69"/>
      <c r="F479" s="69"/>
      <c r="G479" s="68"/>
      <c r="H479" s="69"/>
      <c r="I479" s="69"/>
      <c r="J479" s="69"/>
      <c r="K479" s="69"/>
    </row>
    <row r="480" spans="1:11" x14ac:dyDescent="0.3">
      <c r="A480" s="69"/>
      <c r="B480" s="68"/>
      <c r="C480" s="69"/>
      <c r="D480" s="69"/>
      <c r="E480" s="69"/>
      <c r="F480" s="69"/>
      <c r="G480" s="68"/>
      <c r="H480" s="69"/>
      <c r="I480" s="69"/>
      <c r="J480" s="69"/>
      <c r="K480" s="69"/>
    </row>
    <row r="481" spans="1:11" x14ac:dyDescent="0.3">
      <c r="A481" s="69"/>
      <c r="B481" s="68"/>
      <c r="C481" s="69"/>
      <c r="D481" s="69"/>
      <c r="E481" s="69"/>
      <c r="F481" s="69"/>
      <c r="G481" s="68"/>
      <c r="H481" s="69"/>
      <c r="I481" s="69"/>
      <c r="J481" s="69"/>
      <c r="K481" s="69"/>
    </row>
    <row r="482" spans="1:11" x14ac:dyDescent="0.3">
      <c r="A482" s="69"/>
      <c r="B482" s="68"/>
      <c r="C482" s="69"/>
      <c r="D482" s="69"/>
      <c r="E482" s="69"/>
      <c r="F482" s="69"/>
      <c r="G482" s="68"/>
      <c r="H482" s="69"/>
      <c r="I482" s="69"/>
      <c r="J482" s="69"/>
      <c r="K482" s="69"/>
    </row>
    <row r="483" spans="1:11" x14ac:dyDescent="0.3">
      <c r="A483" s="69"/>
      <c r="B483" s="68"/>
      <c r="C483" s="69"/>
      <c r="D483" s="69"/>
      <c r="E483" s="69"/>
      <c r="F483" s="69"/>
      <c r="G483" s="68"/>
      <c r="H483" s="69"/>
      <c r="I483" s="69"/>
      <c r="J483" s="69"/>
      <c r="K483" s="69"/>
    </row>
    <row r="484" spans="1:11" x14ac:dyDescent="0.3">
      <c r="A484" s="69"/>
      <c r="B484" s="68"/>
      <c r="C484" s="69"/>
      <c r="D484" s="69"/>
      <c r="E484" s="69"/>
      <c r="F484" s="69"/>
      <c r="G484" s="68"/>
      <c r="H484" s="69"/>
      <c r="I484" s="69"/>
      <c r="J484" s="69"/>
      <c r="K484" s="69"/>
    </row>
    <row r="485" spans="1:11" x14ac:dyDescent="0.3">
      <c r="A485" s="69"/>
      <c r="B485" s="68"/>
      <c r="C485" s="69"/>
      <c r="D485" s="69"/>
      <c r="E485" s="69"/>
      <c r="F485" s="69"/>
      <c r="G485" s="68"/>
      <c r="H485" s="69"/>
      <c r="I485" s="69"/>
      <c r="J485" s="69"/>
      <c r="K485" s="69"/>
    </row>
    <row r="486" spans="1:11" x14ac:dyDescent="0.3">
      <c r="A486" s="69"/>
      <c r="B486" s="68"/>
      <c r="C486" s="69"/>
      <c r="D486" s="69"/>
      <c r="E486" s="69"/>
      <c r="F486" s="69"/>
      <c r="G486" s="68"/>
      <c r="H486" s="69"/>
      <c r="I486" s="69"/>
      <c r="J486" s="69"/>
      <c r="K486" s="69"/>
    </row>
    <row r="487" spans="1:11" x14ac:dyDescent="0.3">
      <c r="A487" s="69"/>
      <c r="B487" s="68"/>
      <c r="C487" s="69"/>
      <c r="D487" s="69"/>
      <c r="E487" s="69"/>
      <c r="F487" s="69"/>
      <c r="G487" s="68"/>
      <c r="H487" s="69"/>
      <c r="I487" s="69"/>
      <c r="J487" s="69"/>
      <c r="K487" s="69"/>
    </row>
    <row r="488" spans="1:11" x14ac:dyDescent="0.3">
      <c r="A488" s="69"/>
      <c r="B488" s="68"/>
      <c r="C488" s="69"/>
      <c r="D488" s="69"/>
      <c r="E488" s="69"/>
      <c r="F488" s="69"/>
      <c r="G488" s="68"/>
      <c r="H488" s="69"/>
      <c r="I488" s="69"/>
      <c r="J488" s="69"/>
      <c r="K488" s="69"/>
    </row>
    <row r="489" spans="1:11" x14ac:dyDescent="0.3">
      <c r="A489" s="69"/>
      <c r="B489" s="68"/>
      <c r="C489" s="69"/>
      <c r="D489" s="69"/>
      <c r="E489" s="69"/>
      <c r="F489" s="69"/>
      <c r="G489" s="68"/>
      <c r="H489" s="69"/>
      <c r="I489" s="69"/>
      <c r="J489" s="69"/>
      <c r="K489" s="69"/>
    </row>
    <row r="490" spans="1:11" x14ac:dyDescent="0.3">
      <c r="A490" s="69"/>
      <c r="B490" s="68"/>
      <c r="C490" s="69"/>
      <c r="D490" s="69"/>
      <c r="E490" s="69"/>
      <c r="F490" s="69"/>
      <c r="G490" s="68"/>
      <c r="H490" s="69"/>
      <c r="I490" s="69"/>
      <c r="J490" s="69"/>
      <c r="K490" s="69"/>
    </row>
    <row r="491" spans="1:11" x14ac:dyDescent="0.3">
      <c r="A491" s="69"/>
      <c r="B491" s="68"/>
      <c r="C491" s="69"/>
      <c r="D491" s="69"/>
      <c r="E491" s="69"/>
      <c r="F491" s="69"/>
      <c r="G491" s="68"/>
      <c r="H491" s="69"/>
      <c r="I491" s="69"/>
      <c r="J491" s="69"/>
      <c r="K491" s="69"/>
    </row>
    <row r="492" spans="1:11" x14ac:dyDescent="0.3">
      <c r="A492" s="69"/>
      <c r="B492" s="68"/>
      <c r="C492" s="69"/>
      <c r="D492" s="69"/>
      <c r="E492" s="69"/>
      <c r="F492" s="69"/>
      <c r="G492" s="68"/>
      <c r="H492" s="69"/>
      <c r="I492" s="69"/>
      <c r="J492" s="69"/>
      <c r="K492" s="69"/>
    </row>
    <row r="493" spans="1:11" x14ac:dyDescent="0.3">
      <c r="A493" s="69"/>
      <c r="B493" s="68"/>
      <c r="C493" s="69"/>
      <c r="D493" s="69"/>
      <c r="E493" s="69"/>
      <c r="F493" s="69"/>
      <c r="G493" s="68"/>
      <c r="H493" s="69"/>
      <c r="I493" s="69"/>
      <c r="J493" s="69"/>
      <c r="K493" s="69"/>
    </row>
    <row r="494" spans="1:11" x14ac:dyDescent="0.3">
      <c r="A494" s="69"/>
      <c r="B494" s="68"/>
      <c r="C494" s="69"/>
      <c r="D494" s="69"/>
      <c r="E494" s="69"/>
      <c r="F494" s="69"/>
      <c r="G494" s="68"/>
      <c r="H494" s="69"/>
      <c r="I494" s="69"/>
      <c r="J494" s="69"/>
      <c r="K494" s="69"/>
    </row>
    <row r="495" spans="1:11" x14ac:dyDescent="0.3">
      <c r="A495" s="69"/>
      <c r="B495" s="68"/>
      <c r="C495" s="69"/>
      <c r="D495" s="69"/>
      <c r="E495" s="69"/>
      <c r="F495" s="69"/>
      <c r="G495" s="68"/>
      <c r="H495" s="69"/>
      <c r="I495" s="69"/>
      <c r="J495" s="69"/>
      <c r="K495" s="69"/>
    </row>
    <row r="496" spans="1:11" x14ac:dyDescent="0.3">
      <c r="A496" s="69"/>
      <c r="B496" s="68"/>
      <c r="C496" s="69"/>
      <c r="D496" s="69"/>
      <c r="E496" s="69"/>
      <c r="F496" s="69"/>
      <c r="G496" s="68"/>
      <c r="H496" s="69"/>
      <c r="I496" s="69"/>
      <c r="J496" s="69"/>
      <c r="K496" s="69"/>
    </row>
    <row r="497" spans="1:11" x14ac:dyDescent="0.3">
      <c r="A497" s="69"/>
      <c r="B497" s="68"/>
      <c r="C497" s="69"/>
      <c r="D497" s="69"/>
      <c r="E497" s="69"/>
      <c r="F497" s="69"/>
      <c r="G497" s="68"/>
      <c r="H497" s="69"/>
      <c r="I497" s="69"/>
      <c r="J497" s="69"/>
      <c r="K497" s="69"/>
    </row>
    <row r="498" spans="1:11" x14ac:dyDescent="0.3">
      <c r="A498" s="69"/>
      <c r="B498" s="68"/>
      <c r="C498" s="69"/>
      <c r="D498" s="69"/>
      <c r="E498" s="69"/>
      <c r="F498" s="69"/>
      <c r="G498" s="68"/>
      <c r="H498" s="69"/>
      <c r="I498" s="69"/>
      <c r="J498" s="69"/>
      <c r="K498" s="69"/>
    </row>
    <row r="499" spans="1:11" x14ac:dyDescent="0.3">
      <c r="A499" s="69"/>
      <c r="B499" s="68"/>
      <c r="C499" s="69"/>
      <c r="D499" s="69"/>
      <c r="E499" s="69"/>
      <c r="F499" s="69"/>
      <c r="G499" s="68"/>
      <c r="H499" s="69"/>
      <c r="I499" s="69"/>
      <c r="J499" s="69"/>
      <c r="K499" s="69"/>
    </row>
    <row r="500" spans="1:11" x14ac:dyDescent="0.3">
      <c r="A500" s="69"/>
      <c r="B500" s="68"/>
      <c r="C500" s="69"/>
      <c r="D500" s="69"/>
      <c r="E500" s="69"/>
      <c r="F500" s="69"/>
      <c r="G500" s="68"/>
      <c r="H500" s="69"/>
      <c r="I500" s="69"/>
      <c r="J500" s="69"/>
      <c r="K500" s="69"/>
    </row>
    <row r="501" spans="1:11" x14ac:dyDescent="0.3">
      <c r="A501" s="69"/>
      <c r="B501" s="68"/>
      <c r="C501" s="69"/>
      <c r="D501" s="69"/>
      <c r="E501" s="69"/>
      <c r="F501" s="69"/>
      <c r="G501" s="68"/>
      <c r="H501" s="69"/>
      <c r="I501" s="69"/>
      <c r="J501" s="69"/>
      <c r="K501" s="69"/>
    </row>
    <row r="502" spans="1:11" x14ac:dyDescent="0.3">
      <c r="A502" s="69"/>
      <c r="B502" s="68"/>
      <c r="C502" s="69"/>
      <c r="D502" s="69"/>
      <c r="E502" s="69"/>
      <c r="F502" s="69"/>
      <c r="G502" s="68"/>
      <c r="H502" s="69"/>
      <c r="I502" s="69"/>
      <c r="J502" s="69"/>
      <c r="K502" s="69"/>
    </row>
    <row r="503" spans="1:11" x14ac:dyDescent="0.3">
      <c r="A503" s="69"/>
      <c r="B503" s="68"/>
      <c r="C503" s="69"/>
      <c r="D503" s="69"/>
      <c r="E503" s="69"/>
      <c r="F503" s="69"/>
      <c r="G503" s="68"/>
      <c r="H503" s="69"/>
      <c r="I503" s="69"/>
      <c r="J503" s="69"/>
      <c r="K503" s="69"/>
    </row>
    <row r="504" spans="1:11" x14ac:dyDescent="0.3">
      <c r="A504" s="69"/>
      <c r="B504" s="68"/>
      <c r="C504" s="69"/>
      <c r="D504" s="69"/>
      <c r="E504" s="69"/>
      <c r="F504" s="69"/>
      <c r="G504" s="68"/>
      <c r="H504" s="69"/>
      <c r="I504" s="69"/>
      <c r="J504" s="69"/>
      <c r="K504" s="69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Invalid entry" error="Pick a value from the list" xr:uid="{00000000-0002-0000-1100-000000000000}">
          <x14:formula1>
            <xm:f>KPI_Targets!$B$5:$B$20</xm:f>
          </x14:formula1>
          <x14:formula2>
            <xm:f>0</xm:f>
          </x14:formula2>
          <xm:sqref>D5:D504</xm:sqref>
        </x14:dataValidation>
        <x14:dataValidation type="list" allowBlank="1" errorTitle="Invalid entry" error="Pick a value from the list" xr:uid="{00000000-0002-0000-1100-000001000000}">
          <x14:formula1>
            <xm:f>Settings!$O$4:$O$8</xm:f>
          </x14:formula1>
          <x14:formula2>
            <xm:f>0</xm:f>
          </x14:formula2>
          <xm:sqref>F5:F504</xm:sqref>
        </x14:dataValidation>
        <x14:dataValidation type="list" allowBlank="1" errorTitle="Invalid entry" error="Pick a value from the list" xr:uid="{00000000-0002-0000-1100-000002000000}">
          <x14:formula1>
            <xm:f>Settings!$E$4:$E$5</xm:f>
          </x14:formula1>
          <x14:formula2>
            <xm:f>0</xm:f>
          </x14:formula2>
          <xm:sqref>I5:I504</xm:sqref>
        </x14:dataValidation>
        <x14:dataValidation type="list" allowBlank="1" errorTitle="Invalid entry" error="Pick a value from the list" xr:uid="{00000000-0002-0000-1100-000003000000}">
          <x14:formula1>
            <xm:f>Settings!$P$4:$P$30</xm:f>
          </x14:formula1>
          <x14:formula2>
            <xm:f>0</xm:f>
          </x14:formula2>
          <xm:sqref>E5:E504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F7F7F"/>
  </sheetPr>
  <dimension ref="A1:P13"/>
  <sheetViews>
    <sheetView showGridLines="0" zoomScaleNormal="100" workbookViewId="0">
      <selection activeCell="R23" sqref="A23:R26"/>
    </sheetView>
  </sheetViews>
  <sheetFormatPr defaultColWidth="8.6640625" defaultRowHeight="14.4" x14ac:dyDescent="0.3"/>
  <cols>
    <col min="1" max="1" width="38" customWidth="1"/>
    <col min="2" max="2" width="22" customWidth="1"/>
    <col min="4" max="16" width="15" customWidth="1"/>
  </cols>
  <sheetData>
    <row r="1" spans="1:16" ht="21" x14ac:dyDescent="0.4">
      <c r="A1" s="40" t="s">
        <v>830</v>
      </c>
    </row>
    <row r="2" spans="1:16" x14ac:dyDescent="0.3">
      <c r="A2" s="41" t="s">
        <v>831</v>
      </c>
    </row>
    <row r="3" spans="1:16" x14ac:dyDescent="0.3">
      <c r="D3" s="49" t="s">
        <v>832</v>
      </c>
      <c r="E3" s="49" t="s">
        <v>833</v>
      </c>
      <c r="F3" s="49" t="s">
        <v>127</v>
      </c>
      <c r="G3" s="49" t="s">
        <v>492</v>
      </c>
      <c r="H3" s="49" t="s">
        <v>834</v>
      </c>
      <c r="I3" s="49" t="s">
        <v>835</v>
      </c>
      <c r="J3" s="49" t="s">
        <v>836</v>
      </c>
      <c r="K3" s="49" t="s">
        <v>837</v>
      </c>
      <c r="L3" s="49" t="s">
        <v>838</v>
      </c>
      <c r="M3" s="49" t="s">
        <v>839</v>
      </c>
      <c r="N3" s="49" t="s">
        <v>840</v>
      </c>
      <c r="O3" s="49" t="s">
        <v>841</v>
      </c>
      <c r="P3" s="49" t="s">
        <v>842</v>
      </c>
    </row>
    <row r="4" spans="1:16" x14ac:dyDescent="0.3">
      <c r="A4" s="24" t="s">
        <v>843</v>
      </c>
      <c r="B4" s="69" t="s">
        <v>844</v>
      </c>
      <c r="D4" s="69" t="s">
        <v>845</v>
      </c>
      <c r="E4" s="69" t="s">
        <v>328</v>
      </c>
      <c r="F4" s="69" t="s">
        <v>156</v>
      </c>
      <c r="G4" s="69" t="s">
        <v>504</v>
      </c>
      <c r="H4" s="69" t="s">
        <v>385</v>
      </c>
      <c r="I4" s="69" t="s">
        <v>396</v>
      </c>
      <c r="J4" s="69" t="s">
        <v>302</v>
      </c>
      <c r="K4" s="69" t="s">
        <v>453</v>
      </c>
      <c r="L4" s="69" t="s">
        <v>302</v>
      </c>
      <c r="M4" s="69" t="s">
        <v>845</v>
      </c>
      <c r="N4" s="69" t="s">
        <v>302</v>
      </c>
      <c r="O4" s="69" t="s">
        <v>825</v>
      </c>
      <c r="P4" s="69" t="s">
        <v>159</v>
      </c>
    </row>
    <row r="5" spans="1:16" x14ac:dyDescent="0.3">
      <c r="A5" s="24" t="s">
        <v>846</v>
      </c>
      <c r="B5" s="83">
        <v>46023</v>
      </c>
      <c r="D5" s="69" t="s">
        <v>340</v>
      </c>
      <c r="E5" s="69" t="s">
        <v>338</v>
      </c>
      <c r="F5" s="69" t="s">
        <v>169</v>
      </c>
      <c r="G5" s="69" t="s">
        <v>508</v>
      </c>
      <c r="H5" s="69" t="s">
        <v>391</v>
      </c>
      <c r="I5" s="69" t="s">
        <v>382</v>
      </c>
      <c r="J5" s="69" t="s">
        <v>461</v>
      </c>
      <c r="K5" s="69" t="s">
        <v>446</v>
      </c>
      <c r="L5" s="69" t="s">
        <v>298</v>
      </c>
      <c r="M5" s="69" t="s">
        <v>298</v>
      </c>
      <c r="N5" s="69" t="s">
        <v>298</v>
      </c>
      <c r="O5" s="69" t="s">
        <v>382</v>
      </c>
      <c r="P5" s="69" t="s">
        <v>164</v>
      </c>
    </row>
    <row r="6" spans="1:16" x14ac:dyDescent="0.3">
      <c r="A6" s="24" t="s">
        <v>847</v>
      </c>
      <c r="B6" s="84">
        <f ca="1">DATE(YEAR(TODAY()),MONTH(TODAY()),1)</f>
        <v>46296</v>
      </c>
      <c r="D6" s="69" t="s">
        <v>848</v>
      </c>
      <c r="G6" s="69" t="s">
        <v>528</v>
      </c>
      <c r="H6" s="69" t="s">
        <v>379</v>
      </c>
      <c r="I6" s="69" t="s">
        <v>376</v>
      </c>
      <c r="J6" s="69" t="s">
        <v>439</v>
      </c>
      <c r="K6" s="69" t="s">
        <v>437</v>
      </c>
      <c r="L6" s="69" t="s">
        <v>500</v>
      </c>
      <c r="M6" s="69" t="s">
        <v>327</v>
      </c>
      <c r="N6" s="69" t="s">
        <v>274</v>
      </c>
      <c r="O6" s="69" t="s">
        <v>298</v>
      </c>
      <c r="P6" s="69" t="s">
        <v>170</v>
      </c>
    </row>
    <row r="7" spans="1:16" x14ac:dyDescent="0.3">
      <c r="A7" s="24" t="s">
        <v>849</v>
      </c>
      <c r="B7" s="85">
        <v>0.05</v>
      </c>
      <c r="D7" s="69" t="s">
        <v>327</v>
      </c>
      <c r="G7" s="69" t="s">
        <v>499</v>
      </c>
      <c r="H7" s="69" t="s">
        <v>375</v>
      </c>
      <c r="J7" s="69" t="s">
        <v>459</v>
      </c>
      <c r="K7" s="69" t="s">
        <v>391</v>
      </c>
      <c r="N7" s="69" t="s">
        <v>850</v>
      </c>
      <c r="O7" s="69" t="s">
        <v>274</v>
      </c>
      <c r="P7" s="69" t="s">
        <v>176</v>
      </c>
    </row>
    <row r="8" spans="1:16" x14ac:dyDescent="0.3">
      <c r="A8" s="24" t="s">
        <v>851</v>
      </c>
      <c r="B8" s="69" t="s">
        <v>852</v>
      </c>
      <c r="D8" s="69" t="s">
        <v>850</v>
      </c>
      <c r="H8" s="69" t="s">
        <v>414</v>
      </c>
      <c r="K8" s="69" t="s">
        <v>483</v>
      </c>
      <c r="O8" s="69" t="s">
        <v>376</v>
      </c>
      <c r="P8" s="69" t="s">
        <v>183</v>
      </c>
    </row>
    <row r="9" spans="1:16" x14ac:dyDescent="0.3">
      <c r="K9" s="69" t="s">
        <v>457</v>
      </c>
      <c r="P9" s="69" t="s">
        <v>188</v>
      </c>
    </row>
    <row r="10" spans="1:16" x14ac:dyDescent="0.3">
      <c r="K10" s="69" t="s">
        <v>442</v>
      </c>
      <c r="P10" s="69" t="s">
        <v>194</v>
      </c>
    </row>
    <row r="11" spans="1:16" x14ac:dyDescent="0.3">
      <c r="P11" s="69" t="s">
        <v>201</v>
      </c>
    </row>
    <row r="13" spans="1:16" x14ac:dyDescent="0.3">
      <c r="A13" s="86" t="s">
        <v>853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Guide</vt:lpstr>
      <vt:lpstr>Dashboard</vt:lpstr>
      <vt:lpstr>KPI_Tracking</vt:lpstr>
      <vt:lpstr>Trends</vt:lpstr>
      <vt:lpstr>KPI_Targets</vt:lpstr>
      <vt:lpstr>Target_Revisions</vt:lpstr>
      <vt:lpstr>Action_Log</vt:lpstr>
      <vt:lpstr>Projects</vt:lpstr>
      <vt:lpstr>Cost_Schedule</vt:lpstr>
      <vt:lpstr>Change_Log</vt:lpstr>
      <vt:lpstr>Risk_Log</vt:lpstr>
      <vt:lpstr>Issue_Log</vt:lpstr>
      <vt:lpstr>Stakeholder_Survey</vt:lpstr>
      <vt:lpstr>Resources</vt:lpstr>
      <vt:lpstr>Milestones</vt:lpstr>
      <vt:lpstr>Quality_Log</vt:lpstr>
      <vt:lpstr>Benefits_Log</vt:lpstr>
      <vt:lpstr>CI_Log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Cheick Omar TRAORE</cp:lastModifiedBy>
  <cp:revision>1</cp:revision>
  <dcterms:created xsi:type="dcterms:W3CDTF">2026-10-29T10:10:37Z</dcterms:created>
  <dcterms:modified xsi:type="dcterms:W3CDTF">2026-10-29T10:16:36Z</dcterms:modified>
  <dc:language>en-US</dc:language>
</cp:coreProperties>
</file>